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6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Life in UCONN\Stochastic Finance\"/>
    </mc:Choice>
  </mc:AlternateContent>
  <xr:revisionPtr revIDLastSave="0" documentId="13_ncr:1_{0B03DEFA-B383-4127-89D5-2010C3F0D555}" xr6:coauthVersionLast="38" xr6:coauthVersionMax="38" xr10:uidLastSave="{00000000-0000-0000-0000-000000000000}"/>
  <bookViews>
    <workbookView xWindow="0" yWindow="0" windowWidth="21570" windowHeight="8055" firstSheet="1" activeTab="1" xr2:uid="{00000000-000D-0000-FFFF-FFFF00000000}"/>
  </bookViews>
  <sheets>
    <sheet name="Facing" sheetId="3" r:id="rId1"/>
    <sheet name="Vanilla BS call option" sheetId="1" r:id="rId2"/>
    <sheet name="Cash or Nothing Call Option" sheetId="6" r:id="rId3"/>
    <sheet name="Asset or Nothing Call Option" sheetId="5" r:id="rId4"/>
  </sheets>
  <definedNames>
    <definedName name="_xlchart.v1.0" hidden="1">'Vanilla BS call option'!$T$1</definedName>
    <definedName name="_xlchart.v1.1" hidden="1">'Vanilla BS call option'!$T$2:$T$1001</definedName>
    <definedName name="_xlchart.v1.10" hidden="1">'Asset or Nothing Call Option'!$T$1</definedName>
    <definedName name="_xlchart.v1.11" hidden="1">'Asset or Nothing Call Option'!$T$2:$T$1001</definedName>
    <definedName name="_xlchart.v1.2" hidden="1">'Cash or Nothing Call Option'!$T$2:$T$1001</definedName>
    <definedName name="_xlchart.v1.3" hidden="1">'Asset or Nothing Call Option'!$T$1</definedName>
    <definedName name="_xlchart.v1.4" hidden="1">'Asset or Nothing Call Option'!$T$2:$T$1001</definedName>
    <definedName name="_xlchart.v1.5" hidden="1">'Vanilla BS call option'!$T$1</definedName>
    <definedName name="_xlchart.v1.6" hidden="1">'Vanilla BS call option'!$T$2:$T$1001</definedName>
    <definedName name="_xlchart.v1.7" hidden="1">'Vanilla BS call option'!$T$1</definedName>
    <definedName name="_xlchart.v1.8" hidden="1">'Vanilla BS call option'!$T$2:$T$1001</definedName>
    <definedName name="_xlchart.v1.9" hidden="1">'Cash or Nothing Call Option'!$T$2:$T$1001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6" l="1"/>
  <c r="J2" i="5"/>
  <c r="J2" i="6"/>
  <c r="V2" i="1"/>
  <c r="V21" i="1"/>
  <c r="V3" i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6"/>
  <c r="V3" i="6"/>
  <c r="V4" i="6" s="1"/>
  <c r="V5" i="6" s="1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" i="6"/>
  <c r="V20" i="5"/>
  <c r="V21" i="5"/>
  <c r="K2" i="5"/>
  <c r="V3" i="5"/>
  <c r="V4" i="5" s="1"/>
  <c r="V5" i="5" s="1"/>
  <c r="V6" i="5" s="1"/>
  <c r="V7" i="5" s="1"/>
  <c r="V8" i="5" s="1"/>
  <c r="V9" i="5" s="1"/>
  <c r="V10" i="5" s="1"/>
  <c r="V11" i="5" s="1"/>
  <c r="V12" i="5" s="1"/>
  <c r="V13" i="5" s="1"/>
  <c r="V14" i="5" s="1"/>
  <c r="V15" i="5" s="1"/>
  <c r="V16" i="5" s="1"/>
  <c r="V17" i="5" s="1"/>
  <c r="V18" i="5" s="1"/>
  <c r="V19" i="5" s="1"/>
  <c r="V2" i="5"/>
  <c r="J2" i="1"/>
  <c r="M2" i="5" l="1"/>
  <c r="M2" i="1" l="1"/>
  <c r="N2" i="1" s="1"/>
  <c r="E2" i="6" l="1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B10" i="6"/>
  <c r="F8" i="6"/>
  <c r="F7" i="6"/>
  <c r="F6" i="6"/>
  <c r="F5" i="6"/>
  <c r="F4" i="6"/>
  <c r="F3" i="6"/>
  <c r="D3" i="6"/>
  <c r="E3" i="6" s="1"/>
  <c r="H2" i="6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B9" i="5"/>
  <c r="F8" i="5"/>
  <c r="F7" i="5"/>
  <c r="F6" i="5"/>
  <c r="F5" i="5"/>
  <c r="F4" i="5"/>
  <c r="G3" i="5" s="1"/>
  <c r="F3" i="5"/>
  <c r="D3" i="5"/>
  <c r="E3" i="5" s="1"/>
  <c r="E2" i="5"/>
  <c r="H2" i="5" s="1"/>
  <c r="I2" i="6" l="1"/>
  <c r="M2" i="6"/>
  <c r="N2" i="6" s="1"/>
  <c r="G3" i="6"/>
  <c r="I3" i="6" s="1"/>
  <c r="K3" i="6" s="1"/>
  <c r="I2" i="5"/>
  <c r="D4" i="5"/>
  <c r="D5" i="5" s="1"/>
  <c r="G4" i="5"/>
  <c r="D4" i="6"/>
  <c r="E5" i="5"/>
  <c r="D6" i="5"/>
  <c r="H3" i="5"/>
  <c r="K3" i="5" s="1"/>
  <c r="E4" i="5"/>
  <c r="I3" i="5"/>
  <c r="B9" i="1"/>
  <c r="J3" i="6" l="1"/>
  <c r="J3" i="5"/>
  <c r="N2" i="5"/>
  <c r="L3" i="5"/>
  <c r="G5" i="5"/>
  <c r="G4" i="6"/>
  <c r="H3" i="6"/>
  <c r="H4" i="5"/>
  <c r="K4" i="5" s="1"/>
  <c r="I4" i="5"/>
  <c r="D5" i="6"/>
  <c r="E4" i="6"/>
  <c r="E6" i="5"/>
  <c r="D7" i="5"/>
  <c r="I2" i="1"/>
  <c r="H2" i="1"/>
  <c r="D3" i="1"/>
  <c r="E3" i="1"/>
  <c r="E4" i="1"/>
  <c r="E6" i="1"/>
  <c r="E2" i="1"/>
  <c r="F3" i="1"/>
  <c r="F4" i="1"/>
  <c r="G3" i="1" s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D4" i="1"/>
  <c r="D5" i="1" s="1"/>
  <c r="D6" i="1" s="1"/>
  <c r="L3" i="6" l="1"/>
  <c r="M3" i="6" s="1"/>
  <c r="N3" i="6" s="1"/>
  <c r="J4" i="5"/>
  <c r="I3" i="1"/>
  <c r="G5" i="6"/>
  <c r="D7" i="1"/>
  <c r="E7" i="1" s="1"/>
  <c r="E5" i="1"/>
  <c r="K2" i="1"/>
  <c r="M3" i="5"/>
  <c r="N3" i="5" s="1"/>
  <c r="I5" i="5"/>
  <c r="L4" i="5"/>
  <c r="G6" i="5"/>
  <c r="H5" i="5"/>
  <c r="K5" i="5" s="1"/>
  <c r="I4" i="6"/>
  <c r="K4" i="6" s="1"/>
  <c r="D6" i="6"/>
  <c r="E5" i="6"/>
  <c r="H4" i="6"/>
  <c r="D8" i="5"/>
  <c r="E7" i="5"/>
  <c r="J4" i="6" l="1"/>
  <c r="J5" i="5"/>
  <c r="G6" i="6"/>
  <c r="H5" i="6"/>
  <c r="M4" i="5"/>
  <c r="N4" i="5" s="1"/>
  <c r="D8" i="1"/>
  <c r="G7" i="5"/>
  <c r="L5" i="5"/>
  <c r="H6" i="5"/>
  <c r="K6" i="5" s="1"/>
  <c r="I6" i="5"/>
  <c r="I5" i="6"/>
  <c r="K5" i="6" s="1"/>
  <c r="E6" i="6"/>
  <c r="D7" i="6"/>
  <c r="D9" i="5"/>
  <c r="E8" i="5"/>
  <c r="G4" i="1"/>
  <c r="H4" i="1" s="1"/>
  <c r="K4" i="1" s="1"/>
  <c r="H3" i="1"/>
  <c r="J3" i="1" s="1"/>
  <c r="J5" i="6" l="1"/>
  <c r="J6" i="5"/>
  <c r="L6" i="5"/>
  <c r="G7" i="6"/>
  <c r="I6" i="6"/>
  <c r="K6" i="6" s="1"/>
  <c r="M5" i="5"/>
  <c r="N5" i="5" s="1"/>
  <c r="D9" i="1"/>
  <c r="E8" i="1"/>
  <c r="H6" i="6"/>
  <c r="H7" i="5"/>
  <c r="K7" i="5" s="1"/>
  <c r="I7" i="5"/>
  <c r="G8" i="5"/>
  <c r="L4" i="6"/>
  <c r="M4" i="6" s="1"/>
  <c r="N4" i="6" s="1"/>
  <c r="K3" i="1"/>
  <c r="L5" i="6"/>
  <c r="E7" i="6"/>
  <c r="D8" i="6"/>
  <c r="D10" i="5"/>
  <c r="E9" i="5"/>
  <c r="G5" i="1"/>
  <c r="H5" i="1" s="1"/>
  <c r="K5" i="1" s="1"/>
  <c r="I4" i="1"/>
  <c r="J4" i="1" s="1"/>
  <c r="J6" i="6" l="1"/>
  <c r="L6" i="6"/>
  <c r="J7" i="5"/>
  <c r="L7" i="5"/>
  <c r="L3" i="1"/>
  <c r="M3" i="1" s="1"/>
  <c r="H7" i="6"/>
  <c r="G8" i="6"/>
  <c r="L4" i="1"/>
  <c r="M6" i="5"/>
  <c r="N6" i="5" s="1"/>
  <c r="I7" i="6"/>
  <c r="K7" i="6" s="1"/>
  <c r="D10" i="1"/>
  <c r="E9" i="1"/>
  <c r="G9" i="5"/>
  <c r="H8" i="5"/>
  <c r="K8" i="5" s="1"/>
  <c r="I8" i="5"/>
  <c r="E8" i="6"/>
  <c r="D9" i="6"/>
  <c r="M5" i="6"/>
  <c r="N5" i="6" s="1"/>
  <c r="D11" i="5"/>
  <c r="E10" i="5"/>
  <c r="I5" i="1"/>
  <c r="J5" i="1" s="1"/>
  <c r="G6" i="1"/>
  <c r="L5" i="1"/>
  <c r="J7" i="6" l="1"/>
  <c r="L7" i="6"/>
  <c r="G9" i="6"/>
  <c r="G10" i="6" s="1"/>
  <c r="J8" i="5"/>
  <c r="L8" i="5"/>
  <c r="H8" i="6"/>
  <c r="I9" i="5"/>
  <c r="N3" i="1"/>
  <c r="I6" i="1"/>
  <c r="G7" i="1"/>
  <c r="I7" i="1" s="1"/>
  <c r="M7" i="5"/>
  <c r="N7" i="5" s="1"/>
  <c r="I8" i="6"/>
  <c r="K8" i="6" s="1"/>
  <c r="D11" i="1"/>
  <c r="E10" i="1"/>
  <c r="H9" i="5"/>
  <c r="K9" i="5" s="1"/>
  <c r="G10" i="5"/>
  <c r="M6" i="6"/>
  <c r="N6" i="6" s="1"/>
  <c r="D10" i="6"/>
  <c r="E9" i="6"/>
  <c r="D12" i="5"/>
  <c r="E11" i="5"/>
  <c r="H6" i="1"/>
  <c r="K6" i="1" s="1"/>
  <c r="L6" i="1" s="1"/>
  <c r="J8" i="6" l="1"/>
  <c r="L8" i="6"/>
  <c r="I9" i="6"/>
  <c r="K9" i="6" s="1"/>
  <c r="J9" i="5"/>
  <c r="L9" i="5"/>
  <c r="J6" i="1"/>
  <c r="H10" i="5"/>
  <c r="K10" i="5" s="1"/>
  <c r="M4" i="1"/>
  <c r="M8" i="5"/>
  <c r="N8" i="5" s="1"/>
  <c r="D12" i="1"/>
  <c r="E11" i="1"/>
  <c r="G11" i="5"/>
  <c r="I10" i="5"/>
  <c r="H9" i="6"/>
  <c r="D11" i="6"/>
  <c r="E10" i="6"/>
  <c r="H10" i="6"/>
  <c r="G11" i="6"/>
  <c r="I10" i="6"/>
  <c r="K10" i="6" s="1"/>
  <c r="M7" i="6"/>
  <c r="N7" i="6" s="1"/>
  <c r="E12" i="5"/>
  <c r="D13" i="5"/>
  <c r="H7" i="1"/>
  <c r="K7" i="1" s="1"/>
  <c r="G8" i="1"/>
  <c r="I8" i="1" s="1"/>
  <c r="J10" i="6" l="1"/>
  <c r="J9" i="6"/>
  <c r="J10" i="5"/>
  <c r="L10" i="5"/>
  <c r="H11" i="5"/>
  <c r="K11" i="5" s="1"/>
  <c r="N4" i="1"/>
  <c r="M5" i="1"/>
  <c r="L7" i="1"/>
  <c r="M9" i="5"/>
  <c r="N9" i="5" s="1"/>
  <c r="D13" i="1"/>
  <c r="E12" i="1"/>
  <c r="G12" i="5"/>
  <c r="I11" i="5"/>
  <c r="G12" i="6"/>
  <c r="M8" i="6"/>
  <c r="N8" i="6" s="1"/>
  <c r="D12" i="6"/>
  <c r="E11" i="6"/>
  <c r="I11" i="6" s="1"/>
  <c r="K11" i="6" s="1"/>
  <c r="E13" i="5"/>
  <c r="D14" i="5"/>
  <c r="J7" i="1"/>
  <c r="H8" i="1"/>
  <c r="K8" i="1" s="1"/>
  <c r="G9" i="1"/>
  <c r="G10" i="1" s="1"/>
  <c r="J11" i="6" l="1"/>
  <c r="J11" i="5"/>
  <c r="L11" i="5"/>
  <c r="I12" i="5"/>
  <c r="N5" i="1"/>
  <c r="M6" i="1"/>
  <c r="N6" i="1" s="1"/>
  <c r="L8" i="1"/>
  <c r="M10" i="5"/>
  <c r="H11" i="6"/>
  <c r="D14" i="1"/>
  <c r="E13" i="1"/>
  <c r="G13" i="5"/>
  <c r="H12" i="5"/>
  <c r="K12" i="5" s="1"/>
  <c r="E12" i="6"/>
  <c r="I12" i="6" s="1"/>
  <c r="K12" i="6" s="1"/>
  <c r="D13" i="6"/>
  <c r="L9" i="6"/>
  <c r="M9" i="6" s="1"/>
  <c r="N9" i="6" s="1"/>
  <c r="H12" i="6"/>
  <c r="G13" i="6"/>
  <c r="L10" i="6"/>
  <c r="D15" i="5"/>
  <c r="E14" i="5"/>
  <c r="I9" i="1"/>
  <c r="H9" i="1"/>
  <c r="K9" i="1" s="1"/>
  <c r="J8" i="1"/>
  <c r="I10" i="1"/>
  <c r="G11" i="1"/>
  <c r="H10" i="1"/>
  <c r="K10" i="1" s="1"/>
  <c r="L11" i="6" l="1"/>
  <c r="J12" i="6"/>
  <c r="J12" i="5"/>
  <c r="H11" i="1"/>
  <c r="K11" i="1" s="1"/>
  <c r="G12" i="1"/>
  <c r="I12" i="1" s="1"/>
  <c r="M11" i="5"/>
  <c r="N11" i="5" s="1"/>
  <c r="H13" i="5"/>
  <c r="K13" i="5" s="1"/>
  <c r="M7" i="1"/>
  <c r="N7" i="1" s="1"/>
  <c r="N10" i="5"/>
  <c r="D15" i="1"/>
  <c r="E14" i="1"/>
  <c r="I13" i="5"/>
  <c r="G14" i="5"/>
  <c r="L12" i="5"/>
  <c r="G14" i="6"/>
  <c r="M10" i="6"/>
  <c r="N10" i="6" s="1"/>
  <c r="E13" i="6"/>
  <c r="I13" i="6" s="1"/>
  <c r="K13" i="6" s="1"/>
  <c r="D14" i="6"/>
  <c r="L12" i="6"/>
  <c r="D16" i="5"/>
  <c r="E15" i="5"/>
  <c r="J9" i="1"/>
  <c r="L10" i="1"/>
  <c r="L9" i="1"/>
  <c r="J10" i="1"/>
  <c r="I11" i="1"/>
  <c r="J13" i="6" l="1"/>
  <c r="H13" i="6"/>
  <c r="J13" i="5"/>
  <c r="J11" i="1"/>
  <c r="L13" i="5"/>
  <c r="M12" i="5"/>
  <c r="N12" i="5" s="1"/>
  <c r="I14" i="5"/>
  <c r="M8" i="1"/>
  <c r="N8" i="1" s="1"/>
  <c r="D16" i="1"/>
  <c r="E15" i="1"/>
  <c r="G15" i="5"/>
  <c r="H14" i="5"/>
  <c r="K14" i="5" s="1"/>
  <c r="D15" i="6"/>
  <c r="E14" i="6"/>
  <c r="H14" i="6" s="1"/>
  <c r="M11" i="6"/>
  <c r="N11" i="6" s="1"/>
  <c r="G15" i="6"/>
  <c r="E16" i="5"/>
  <c r="D17" i="5"/>
  <c r="L11" i="1"/>
  <c r="G13" i="1"/>
  <c r="H12" i="1"/>
  <c r="K12" i="1" s="1"/>
  <c r="L13" i="6" l="1"/>
  <c r="J14" i="5"/>
  <c r="M13" i="5"/>
  <c r="N13" i="5" s="1"/>
  <c r="H15" i="5"/>
  <c r="K15" i="5" s="1"/>
  <c r="M9" i="1"/>
  <c r="D17" i="1"/>
  <c r="E16" i="1"/>
  <c r="J12" i="1"/>
  <c r="G16" i="5"/>
  <c r="I15" i="5"/>
  <c r="L14" i="5"/>
  <c r="M12" i="6"/>
  <c r="N12" i="6" s="1"/>
  <c r="I14" i="6"/>
  <c r="K14" i="6" s="1"/>
  <c r="G16" i="6"/>
  <c r="D16" i="6"/>
  <c r="E15" i="6"/>
  <c r="I15" i="6" s="1"/>
  <c r="K15" i="6" s="1"/>
  <c r="E17" i="5"/>
  <c r="D18" i="5"/>
  <c r="L12" i="1"/>
  <c r="I13" i="1"/>
  <c r="G14" i="1"/>
  <c r="H13" i="1"/>
  <c r="K13" i="1" s="1"/>
  <c r="J15" i="6" l="1"/>
  <c r="J14" i="6"/>
  <c r="H15" i="6"/>
  <c r="J15" i="5"/>
  <c r="M14" i="5"/>
  <c r="N14" i="5" s="1"/>
  <c r="L15" i="5"/>
  <c r="H16" i="5"/>
  <c r="K16" i="5" s="1"/>
  <c r="M10" i="1"/>
  <c r="N9" i="1"/>
  <c r="D18" i="1"/>
  <c r="E17" i="1"/>
  <c r="J13" i="1"/>
  <c r="I16" i="5"/>
  <c r="G17" i="5"/>
  <c r="G17" i="6"/>
  <c r="M13" i="6"/>
  <c r="N13" i="6" s="1"/>
  <c r="E16" i="6"/>
  <c r="I16" i="6" s="1"/>
  <c r="K16" i="6" s="1"/>
  <c r="D17" i="6"/>
  <c r="L15" i="6"/>
  <c r="L14" i="6"/>
  <c r="D19" i="5"/>
  <c r="E18" i="5"/>
  <c r="I14" i="1"/>
  <c r="L13" i="1"/>
  <c r="G15" i="1"/>
  <c r="H15" i="1" s="1"/>
  <c r="H14" i="1"/>
  <c r="J16" i="6" l="1"/>
  <c r="H16" i="6"/>
  <c r="J16" i="5"/>
  <c r="M15" i="5"/>
  <c r="N15" i="5" s="1"/>
  <c r="L16" i="5"/>
  <c r="I17" i="5"/>
  <c r="N10" i="1"/>
  <c r="M11" i="1"/>
  <c r="D19" i="1"/>
  <c r="E18" i="1"/>
  <c r="H17" i="5"/>
  <c r="K17" i="5" s="1"/>
  <c r="G18" i="5"/>
  <c r="M14" i="6"/>
  <c r="N14" i="6" s="1"/>
  <c r="E17" i="6"/>
  <c r="H17" i="6" s="1"/>
  <c r="D18" i="6"/>
  <c r="G18" i="6"/>
  <c r="I17" i="6"/>
  <c r="K17" i="6" s="1"/>
  <c r="D20" i="5"/>
  <c r="E19" i="5"/>
  <c r="J14" i="1"/>
  <c r="K14" i="1"/>
  <c r="I15" i="1"/>
  <c r="G16" i="1"/>
  <c r="L16" i="6" l="1"/>
  <c r="J17" i="6"/>
  <c r="J17" i="5"/>
  <c r="M16" i="5"/>
  <c r="N16" i="5" s="1"/>
  <c r="J15" i="1"/>
  <c r="G19" i="5"/>
  <c r="N11" i="1"/>
  <c r="M12" i="1"/>
  <c r="D20" i="1"/>
  <c r="E19" i="1"/>
  <c r="I18" i="5"/>
  <c r="H18" i="5"/>
  <c r="K18" i="5" s="1"/>
  <c r="L17" i="5"/>
  <c r="G19" i="6"/>
  <c r="D19" i="6"/>
  <c r="E18" i="6"/>
  <c r="I18" i="6" s="1"/>
  <c r="K18" i="6" s="1"/>
  <c r="M15" i="6"/>
  <c r="N15" i="6" s="1"/>
  <c r="E20" i="5"/>
  <c r="D21" i="5"/>
  <c r="E21" i="5" s="1"/>
  <c r="L14" i="1"/>
  <c r="K15" i="1"/>
  <c r="I16" i="1"/>
  <c r="G17" i="1"/>
  <c r="H16" i="1"/>
  <c r="K16" i="1" s="1"/>
  <c r="L17" i="6" l="1"/>
  <c r="J18" i="6"/>
  <c r="J18" i="5"/>
  <c r="M17" i="5"/>
  <c r="N17" i="5" s="1"/>
  <c r="I19" i="5"/>
  <c r="G20" i="5"/>
  <c r="H19" i="5"/>
  <c r="K19" i="5" s="1"/>
  <c r="N12" i="1"/>
  <c r="M13" i="1"/>
  <c r="N13" i="1" s="1"/>
  <c r="H18" i="6"/>
  <c r="D21" i="1"/>
  <c r="E21" i="1" s="1"/>
  <c r="E20" i="1"/>
  <c r="L18" i="5"/>
  <c r="G20" i="6"/>
  <c r="M16" i="6"/>
  <c r="N16" i="6" s="1"/>
  <c r="D20" i="6"/>
  <c r="E19" i="6"/>
  <c r="I19" i="6" s="1"/>
  <c r="K19" i="6" s="1"/>
  <c r="L15" i="1"/>
  <c r="L16" i="1"/>
  <c r="J16" i="1"/>
  <c r="I17" i="1"/>
  <c r="G18" i="1"/>
  <c r="H18" i="1" s="1"/>
  <c r="H17" i="1"/>
  <c r="K17" i="1" s="1"/>
  <c r="L18" i="6" l="1"/>
  <c r="J19" i="6"/>
  <c r="J19" i="5"/>
  <c r="I20" i="5"/>
  <c r="M18" i="5"/>
  <c r="N18" i="5" s="1"/>
  <c r="G21" i="5"/>
  <c r="L19" i="5"/>
  <c r="H20" i="5"/>
  <c r="K20" i="5" s="1"/>
  <c r="M14" i="1"/>
  <c r="N14" i="1" s="1"/>
  <c r="G21" i="6"/>
  <c r="E20" i="6"/>
  <c r="I20" i="6" s="1"/>
  <c r="K20" i="6" s="1"/>
  <c r="D21" i="6"/>
  <c r="E21" i="6" s="1"/>
  <c r="H19" i="6"/>
  <c r="M17" i="6"/>
  <c r="N17" i="6" s="1"/>
  <c r="L17" i="1"/>
  <c r="J17" i="1"/>
  <c r="I18" i="1"/>
  <c r="G19" i="1"/>
  <c r="K18" i="1"/>
  <c r="J20" i="6" l="1"/>
  <c r="J20" i="5"/>
  <c r="H21" i="5"/>
  <c r="K21" i="5" s="1"/>
  <c r="M19" i="5"/>
  <c r="N19" i="5" s="1"/>
  <c r="I21" i="5"/>
  <c r="L20" i="5"/>
  <c r="M15" i="1"/>
  <c r="H20" i="6"/>
  <c r="H21" i="6"/>
  <c r="I21" i="6"/>
  <c r="K21" i="6" s="1"/>
  <c r="M18" i="6"/>
  <c r="N18" i="6" s="1"/>
  <c r="L18" i="1"/>
  <c r="J18" i="1"/>
  <c r="I19" i="1"/>
  <c r="G20" i="1"/>
  <c r="H19" i="1"/>
  <c r="K19" i="1" s="1"/>
  <c r="J21" i="6" l="1"/>
  <c r="L21" i="6"/>
  <c r="J21" i="5"/>
  <c r="L21" i="5"/>
  <c r="M20" i="5"/>
  <c r="N20" i="5" s="1"/>
  <c r="N15" i="1"/>
  <c r="M16" i="1"/>
  <c r="L19" i="6"/>
  <c r="M19" i="6" s="1"/>
  <c r="N19" i="6" s="1"/>
  <c r="L20" i="6"/>
  <c r="L19" i="1"/>
  <c r="J19" i="1"/>
  <c r="I20" i="1"/>
  <c r="G21" i="1"/>
  <c r="H20" i="1"/>
  <c r="K20" i="1" s="1"/>
  <c r="M21" i="5" l="1"/>
  <c r="N21" i="5" s="1"/>
  <c r="B11" i="5" s="1"/>
  <c r="N16" i="1"/>
  <c r="M17" i="1"/>
  <c r="M20" i="6"/>
  <c r="N20" i="6" s="1"/>
  <c r="H21" i="1"/>
  <c r="K21" i="1" s="1"/>
  <c r="L20" i="1"/>
  <c r="J20" i="1"/>
  <c r="I21" i="1"/>
  <c r="N17" i="1" l="1"/>
  <c r="M18" i="1"/>
  <c r="M21" i="6"/>
  <c r="N21" i="6" s="1"/>
  <c r="J21" i="1"/>
  <c r="L21" i="1"/>
  <c r="N18" i="1" l="1"/>
  <c r="M19" i="1"/>
  <c r="B12" i="6"/>
  <c r="N19" i="1" l="1"/>
  <c r="M20" i="1"/>
  <c r="N20" i="1" l="1"/>
  <c r="M21" i="1"/>
  <c r="N21" i="1" s="1"/>
  <c r="B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carolinexu</author>
  </authors>
  <commentList>
    <comment ref="K1" authorId="0" shapeId="0" xr:uid="{4E2435E3-A187-4A9B-999F-444D9E947794}">
      <text>
        <r>
          <rPr>
            <b/>
            <sz val="9"/>
            <color indexed="81"/>
            <rFont val="Tahoma"/>
            <charset val="1"/>
          </rPr>
          <t>carolinexu:</t>
        </r>
        <r>
          <rPr>
            <sz val="9"/>
            <color indexed="81"/>
            <rFont val="Tahoma"/>
            <charset val="1"/>
          </rPr>
          <t xml:space="preserve">
how much shares to trade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carolinexu</author>
  </authors>
  <commentList>
    <comment ref="K1" authorId="0" shapeId="0" xr:uid="{5830DE02-7E1D-4562-883C-6740FB407F16}">
      <text>
        <r>
          <rPr>
            <b/>
            <sz val="9"/>
            <color indexed="81"/>
            <rFont val="Tahoma"/>
            <charset val="1"/>
          </rPr>
          <t>carolinexu:</t>
        </r>
        <r>
          <rPr>
            <sz val="9"/>
            <color indexed="81"/>
            <rFont val="Tahoma"/>
            <charset val="1"/>
          </rPr>
          <t xml:space="preserve">
readjustment of a delta hedge</t>
        </r>
      </text>
    </comment>
  </commentList>
</comments>
</file>

<file path=xl/sharedStrings.xml><?xml version="1.0" encoding="utf-8"?>
<sst xmlns="http://schemas.openxmlformats.org/spreadsheetml/2006/main" count="95" uniqueCount="37">
  <si>
    <t>S(0)</t>
  </si>
  <si>
    <t>K</t>
  </si>
  <si>
    <t>r</t>
  </si>
  <si>
    <t>T</t>
  </si>
  <si>
    <t>t</t>
  </si>
  <si>
    <t>small_t</t>
  </si>
  <si>
    <t>cash flow</t>
  </si>
  <si>
    <t>B(t)</t>
  </si>
  <si>
    <r>
      <t>c</t>
    </r>
    <r>
      <rPr>
        <vertAlign val="subscript"/>
        <sz val="11"/>
        <color theme="1"/>
        <rFont val="Calibri"/>
        <family val="2"/>
        <scheme val="minor"/>
      </rPr>
      <t>rep</t>
    </r>
    <r>
      <rPr>
        <sz val="11"/>
        <color theme="1"/>
        <rFont val="Calibri"/>
        <family val="2"/>
        <scheme val="minor"/>
      </rPr>
      <t>(t)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</si>
  <si>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</si>
  <si>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</si>
  <si>
    <t>s</t>
  </si>
  <si>
    <r>
      <t>D</t>
    </r>
    <r>
      <rPr>
        <sz val="11"/>
        <color theme="1"/>
        <rFont val="Calibri"/>
        <family val="2"/>
        <scheme val="minor"/>
      </rPr>
      <t>t</t>
    </r>
  </si>
  <si>
    <r>
      <t>c</t>
    </r>
    <r>
      <rPr>
        <vertAlign val="subscript"/>
        <sz val="11"/>
        <color theme="1"/>
        <rFont val="Calibri"/>
        <family val="2"/>
        <scheme val="minor"/>
      </rPr>
      <t>BS</t>
    </r>
    <r>
      <rPr>
        <sz val="11"/>
        <color theme="1"/>
        <rFont val="Calibri"/>
        <family val="2"/>
        <scheme val="minor"/>
      </rPr>
      <t>(t)</t>
    </r>
  </si>
  <si>
    <r>
      <t>D(</t>
    </r>
    <r>
      <rPr>
        <sz val="11"/>
        <color theme="1"/>
        <rFont val="Calibri"/>
        <family val="2"/>
        <scheme val="minor"/>
      </rPr>
      <t>t)</t>
    </r>
  </si>
  <si>
    <t>z</t>
  </si>
  <si>
    <t>Path</t>
  </si>
  <si>
    <t>S(T)</t>
  </si>
  <si>
    <t>Vanilla BS call option</t>
  </si>
  <si>
    <t>Rep Error</t>
  </si>
  <si>
    <t>Rep error</t>
  </si>
  <si>
    <t>Normal Distribution</t>
  </si>
  <si>
    <t>Replicating Errors</t>
  </si>
  <si>
    <t>Plot</t>
  </si>
  <si>
    <t>Distribution</t>
  </si>
  <si>
    <r>
      <t>c</t>
    </r>
    <r>
      <rPr>
        <vertAlign val="subscript"/>
        <sz val="11"/>
        <color theme="1"/>
        <rFont val="Calibri"/>
        <family val="2"/>
        <scheme val="minor"/>
      </rPr>
      <t>CN</t>
    </r>
    <r>
      <rPr>
        <sz val="11"/>
        <color theme="1"/>
        <rFont val="Calibri"/>
        <family val="2"/>
        <scheme val="minor"/>
      </rPr>
      <t>(t)</t>
    </r>
  </si>
  <si>
    <r>
      <t>c</t>
    </r>
    <r>
      <rPr>
        <vertAlign val="subscript"/>
        <sz val="11"/>
        <color theme="1"/>
        <rFont val="Calibri"/>
        <family val="2"/>
        <scheme val="minor"/>
      </rPr>
      <t>AN</t>
    </r>
    <r>
      <rPr>
        <sz val="11"/>
        <color theme="1"/>
        <rFont val="Calibri"/>
        <family val="2"/>
        <scheme val="minor"/>
      </rPr>
      <t>(t)</t>
    </r>
  </si>
  <si>
    <t>Call Option vs Terminal Value</t>
  </si>
  <si>
    <t>Replicating Portfolio vs Terminal Value</t>
  </si>
  <si>
    <t>Formula</t>
  </si>
  <si>
    <t>Replicating Portfolio and call option</t>
  </si>
  <si>
    <t xml:space="preserve">
Replicate Portfolio:</t>
  </si>
  <si>
    <r>
      <t xml:space="preserve">Cash-or-Nothing Call option (S,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mbria"/>
        <family val="1"/>
      </rPr>
      <t>)</t>
    </r>
  </si>
  <si>
    <r>
      <t xml:space="preserve">Asset-or-Nothing Call option (S,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mbria"/>
        <family val="1"/>
      </rPr>
      <t>)</t>
    </r>
  </si>
  <si>
    <t>Bins</t>
  </si>
  <si>
    <t>Frequency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</si>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</sst>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_-;\-* #,##0.00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i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sz val="11"/>
      <color rgb="FF000000"/>
      <name val="Cambria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164" fontId="0" fillId="2" borderId="0" xfId="1" applyNumberFormat="1" applyFont="1" applyFill="1"/>
    <xf numFmtId="43" fontId="0" fillId="2" borderId="0" xfId="0" applyNumberFormat="1" applyFill="1"/>
    <xf numFmtId="164" fontId="4" fillId="2" borderId="9" xfId="1" applyNumberFormat="1" applyFont="1" applyFill="1" applyBorder="1"/>
    <xf numFmtId="0" fontId="0" fillId="0" borderId="2" xfId="0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2" borderId="4" xfId="0" applyFill="1" applyBorder="1"/>
    <xf numFmtId="0" fontId="0" fillId="2" borderId="6" xfId="0" applyFill="1" applyBorder="1"/>
    <xf numFmtId="9" fontId="0" fillId="2" borderId="6" xfId="2" applyFont="1" applyFill="1" applyBorder="1"/>
    <xf numFmtId="9" fontId="0" fillId="2" borderId="6" xfId="0" applyNumberFormat="1" applyFill="1" applyBorder="1"/>
    <xf numFmtId="43" fontId="0" fillId="2" borderId="6" xfId="1" applyFont="1" applyFill="1" applyBorder="1"/>
    <xf numFmtId="164" fontId="0" fillId="2" borderId="6" xfId="0" applyNumberFormat="1" applyFill="1" applyBorder="1"/>
    <xf numFmtId="11" fontId="0" fillId="2" borderId="6" xfId="0" applyNumberFormat="1" applyFill="1" applyBorder="1"/>
    <xf numFmtId="0" fontId="0" fillId="0" borderId="5" xfId="0" applyFill="1" applyBorder="1"/>
    <xf numFmtId="0" fontId="0" fillId="0" borderId="7" xfId="0" applyFill="1" applyBorder="1"/>
    <xf numFmtId="0" fontId="0" fillId="2" borderId="2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64" fontId="0" fillId="0" borderId="3" xfId="0" applyNumberFormat="1" applyFill="1" applyBorder="1" applyAlignment="1">
      <alignment horizontal="center"/>
    </xf>
    <xf numFmtId="0" fontId="5" fillId="2" borderId="0" xfId="0" applyFont="1" applyFill="1"/>
    <xf numFmtId="0" fontId="5" fillId="2" borderId="10" xfId="0" applyFont="1" applyFill="1" applyBorder="1"/>
    <xf numFmtId="0" fontId="5" fillId="2" borderId="11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12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top" wrapText="1"/>
    </xf>
    <xf numFmtId="0" fontId="5" fillId="2" borderId="13" xfId="0" applyFont="1" applyFill="1" applyBorder="1"/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/>
    <xf numFmtId="0" fontId="5" fillId="2" borderId="15" xfId="0" applyFont="1" applyFill="1" applyBorder="1" applyAlignment="1">
      <alignment vertical="center"/>
    </xf>
    <xf numFmtId="0" fontId="5" fillId="2" borderId="16" xfId="0" applyFont="1" applyFill="1" applyBorder="1"/>
    <xf numFmtId="2" fontId="0" fillId="0" borderId="0" xfId="1" applyNumberFormat="1" applyFont="1" applyFill="1" applyBorder="1"/>
    <xf numFmtId="2" fontId="0" fillId="0" borderId="8" xfId="1" applyNumberFormat="1" applyFont="1" applyFill="1" applyBorder="1"/>
    <xf numFmtId="2" fontId="0" fillId="0" borderId="5" xfId="1" applyNumberFormat="1" applyFont="1" applyFill="1" applyBorder="1"/>
    <xf numFmtId="2" fontId="0" fillId="0" borderId="6" xfId="1" applyNumberFormat="1" applyFont="1" applyFill="1" applyBorder="1"/>
    <xf numFmtId="2" fontId="0" fillId="0" borderId="7" xfId="1" applyNumberFormat="1" applyFont="1" applyFill="1" applyBorder="1"/>
    <xf numFmtId="2" fontId="4" fillId="0" borderId="8" xfId="1" applyNumberFormat="1" applyFont="1" applyFill="1" applyBorder="1"/>
    <xf numFmtId="2" fontId="4" fillId="0" borderId="9" xfId="1" applyNumberFormat="1" applyFont="1" applyFill="1" applyBorder="1"/>
    <xf numFmtId="2" fontId="0" fillId="0" borderId="0" xfId="0" applyNumberFormat="1" applyFill="1" applyBorder="1"/>
    <xf numFmtId="2" fontId="0" fillId="0" borderId="8" xfId="0" applyNumberFormat="1" applyFill="1" applyBorder="1"/>
    <xf numFmtId="2" fontId="0" fillId="0" borderId="9" xfId="1" applyNumberFormat="1" applyFont="1" applyFill="1" applyBorder="1"/>
    <xf numFmtId="2" fontId="0" fillId="0" borderId="0" xfId="1" applyNumberFormat="1" applyFont="1" applyFill="1" applyBorder="1" applyAlignment="1"/>
    <xf numFmtId="2" fontId="4" fillId="0" borderId="8" xfId="1" applyNumberFormat="1" applyFont="1" applyFill="1" applyBorder="1" applyAlignment="1"/>
    <xf numFmtId="2" fontId="0" fillId="0" borderId="8" xfId="1" applyNumberFormat="1" applyFont="1" applyFill="1" applyBorder="1" applyAlignment="1"/>
    <xf numFmtId="0" fontId="3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2" fontId="0" fillId="2" borderId="0" xfId="0" applyNumberForma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'Vanilla BS call option'!$R$1</c:f>
              <c:strCache>
                <c:ptCount val="1"/>
                <c:pt idx="0">
                  <c:v>cBS(t)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'Vanilla BS call option'!$Q$2:$Q$1001</c:f>
              <c:numCache>
                <c:formatCode>0.00</c:formatCode>
                <c:ptCount val="1000"/>
                <c:pt idx="0">
                  <c:v>102.161</c:v>
                </c:pt>
                <c:pt idx="1">
                  <c:v>93.2624</c:v>
                </c:pt>
                <c:pt idx="2">
                  <c:v>115.81910000000001</c:v>
                </c:pt>
                <c:pt idx="3">
                  <c:v>89.268299999999996</c:v>
                </c:pt>
                <c:pt idx="4">
                  <c:v>109.2516</c:v>
                </c:pt>
                <c:pt idx="5">
                  <c:v>91.637</c:v>
                </c:pt>
                <c:pt idx="6">
                  <c:v>140.2543</c:v>
                </c:pt>
                <c:pt idx="7">
                  <c:v>90.3249</c:v>
                </c:pt>
                <c:pt idx="8">
                  <c:v>101.4902</c:v>
                </c:pt>
                <c:pt idx="9">
                  <c:v>47.792299999999997</c:v>
                </c:pt>
                <c:pt idx="10">
                  <c:v>106.5472</c:v>
                </c:pt>
                <c:pt idx="11">
                  <c:v>67.899100000000004</c:v>
                </c:pt>
                <c:pt idx="12">
                  <c:v>110.81189999999999</c:v>
                </c:pt>
                <c:pt idx="13">
                  <c:v>77.881299999999996</c:v>
                </c:pt>
                <c:pt idx="14">
                  <c:v>122.16670000000001</c:v>
                </c:pt>
                <c:pt idx="15">
                  <c:v>84.145300000000006</c:v>
                </c:pt>
                <c:pt idx="16">
                  <c:v>128.67250000000001</c:v>
                </c:pt>
                <c:pt idx="17">
                  <c:v>88.079400000000007</c:v>
                </c:pt>
                <c:pt idx="18">
                  <c:v>144.5891</c:v>
                </c:pt>
                <c:pt idx="19">
                  <c:v>79.443700000000007</c:v>
                </c:pt>
                <c:pt idx="20">
                  <c:v>135.3527</c:v>
                </c:pt>
                <c:pt idx="21">
                  <c:v>98.382400000000004</c:v>
                </c:pt>
                <c:pt idx="22">
                  <c:v>158.33189999999999</c:v>
                </c:pt>
                <c:pt idx="23">
                  <c:v>90.836500000000001</c:v>
                </c:pt>
                <c:pt idx="24">
                  <c:v>69.322500000000005</c:v>
                </c:pt>
                <c:pt idx="25">
                  <c:v>67.534599999999998</c:v>
                </c:pt>
                <c:pt idx="26">
                  <c:v>120.3506</c:v>
                </c:pt>
                <c:pt idx="27">
                  <c:v>164.16079999999999</c:v>
                </c:pt>
                <c:pt idx="28">
                  <c:v>114.384</c:v>
                </c:pt>
                <c:pt idx="29">
                  <c:v>149.0121</c:v>
                </c:pt>
                <c:pt idx="30">
                  <c:v>134.983</c:v>
                </c:pt>
                <c:pt idx="31">
                  <c:v>98.646699999999996</c:v>
                </c:pt>
                <c:pt idx="32">
                  <c:v>66.658000000000001</c:v>
                </c:pt>
                <c:pt idx="33">
                  <c:v>202.93260000000001</c:v>
                </c:pt>
                <c:pt idx="34">
                  <c:v>85.751000000000005</c:v>
                </c:pt>
                <c:pt idx="35">
                  <c:v>116.27760000000001</c:v>
                </c:pt>
                <c:pt idx="36">
                  <c:v>80.528300000000002</c:v>
                </c:pt>
                <c:pt idx="37">
                  <c:v>75.726699999999994</c:v>
                </c:pt>
                <c:pt idx="38">
                  <c:v>89.218599999999995</c:v>
                </c:pt>
                <c:pt idx="39">
                  <c:v>69.918400000000005</c:v>
                </c:pt>
                <c:pt idx="40">
                  <c:v>138.5453</c:v>
                </c:pt>
                <c:pt idx="41">
                  <c:v>66.743200000000002</c:v>
                </c:pt>
                <c:pt idx="42">
                  <c:v>76.639099999999999</c:v>
                </c:pt>
                <c:pt idx="43">
                  <c:v>129.7671</c:v>
                </c:pt>
                <c:pt idx="44">
                  <c:v>80.173500000000004</c:v>
                </c:pt>
                <c:pt idx="45">
                  <c:v>95.573800000000006</c:v>
                </c:pt>
                <c:pt idx="46">
                  <c:v>74.484499999999997</c:v>
                </c:pt>
                <c:pt idx="47">
                  <c:v>73.590100000000007</c:v>
                </c:pt>
                <c:pt idx="48">
                  <c:v>79.963200000000001</c:v>
                </c:pt>
                <c:pt idx="49">
                  <c:v>84.153300000000002</c:v>
                </c:pt>
                <c:pt idx="50">
                  <c:v>100.66840000000001</c:v>
                </c:pt>
                <c:pt idx="51">
                  <c:v>184.38040000000001</c:v>
                </c:pt>
                <c:pt idx="52">
                  <c:v>121.4898</c:v>
                </c:pt>
                <c:pt idx="53">
                  <c:v>196.56829999999999</c:v>
                </c:pt>
                <c:pt idx="54">
                  <c:v>118.4062</c:v>
                </c:pt>
                <c:pt idx="55">
                  <c:v>86.978999999999999</c:v>
                </c:pt>
                <c:pt idx="56">
                  <c:v>124.6451</c:v>
                </c:pt>
                <c:pt idx="57">
                  <c:v>158.04220000000001</c:v>
                </c:pt>
                <c:pt idx="58">
                  <c:v>59.467399999999998</c:v>
                </c:pt>
                <c:pt idx="59">
                  <c:v>73.816900000000004</c:v>
                </c:pt>
                <c:pt idx="60">
                  <c:v>127.03489999999999</c:v>
                </c:pt>
                <c:pt idx="61">
                  <c:v>79.055300000000003</c:v>
                </c:pt>
                <c:pt idx="62">
                  <c:v>138.40469999999999</c:v>
                </c:pt>
                <c:pt idx="63">
                  <c:v>167.6011</c:v>
                </c:pt>
                <c:pt idx="64">
                  <c:v>112.1292</c:v>
                </c:pt>
                <c:pt idx="65">
                  <c:v>137.47640000000001</c:v>
                </c:pt>
                <c:pt idx="66">
                  <c:v>118.908</c:v>
                </c:pt>
                <c:pt idx="67">
                  <c:v>98.614999999999995</c:v>
                </c:pt>
                <c:pt idx="68">
                  <c:v>120.8374</c:v>
                </c:pt>
                <c:pt idx="69">
                  <c:v>104.98820000000001</c:v>
                </c:pt>
                <c:pt idx="70">
                  <c:v>77.662300000000002</c:v>
                </c:pt>
                <c:pt idx="71">
                  <c:v>116.748</c:v>
                </c:pt>
                <c:pt idx="72">
                  <c:v>143.71420000000001</c:v>
                </c:pt>
                <c:pt idx="73">
                  <c:v>88.054299999999998</c:v>
                </c:pt>
                <c:pt idx="74">
                  <c:v>103.9628</c:v>
                </c:pt>
                <c:pt idx="75">
                  <c:v>130.57830000000001</c:v>
                </c:pt>
                <c:pt idx="76">
                  <c:v>58.470100000000002</c:v>
                </c:pt>
                <c:pt idx="77">
                  <c:v>125.50530000000001</c:v>
                </c:pt>
                <c:pt idx="78">
                  <c:v>182.75190000000001</c:v>
                </c:pt>
                <c:pt idx="79">
                  <c:v>122.63079999999999</c:v>
                </c:pt>
                <c:pt idx="80">
                  <c:v>96.363500000000002</c:v>
                </c:pt>
                <c:pt idx="81">
                  <c:v>98.425399999999996</c:v>
                </c:pt>
                <c:pt idx="82">
                  <c:v>105.5986</c:v>
                </c:pt>
                <c:pt idx="83">
                  <c:v>100.3331</c:v>
                </c:pt>
                <c:pt idx="84">
                  <c:v>109.33</c:v>
                </c:pt>
                <c:pt idx="85">
                  <c:v>80.024100000000004</c:v>
                </c:pt>
                <c:pt idx="86">
                  <c:v>72.604900000000001</c:v>
                </c:pt>
                <c:pt idx="87">
                  <c:v>115.71599999999999</c:v>
                </c:pt>
                <c:pt idx="88">
                  <c:v>129.19540000000001</c:v>
                </c:pt>
                <c:pt idx="89">
                  <c:v>87.167599999999993</c:v>
                </c:pt>
                <c:pt idx="90">
                  <c:v>83.626800000000003</c:v>
                </c:pt>
                <c:pt idx="91">
                  <c:v>123.2749</c:v>
                </c:pt>
                <c:pt idx="92">
                  <c:v>135.46719999999999</c:v>
                </c:pt>
                <c:pt idx="93">
                  <c:v>111.5441</c:v>
                </c:pt>
                <c:pt idx="94">
                  <c:v>97.346000000000004</c:v>
                </c:pt>
                <c:pt idx="95">
                  <c:v>80.496899999999997</c:v>
                </c:pt>
                <c:pt idx="96">
                  <c:v>124.1759</c:v>
                </c:pt>
                <c:pt idx="97">
                  <c:v>61.837899999999998</c:v>
                </c:pt>
                <c:pt idx="98">
                  <c:v>51.597700000000003</c:v>
                </c:pt>
                <c:pt idx="99">
                  <c:v>85.471500000000006</c:v>
                </c:pt>
                <c:pt idx="100">
                  <c:v>89.339200000000005</c:v>
                </c:pt>
                <c:pt idx="101">
                  <c:v>193.57560000000001</c:v>
                </c:pt>
                <c:pt idx="102">
                  <c:v>125.0626</c:v>
                </c:pt>
                <c:pt idx="103">
                  <c:v>124.9054</c:v>
                </c:pt>
                <c:pt idx="104">
                  <c:v>123.5891</c:v>
                </c:pt>
                <c:pt idx="105">
                  <c:v>99.206199999999995</c:v>
                </c:pt>
                <c:pt idx="106">
                  <c:v>67.836399999999998</c:v>
                </c:pt>
                <c:pt idx="107">
                  <c:v>45.508600000000001</c:v>
                </c:pt>
                <c:pt idx="108">
                  <c:v>55.467500000000001</c:v>
                </c:pt>
                <c:pt idx="109">
                  <c:v>208.75479999999999</c:v>
                </c:pt>
                <c:pt idx="110">
                  <c:v>135.23769999999999</c:v>
                </c:pt>
                <c:pt idx="111">
                  <c:v>110.2722</c:v>
                </c:pt>
                <c:pt idx="112">
                  <c:v>93.218800000000002</c:v>
                </c:pt>
                <c:pt idx="113">
                  <c:v>82.784000000000006</c:v>
                </c:pt>
                <c:pt idx="114">
                  <c:v>105.5449</c:v>
                </c:pt>
                <c:pt idx="115">
                  <c:v>94.881299999999996</c:v>
                </c:pt>
                <c:pt idx="116">
                  <c:v>61.726999999999997</c:v>
                </c:pt>
                <c:pt idx="117">
                  <c:v>96.268699999999995</c:v>
                </c:pt>
                <c:pt idx="118">
                  <c:v>100.33240000000001</c:v>
                </c:pt>
                <c:pt idx="119">
                  <c:v>71.248699999999999</c:v>
                </c:pt>
                <c:pt idx="120">
                  <c:v>85.296700000000001</c:v>
                </c:pt>
                <c:pt idx="121">
                  <c:v>137.01300000000001</c:v>
                </c:pt>
                <c:pt idx="122">
                  <c:v>113.4096</c:v>
                </c:pt>
                <c:pt idx="123">
                  <c:v>156.73410000000001</c:v>
                </c:pt>
                <c:pt idx="124">
                  <c:v>106.8381</c:v>
                </c:pt>
                <c:pt idx="125">
                  <c:v>94.275899999999993</c:v>
                </c:pt>
                <c:pt idx="126">
                  <c:v>110.1994</c:v>
                </c:pt>
                <c:pt idx="127">
                  <c:v>133.22190000000001</c:v>
                </c:pt>
                <c:pt idx="128">
                  <c:v>90.071299999999994</c:v>
                </c:pt>
                <c:pt idx="129">
                  <c:v>151.7372</c:v>
                </c:pt>
                <c:pt idx="130">
                  <c:v>98.585899999999995</c:v>
                </c:pt>
                <c:pt idx="131">
                  <c:v>82.016199999999998</c:v>
                </c:pt>
                <c:pt idx="132">
                  <c:v>160.7568</c:v>
                </c:pt>
                <c:pt idx="133">
                  <c:v>100.63679999999999</c:v>
                </c:pt>
                <c:pt idx="134">
                  <c:v>84.763499999999993</c:v>
                </c:pt>
                <c:pt idx="135">
                  <c:v>80.941900000000004</c:v>
                </c:pt>
                <c:pt idx="136">
                  <c:v>87.447100000000006</c:v>
                </c:pt>
                <c:pt idx="137">
                  <c:v>101.098</c:v>
                </c:pt>
                <c:pt idx="138">
                  <c:v>119.5009</c:v>
                </c:pt>
                <c:pt idx="139">
                  <c:v>136.95660000000001</c:v>
                </c:pt>
                <c:pt idx="140">
                  <c:v>82.216200000000001</c:v>
                </c:pt>
                <c:pt idx="141">
                  <c:v>121.9568</c:v>
                </c:pt>
                <c:pt idx="142">
                  <c:v>94.197699999999998</c:v>
                </c:pt>
                <c:pt idx="143">
                  <c:v>111.1284</c:v>
                </c:pt>
                <c:pt idx="144">
                  <c:v>150.58519999999999</c:v>
                </c:pt>
                <c:pt idx="145">
                  <c:v>176.7379</c:v>
                </c:pt>
                <c:pt idx="146">
                  <c:v>103.4186</c:v>
                </c:pt>
                <c:pt idx="147">
                  <c:v>100.0902</c:v>
                </c:pt>
                <c:pt idx="148">
                  <c:v>173.5385</c:v>
                </c:pt>
                <c:pt idx="149">
                  <c:v>72.815200000000004</c:v>
                </c:pt>
                <c:pt idx="150">
                  <c:v>86.535200000000003</c:v>
                </c:pt>
                <c:pt idx="151">
                  <c:v>46.795999999999999</c:v>
                </c:pt>
                <c:pt idx="152">
                  <c:v>164.61689999999999</c:v>
                </c:pt>
                <c:pt idx="153">
                  <c:v>126.3451</c:v>
                </c:pt>
                <c:pt idx="154">
                  <c:v>91.672399999999996</c:v>
                </c:pt>
                <c:pt idx="155">
                  <c:v>73.759399999999999</c:v>
                </c:pt>
                <c:pt idx="156">
                  <c:v>162.23310000000001</c:v>
                </c:pt>
                <c:pt idx="157">
                  <c:v>105.6474</c:v>
                </c:pt>
                <c:pt idx="158">
                  <c:v>74.594499999999996</c:v>
                </c:pt>
                <c:pt idx="159">
                  <c:v>89.738299999999995</c:v>
                </c:pt>
                <c:pt idx="160">
                  <c:v>79.492400000000004</c:v>
                </c:pt>
                <c:pt idx="161">
                  <c:v>95.706299999999999</c:v>
                </c:pt>
                <c:pt idx="162">
                  <c:v>58.122500000000002</c:v>
                </c:pt>
                <c:pt idx="163">
                  <c:v>83.770700000000005</c:v>
                </c:pt>
                <c:pt idx="164">
                  <c:v>112.2568</c:v>
                </c:pt>
                <c:pt idx="165">
                  <c:v>102.7687</c:v>
                </c:pt>
                <c:pt idx="166">
                  <c:v>98.402799999999999</c:v>
                </c:pt>
                <c:pt idx="167">
                  <c:v>78.025899999999993</c:v>
                </c:pt>
                <c:pt idx="168">
                  <c:v>69.321799999999996</c:v>
                </c:pt>
                <c:pt idx="169">
                  <c:v>115.0261</c:v>
                </c:pt>
                <c:pt idx="170">
                  <c:v>94.506399999999999</c:v>
                </c:pt>
                <c:pt idx="171">
                  <c:v>59.155799999999999</c:v>
                </c:pt>
                <c:pt idx="172">
                  <c:v>122.3494</c:v>
                </c:pt>
                <c:pt idx="173">
                  <c:v>171.39189999999999</c:v>
                </c:pt>
                <c:pt idx="174">
                  <c:v>170.37039999999999</c:v>
                </c:pt>
                <c:pt idx="175">
                  <c:v>119.8445</c:v>
                </c:pt>
                <c:pt idx="176">
                  <c:v>122.67400000000001</c:v>
                </c:pt>
                <c:pt idx="177">
                  <c:v>101.0106</c:v>
                </c:pt>
                <c:pt idx="178">
                  <c:v>119.13379999999999</c:v>
                </c:pt>
                <c:pt idx="179">
                  <c:v>100.1904</c:v>
                </c:pt>
                <c:pt idx="180">
                  <c:v>85.908699999999996</c:v>
                </c:pt>
                <c:pt idx="181">
                  <c:v>117.14360000000001</c:v>
                </c:pt>
                <c:pt idx="182">
                  <c:v>94.538899999999998</c:v>
                </c:pt>
                <c:pt idx="183">
                  <c:v>151.12459999999999</c:v>
                </c:pt>
                <c:pt idx="184">
                  <c:v>120.47539999999999</c:v>
                </c:pt>
                <c:pt idx="185">
                  <c:v>159.10079999999999</c:v>
                </c:pt>
                <c:pt idx="186">
                  <c:v>265.09440000000001</c:v>
                </c:pt>
                <c:pt idx="187">
                  <c:v>121.5508</c:v>
                </c:pt>
                <c:pt idx="188">
                  <c:v>77.908799999999999</c:v>
                </c:pt>
                <c:pt idx="189">
                  <c:v>65.984300000000005</c:v>
                </c:pt>
                <c:pt idx="190">
                  <c:v>87.512200000000007</c:v>
                </c:pt>
                <c:pt idx="191">
                  <c:v>132.2373</c:v>
                </c:pt>
                <c:pt idx="192">
                  <c:v>90.617000000000004</c:v>
                </c:pt>
                <c:pt idx="193">
                  <c:v>208.1251</c:v>
                </c:pt>
                <c:pt idx="194">
                  <c:v>85.026499999999999</c:v>
                </c:pt>
                <c:pt idx="195">
                  <c:v>136.46899999999999</c:v>
                </c:pt>
                <c:pt idx="196">
                  <c:v>60.451099999999997</c:v>
                </c:pt>
                <c:pt idx="197">
                  <c:v>114.18510000000001</c:v>
                </c:pt>
                <c:pt idx="198">
                  <c:v>94.309399999999997</c:v>
                </c:pt>
                <c:pt idx="199">
                  <c:v>142.32390000000001</c:v>
                </c:pt>
                <c:pt idx="200">
                  <c:v>116.4062</c:v>
                </c:pt>
                <c:pt idx="201">
                  <c:v>102.4014</c:v>
                </c:pt>
                <c:pt idx="202">
                  <c:v>132.46639999999999</c:v>
                </c:pt>
                <c:pt idx="203">
                  <c:v>56.974699999999999</c:v>
                </c:pt>
                <c:pt idx="204">
                  <c:v>86.096400000000003</c:v>
                </c:pt>
                <c:pt idx="205">
                  <c:v>60.633699999999997</c:v>
                </c:pt>
                <c:pt idx="206">
                  <c:v>74.124099999999999</c:v>
                </c:pt>
                <c:pt idx="207">
                  <c:v>129.55959999999999</c:v>
                </c:pt>
                <c:pt idx="208">
                  <c:v>130.46190000000001</c:v>
                </c:pt>
                <c:pt idx="209">
                  <c:v>114.6331</c:v>
                </c:pt>
                <c:pt idx="210">
                  <c:v>99.716099999999997</c:v>
                </c:pt>
                <c:pt idx="211">
                  <c:v>87.985799999999998</c:v>
                </c:pt>
                <c:pt idx="212">
                  <c:v>101.9162</c:v>
                </c:pt>
                <c:pt idx="213">
                  <c:v>114.1533</c:v>
                </c:pt>
                <c:pt idx="214">
                  <c:v>131.84180000000001</c:v>
                </c:pt>
                <c:pt idx="215">
                  <c:v>141.91669999999999</c:v>
                </c:pt>
                <c:pt idx="216">
                  <c:v>131.76130000000001</c:v>
                </c:pt>
                <c:pt idx="217">
                  <c:v>103.3896</c:v>
                </c:pt>
                <c:pt idx="218">
                  <c:v>77.261499999999998</c:v>
                </c:pt>
                <c:pt idx="219">
                  <c:v>66.391999999999996</c:v>
                </c:pt>
                <c:pt idx="220">
                  <c:v>91.412700000000001</c:v>
                </c:pt>
                <c:pt idx="221">
                  <c:v>107.6609</c:v>
                </c:pt>
                <c:pt idx="222">
                  <c:v>77.252300000000005</c:v>
                </c:pt>
                <c:pt idx="223">
                  <c:v>149.19130000000001</c:v>
                </c:pt>
                <c:pt idx="224">
                  <c:v>162.578</c:v>
                </c:pt>
                <c:pt idx="225">
                  <c:v>66.200100000000006</c:v>
                </c:pt>
                <c:pt idx="226">
                  <c:v>111.2419</c:v>
                </c:pt>
                <c:pt idx="227">
                  <c:v>82.242099999999994</c:v>
                </c:pt>
                <c:pt idx="228">
                  <c:v>76.747500000000002</c:v>
                </c:pt>
                <c:pt idx="229">
                  <c:v>90.050899999999999</c:v>
                </c:pt>
                <c:pt idx="230">
                  <c:v>107.4588</c:v>
                </c:pt>
                <c:pt idx="231">
                  <c:v>113.0646</c:v>
                </c:pt>
                <c:pt idx="232">
                  <c:v>125.1439</c:v>
                </c:pt>
                <c:pt idx="233">
                  <c:v>83.866600000000005</c:v>
                </c:pt>
                <c:pt idx="234">
                  <c:v>91.8108</c:v>
                </c:pt>
                <c:pt idx="235">
                  <c:v>83.656000000000006</c:v>
                </c:pt>
                <c:pt idx="236">
                  <c:v>152.77440000000001</c:v>
                </c:pt>
                <c:pt idx="237">
                  <c:v>97.245099999999994</c:v>
                </c:pt>
                <c:pt idx="238">
                  <c:v>83.112399999999994</c:v>
                </c:pt>
                <c:pt idx="239">
                  <c:v>86.530600000000007</c:v>
                </c:pt>
                <c:pt idx="240">
                  <c:v>97.574399999999997</c:v>
                </c:pt>
                <c:pt idx="241">
                  <c:v>127.3416</c:v>
                </c:pt>
                <c:pt idx="242">
                  <c:v>116.393</c:v>
                </c:pt>
                <c:pt idx="243">
                  <c:v>246.02539999999999</c:v>
                </c:pt>
                <c:pt idx="244">
                  <c:v>161.20259999999999</c:v>
                </c:pt>
                <c:pt idx="245">
                  <c:v>125.3416</c:v>
                </c:pt>
                <c:pt idx="246">
                  <c:v>104.96429999999999</c:v>
                </c:pt>
                <c:pt idx="247">
                  <c:v>106.9524</c:v>
                </c:pt>
                <c:pt idx="248">
                  <c:v>71.837999999999994</c:v>
                </c:pt>
                <c:pt idx="249">
                  <c:v>86.149500000000003</c:v>
                </c:pt>
                <c:pt idx="250">
                  <c:v>117.1579</c:v>
                </c:pt>
                <c:pt idx="251">
                  <c:v>65.516300000000001</c:v>
                </c:pt>
                <c:pt idx="252">
                  <c:v>85.675700000000006</c:v>
                </c:pt>
                <c:pt idx="253">
                  <c:v>101.0946</c:v>
                </c:pt>
                <c:pt idx="254">
                  <c:v>55.536099999999998</c:v>
                </c:pt>
                <c:pt idx="255">
                  <c:v>146.43860000000001</c:v>
                </c:pt>
                <c:pt idx="256">
                  <c:v>62.057200000000002</c:v>
                </c:pt>
                <c:pt idx="257">
                  <c:v>96.251400000000004</c:v>
                </c:pt>
                <c:pt idx="258">
                  <c:v>95.2119</c:v>
                </c:pt>
                <c:pt idx="259">
                  <c:v>152.13980000000001</c:v>
                </c:pt>
                <c:pt idx="260">
                  <c:v>53.337699999999998</c:v>
                </c:pt>
                <c:pt idx="261">
                  <c:v>109.6246</c:v>
                </c:pt>
                <c:pt idx="262">
                  <c:v>60.131399999999999</c:v>
                </c:pt>
                <c:pt idx="263">
                  <c:v>56.418599999999998</c:v>
                </c:pt>
                <c:pt idx="264">
                  <c:v>158.59780000000001</c:v>
                </c:pt>
                <c:pt idx="265">
                  <c:v>89.887299999999996</c:v>
                </c:pt>
                <c:pt idx="266">
                  <c:v>135.78700000000001</c:v>
                </c:pt>
                <c:pt idx="267">
                  <c:v>63.603999999999999</c:v>
                </c:pt>
                <c:pt idx="268">
                  <c:v>88.569000000000003</c:v>
                </c:pt>
                <c:pt idx="269">
                  <c:v>56.111899999999999</c:v>
                </c:pt>
                <c:pt idx="270">
                  <c:v>145.67429999999999</c:v>
                </c:pt>
                <c:pt idx="271">
                  <c:v>155.22389999999999</c:v>
                </c:pt>
                <c:pt idx="272">
                  <c:v>116.0534</c:v>
                </c:pt>
                <c:pt idx="273">
                  <c:v>109.4195</c:v>
                </c:pt>
                <c:pt idx="274">
                  <c:v>143.1934</c:v>
                </c:pt>
                <c:pt idx="275">
                  <c:v>101.65170000000001</c:v>
                </c:pt>
                <c:pt idx="276">
                  <c:v>112.48739999999999</c:v>
                </c:pt>
                <c:pt idx="277">
                  <c:v>110.29810000000001</c:v>
                </c:pt>
                <c:pt idx="278">
                  <c:v>163.68340000000001</c:v>
                </c:pt>
                <c:pt idx="279">
                  <c:v>148.17779999999999</c:v>
                </c:pt>
                <c:pt idx="280">
                  <c:v>157.58799999999999</c:v>
                </c:pt>
                <c:pt idx="281">
                  <c:v>112.60550000000001</c:v>
                </c:pt>
                <c:pt idx="282">
                  <c:v>102.5133</c:v>
                </c:pt>
                <c:pt idx="283">
                  <c:v>101.36150000000001</c:v>
                </c:pt>
                <c:pt idx="284">
                  <c:v>135.01259999999999</c:v>
                </c:pt>
                <c:pt idx="285">
                  <c:v>95.639300000000006</c:v>
                </c:pt>
                <c:pt idx="286">
                  <c:v>84.845100000000002</c:v>
                </c:pt>
                <c:pt idx="287">
                  <c:v>138.0086</c:v>
                </c:pt>
                <c:pt idx="288">
                  <c:v>84.911799999999999</c:v>
                </c:pt>
                <c:pt idx="289">
                  <c:v>116.5106</c:v>
                </c:pt>
                <c:pt idx="290">
                  <c:v>83.042400000000001</c:v>
                </c:pt>
                <c:pt idx="291">
                  <c:v>111.4118</c:v>
                </c:pt>
                <c:pt idx="292">
                  <c:v>104.407</c:v>
                </c:pt>
                <c:pt idx="293">
                  <c:v>94.292900000000003</c:v>
                </c:pt>
                <c:pt idx="294">
                  <c:v>139.8425</c:v>
                </c:pt>
                <c:pt idx="295">
                  <c:v>119.97110000000001</c:v>
                </c:pt>
                <c:pt idx="296">
                  <c:v>87.153099999999995</c:v>
                </c:pt>
                <c:pt idx="297">
                  <c:v>82.180199999999999</c:v>
                </c:pt>
                <c:pt idx="298">
                  <c:v>117.0839</c:v>
                </c:pt>
                <c:pt idx="299">
                  <c:v>135.30520000000001</c:v>
                </c:pt>
                <c:pt idx="300">
                  <c:v>123.1418</c:v>
                </c:pt>
                <c:pt idx="301">
                  <c:v>86.045500000000004</c:v>
                </c:pt>
                <c:pt idx="302">
                  <c:v>122.1885</c:v>
                </c:pt>
                <c:pt idx="303">
                  <c:v>122.509</c:v>
                </c:pt>
                <c:pt idx="304">
                  <c:v>114.3015</c:v>
                </c:pt>
                <c:pt idx="305">
                  <c:v>143.53460000000001</c:v>
                </c:pt>
                <c:pt idx="306">
                  <c:v>93.361699999999999</c:v>
                </c:pt>
                <c:pt idx="307">
                  <c:v>91.475800000000007</c:v>
                </c:pt>
                <c:pt idx="308">
                  <c:v>153.76759999999999</c:v>
                </c:pt>
                <c:pt idx="309">
                  <c:v>104.3737</c:v>
                </c:pt>
                <c:pt idx="310">
                  <c:v>128.2251</c:v>
                </c:pt>
                <c:pt idx="311">
                  <c:v>98.814099999999996</c:v>
                </c:pt>
                <c:pt idx="312">
                  <c:v>80.437100000000001</c:v>
                </c:pt>
                <c:pt idx="313">
                  <c:v>64.912199999999999</c:v>
                </c:pt>
                <c:pt idx="314">
                  <c:v>74.786900000000003</c:v>
                </c:pt>
                <c:pt idx="315">
                  <c:v>110.11790000000001</c:v>
                </c:pt>
                <c:pt idx="316">
                  <c:v>153.2457</c:v>
                </c:pt>
                <c:pt idx="317">
                  <c:v>142.87379999999999</c:v>
                </c:pt>
                <c:pt idx="318">
                  <c:v>74.887799999999999</c:v>
                </c:pt>
                <c:pt idx="319">
                  <c:v>114.8681</c:v>
                </c:pt>
                <c:pt idx="320">
                  <c:v>133.28389999999999</c:v>
                </c:pt>
                <c:pt idx="321">
                  <c:v>79.561999999999998</c:v>
                </c:pt>
                <c:pt idx="322">
                  <c:v>109.12309999999999</c:v>
                </c:pt>
                <c:pt idx="323">
                  <c:v>105.7889</c:v>
                </c:pt>
                <c:pt idx="324">
                  <c:v>78.856999999999999</c:v>
                </c:pt>
                <c:pt idx="325">
                  <c:v>56.231900000000003</c:v>
                </c:pt>
                <c:pt idx="326">
                  <c:v>91.677000000000007</c:v>
                </c:pt>
                <c:pt idx="327">
                  <c:v>131.94470000000001</c:v>
                </c:pt>
                <c:pt idx="328">
                  <c:v>130.89930000000001</c:v>
                </c:pt>
                <c:pt idx="329">
                  <c:v>87.643799999999999</c:v>
                </c:pt>
                <c:pt idx="330">
                  <c:v>112.6405</c:v>
                </c:pt>
                <c:pt idx="331">
                  <c:v>90.582300000000004</c:v>
                </c:pt>
                <c:pt idx="332">
                  <c:v>205.8888</c:v>
                </c:pt>
                <c:pt idx="333">
                  <c:v>112.3738</c:v>
                </c:pt>
                <c:pt idx="334">
                  <c:v>69.706000000000003</c:v>
                </c:pt>
                <c:pt idx="335">
                  <c:v>109.84690000000001</c:v>
                </c:pt>
                <c:pt idx="336">
                  <c:v>94.085700000000003</c:v>
                </c:pt>
                <c:pt idx="337">
                  <c:v>121.2799</c:v>
                </c:pt>
                <c:pt idx="338">
                  <c:v>112.3951</c:v>
                </c:pt>
                <c:pt idx="339">
                  <c:v>134.91839999999999</c:v>
                </c:pt>
                <c:pt idx="340">
                  <c:v>106.9224</c:v>
                </c:pt>
                <c:pt idx="341">
                  <c:v>99.383899999999997</c:v>
                </c:pt>
                <c:pt idx="342">
                  <c:v>85.545000000000002</c:v>
                </c:pt>
                <c:pt idx="343">
                  <c:v>55.021999999999998</c:v>
                </c:pt>
                <c:pt idx="344">
                  <c:v>161.97489999999999</c:v>
                </c:pt>
                <c:pt idx="345">
                  <c:v>104.3693</c:v>
                </c:pt>
                <c:pt idx="346">
                  <c:v>135.1814</c:v>
                </c:pt>
                <c:pt idx="347">
                  <c:v>94.778199999999998</c:v>
                </c:pt>
                <c:pt idx="348">
                  <c:v>83.244399999999999</c:v>
                </c:pt>
                <c:pt idx="349">
                  <c:v>133.05609999999999</c:v>
                </c:pt>
                <c:pt idx="350">
                  <c:v>87.396199999999993</c:v>
                </c:pt>
                <c:pt idx="351">
                  <c:v>69.222399999999993</c:v>
                </c:pt>
                <c:pt idx="352">
                  <c:v>135.458</c:v>
                </c:pt>
                <c:pt idx="353">
                  <c:v>112.7269</c:v>
                </c:pt>
                <c:pt idx="354">
                  <c:v>61.308900000000001</c:v>
                </c:pt>
                <c:pt idx="355">
                  <c:v>105.42919999999999</c:v>
                </c:pt>
                <c:pt idx="356">
                  <c:v>107.9504</c:v>
                </c:pt>
                <c:pt idx="357">
                  <c:v>59.501199999999997</c:v>
                </c:pt>
                <c:pt idx="358">
                  <c:v>78.925899999999999</c:v>
                </c:pt>
                <c:pt idx="359">
                  <c:v>117.1045</c:v>
                </c:pt>
                <c:pt idx="360">
                  <c:v>107.6294</c:v>
                </c:pt>
                <c:pt idx="361">
                  <c:v>70.752600000000001</c:v>
                </c:pt>
                <c:pt idx="362">
                  <c:v>125.8309</c:v>
                </c:pt>
                <c:pt idx="363">
                  <c:v>79.943600000000004</c:v>
                </c:pt>
                <c:pt idx="364">
                  <c:v>90.574100000000001</c:v>
                </c:pt>
                <c:pt idx="365">
                  <c:v>75.938100000000006</c:v>
                </c:pt>
                <c:pt idx="366">
                  <c:v>145.6645</c:v>
                </c:pt>
                <c:pt idx="367">
                  <c:v>112.5209</c:v>
                </c:pt>
                <c:pt idx="368">
                  <c:v>99.545900000000003</c:v>
                </c:pt>
                <c:pt idx="369">
                  <c:v>104.7259</c:v>
                </c:pt>
                <c:pt idx="370">
                  <c:v>109.3385</c:v>
                </c:pt>
                <c:pt idx="371">
                  <c:v>77.424400000000006</c:v>
                </c:pt>
                <c:pt idx="372">
                  <c:v>70.084800000000001</c:v>
                </c:pt>
                <c:pt idx="373">
                  <c:v>75.139799999999994</c:v>
                </c:pt>
                <c:pt idx="374">
                  <c:v>114.6998</c:v>
                </c:pt>
                <c:pt idx="375">
                  <c:v>144.33529999999999</c:v>
                </c:pt>
                <c:pt idx="376">
                  <c:v>85.232399999999998</c:v>
                </c:pt>
                <c:pt idx="377">
                  <c:v>95.464299999999994</c:v>
                </c:pt>
                <c:pt idx="378">
                  <c:v>41.354100000000003</c:v>
                </c:pt>
                <c:pt idx="379">
                  <c:v>178.2011</c:v>
                </c:pt>
                <c:pt idx="380">
                  <c:v>101.3026</c:v>
                </c:pt>
                <c:pt idx="381">
                  <c:v>75.654600000000002</c:v>
                </c:pt>
                <c:pt idx="382">
                  <c:v>92.119399999999999</c:v>
                </c:pt>
                <c:pt idx="383">
                  <c:v>61.16</c:v>
                </c:pt>
                <c:pt idx="384">
                  <c:v>95.111099999999993</c:v>
                </c:pt>
                <c:pt idx="385">
                  <c:v>68.944100000000006</c:v>
                </c:pt>
                <c:pt idx="386">
                  <c:v>127.1357</c:v>
                </c:pt>
                <c:pt idx="387">
                  <c:v>131.55170000000001</c:v>
                </c:pt>
                <c:pt idx="388">
                  <c:v>75.577799999999996</c:v>
                </c:pt>
                <c:pt idx="389">
                  <c:v>102.8185</c:v>
                </c:pt>
                <c:pt idx="390">
                  <c:v>99.811300000000003</c:v>
                </c:pt>
                <c:pt idx="391">
                  <c:v>115.879</c:v>
                </c:pt>
                <c:pt idx="392">
                  <c:v>90.827600000000004</c:v>
                </c:pt>
                <c:pt idx="393">
                  <c:v>58.878999999999998</c:v>
                </c:pt>
                <c:pt idx="394">
                  <c:v>149.7587</c:v>
                </c:pt>
                <c:pt idx="395">
                  <c:v>109.9436</c:v>
                </c:pt>
                <c:pt idx="396">
                  <c:v>135.88999999999999</c:v>
                </c:pt>
                <c:pt idx="397">
                  <c:v>116.441</c:v>
                </c:pt>
                <c:pt idx="398">
                  <c:v>115.86969999999999</c:v>
                </c:pt>
                <c:pt idx="399">
                  <c:v>214.19759999999999</c:v>
                </c:pt>
                <c:pt idx="400">
                  <c:v>130.18049999999999</c:v>
                </c:pt>
                <c:pt idx="401">
                  <c:v>105.65770000000001</c:v>
                </c:pt>
                <c:pt idx="402">
                  <c:v>113.5343</c:v>
                </c:pt>
                <c:pt idx="403">
                  <c:v>102.5549</c:v>
                </c:pt>
                <c:pt idx="404">
                  <c:v>96.732399999999998</c:v>
                </c:pt>
                <c:pt idx="405">
                  <c:v>136.35769999999999</c:v>
                </c:pt>
                <c:pt idx="406">
                  <c:v>75.998500000000007</c:v>
                </c:pt>
                <c:pt idx="407">
                  <c:v>134.8663</c:v>
                </c:pt>
                <c:pt idx="408">
                  <c:v>91.533900000000003</c:v>
                </c:pt>
                <c:pt idx="409">
                  <c:v>87.945099999999996</c:v>
                </c:pt>
                <c:pt idx="410">
                  <c:v>114.7466</c:v>
                </c:pt>
                <c:pt idx="411">
                  <c:v>110.3578</c:v>
                </c:pt>
                <c:pt idx="412">
                  <c:v>131.04839999999999</c:v>
                </c:pt>
                <c:pt idx="413">
                  <c:v>82.727699999999999</c:v>
                </c:pt>
                <c:pt idx="414">
                  <c:v>117.1344</c:v>
                </c:pt>
                <c:pt idx="415">
                  <c:v>99.602800000000002</c:v>
                </c:pt>
                <c:pt idx="416">
                  <c:v>75.514200000000002</c:v>
                </c:pt>
                <c:pt idx="417">
                  <c:v>101.1529</c:v>
                </c:pt>
                <c:pt idx="418">
                  <c:v>93.6798</c:v>
                </c:pt>
                <c:pt idx="419">
                  <c:v>129.4023</c:v>
                </c:pt>
                <c:pt idx="420">
                  <c:v>148.20840000000001</c:v>
                </c:pt>
                <c:pt idx="421">
                  <c:v>89.995800000000003</c:v>
                </c:pt>
                <c:pt idx="422">
                  <c:v>87.162599999999998</c:v>
                </c:pt>
                <c:pt idx="423">
                  <c:v>99.954599999999999</c:v>
                </c:pt>
                <c:pt idx="424">
                  <c:v>78.615600000000001</c:v>
                </c:pt>
                <c:pt idx="425">
                  <c:v>92.656099999999995</c:v>
                </c:pt>
                <c:pt idx="426">
                  <c:v>73.304599999999994</c:v>
                </c:pt>
                <c:pt idx="427">
                  <c:v>116.8287</c:v>
                </c:pt>
                <c:pt idx="428">
                  <c:v>86.055000000000007</c:v>
                </c:pt>
                <c:pt idx="429">
                  <c:v>117.8583</c:v>
                </c:pt>
                <c:pt idx="430">
                  <c:v>116.04300000000001</c:v>
                </c:pt>
                <c:pt idx="431">
                  <c:v>92.786699999999996</c:v>
                </c:pt>
                <c:pt idx="432">
                  <c:v>66.250200000000007</c:v>
                </c:pt>
                <c:pt idx="433">
                  <c:v>92.874600000000001</c:v>
                </c:pt>
                <c:pt idx="434">
                  <c:v>89.653700000000001</c:v>
                </c:pt>
                <c:pt idx="435">
                  <c:v>92.014300000000006</c:v>
                </c:pt>
                <c:pt idx="436">
                  <c:v>161.63249999999999</c:v>
                </c:pt>
                <c:pt idx="437">
                  <c:v>129.9281</c:v>
                </c:pt>
                <c:pt idx="438">
                  <c:v>82.097999999999999</c:v>
                </c:pt>
                <c:pt idx="439">
                  <c:v>47.0411</c:v>
                </c:pt>
                <c:pt idx="440">
                  <c:v>96.836500000000001</c:v>
                </c:pt>
                <c:pt idx="441">
                  <c:v>159.76750000000001</c:v>
                </c:pt>
                <c:pt idx="442">
                  <c:v>140.96350000000001</c:v>
                </c:pt>
                <c:pt idx="443">
                  <c:v>130.3323</c:v>
                </c:pt>
                <c:pt idx="444">
                  <c:v>83.508099999999999</c:v>
                </c:pt>
                <c:pt idx="445">
                  <c:v>116.6906</c:v>
                </c:pt>
                <c:pt idx="446">
                  <c:v>152.11859999999999</c:v>
                </c:pt>
                <c:pt idx="447">
                  <c:v>126.2373</c:v>
                </c:pt>
                <c:pt idx="448">
                  <c:v>174.364</c:v>
                </c:pt>
                <c:pt idx="449">
                  <c:v>107.6619</c:v>
                </c:pt>
                <c:pt idx="450">
                  <c:v>71.471299999999999</c:v>
                </c:pt>
                <c:pt idx="451">
                  <c:v>94.062399999999997</c:v>
                </c:pt>
                <c:pt idx="452">
                  <c:v>87.241100000000003</c:v>
                </c:pt>
                <c:pt idx="453">
                  <c:v>109.6052</c:v>
                </c:pt>
                <c:pt idx="454">
                  <c:v>62.767499999999998</c:v>
                </c:pt>
                <c:pt idx="455">
                  <c:v>105.3507</c:v>
                </c:pt>
                <c:pt idx="456">
                  <c:v>67.0334</c:v>
                </c:pt>
                <c:pt idx="457">
                  <c:v>91.011600000000001</c:v>
                </c:pt>
                <c:pt idx="458">
                  <c:v>165.1576</c:v>
                </c:pt>
                <c:pt idx="459">
                  <c:v>128.99780000000001</c:v>
                </c:pt>
                <c:pt idx="460">
                  <c:v>54.862499999999997</c:v>
                </c:pt>
                <c:pt idx="461">
                  <c:v>101.7111</c:v>
                </c:pt>
                <c:pt idx="462">
                  <c:v>111.1281</c:v>
                </c:pt>
                <c:pt idx="463">
                  <c:v>112.4585</c:v>
                </c:pt>
                <c:pt idx="464">
                  <c:v>66.281099999999995</c:v>
                </c:pt>
                <c:pt idx="465">
                  <c:v>94.476799999999997</c:v>
                </c:pt>
                <c:pt idx="466">
                  <c:v>83.047799999999995</c:v>
                </c:pt>
                <c:pt idx="467">
                  <c:v>63.618400000000001</c:v>
                </c:pt>
                <c:pt idx="468">
                  <c:v>61.383800000000001</c:v>
                </c:pt>
                <c:pt idx="469">
                  <c:v>106.0067</c:v>
                </c:pt>
                <c:pt idx="470">
                  <c:v>79.531800000000004</c:v>
                </c:pt>
                <c:pt idx="471">
                  <c:v>91.229600000000005</c:v>
                </c:pt>
                <c:pt idx="472">
                  <c:v>145.64670000000001</c:v>
                </c:pt>
                <c:pt idx="473">
                  <c:v>96.180700000000002</c:v>
                </c:pt>
                <c:pt idx="474">
                  <c:v>114.14530000000001</c:v>
                </c:pt>
                <c:pt idx="475">
                  <c:v>59.070300000000003</c:v>
                </c:pt>
                <c:pt idx="476">
                  <c:v>121.16549999999999</c:v>
                </c:pt>
                <c:pt idx="477">
                  <c:v>111.54600000000001</c:v>
                </c:pt>
                <c:pt idx="478">
                  <c:v>61.0747</c:v>
                </c:pt>
                <c:pt idx="479">
                  <c:v>45.893999999999998</c:v>
                </c:pt>
                <c:pt idx="480">
                  <c:v>80.771900000000002</c:v>
                </c:pt>
                <c:pt idx="481">
                  <c:v>154.28210000000001</c:v>
                </c:pt>
                <c:pt idx="482">
                  <c:v>93.133700000000005</c:v>
                </c:pt>
                <c:pt idx="483">
                  <c:v>143.12809999999999</c:v>
                </c:pt>
                <c:pt idx="484">
                  <c:v>112.14570000000001</c:v>
                </c:pt>
                <c:pt idx="485">
                  <c:v>141.44479999999999</c:v>
                </c:pt>
                <c:pt idx="486">
                  <c:v>95.473399999999998</c:v>
                </c:pt>
                <c:pt idx="487">
                  <c:v>145.18430000000001</c:v>
                </c:pt>
                <c:pt idx="488">
                  <c:v>161.17060000000001</c:v>
                </c:pt>
                <c:pt idx="489">
                  <c:v>143.4538</c:v>
                </c:pt>
                <c:pt idx="490">
                  <c:v>102.8185</c:v>
                </c:pt>
                <c:pt idx="491">
                  <c:v>123.1238</c:v>
                </c:pt>
                <c:pt idx="492">
                  <c:v>201.03149999999999</c:v>
                </c:pt>
                <c:pt idx="493">
                  <c:v>66.030199999999994</c:v>
                </c:pt>
                <c:pt idx="494">
                  <c:v>113.6635</c:v>
                </c:pt>
                <c:pt idx="495">
                  <c:v>108.1057</c:v>
                </c:pt>
                <c:pt idx="496">
                  <c:v>114.8205</c:v>
                </c:pt>
                <c:pt idx="497">
                  <c:v>117.648</c:v>
                </c:pt>
                <c:pt idx="498">
                  <c:v>119.8623</c:v>
                </c:pt>
                <c:pt idx="499">
                  <c:v>109.74379999999999</c:v>
                </c:pt>
                <c:pt idx="500">
                  <c:v>105.6507</c:v>
                </c:pt>
                <c:pt idx="501">
                  <c:v>114.2886</c:v>
                </c:pt>
                <c:pt idx="502">
                  <c:v>159.32050000000001</c:v>
                </c:pt>
                <c:pt idx="503">
                  <c:v>96.095500000000001</c:v>
                </c:pt>
                <c:pt idx="504">
                  <c:v>164.87870000000001</c:v>
                </c:pt>
                <c:pt idx="505">
                  <c:v>61.762099999999997</c:v>
                </c:pt>
                <c:pt idx="506">
                  <c:v>118.2516</c:v>
                </c:pt>
                <c:pt idx="507">
                  <c:v>88.468999999999994</c:v>
                </c:pt>
                <c:pt idx="508">
                  <c:v>114.3907</c:v>
                </c:pt>
                <c:pt idx="509">
                  <c:v>91.828299999999999</c:v>
                </c:pt>
                <c:pt idx="510">
                  <c:v>102.3527</c:v>
                </c:pt>
                <c:pt idx="511">
                  <c:v>47.548200000000001</c:v>
                </c:pt>
                <c:pt idx="512">
                  <c:v>108.72239999999999</c:v>
                </c:pt>
                <c:pt idx="513">
                  <c:v>203.68100000000001</c:v>
                </c:pt>
                <c:pt idx="514">
                  <c:v>71.655000000000001</c:v>
                </c:pt>
                <c:pt idx="515">
                  <c:v>79.343500000000006</c:v>
                </c:pt>
                <c:pt idx="516">
                  <c:v>95.578800000000001</c:v>
                </c:pt>
                <c:pt idx="517">
                  <c:v>122.29430000000001</c:v>
                </c:pt>
                <c:pt idx="518">
                  <c:v>87.575900000000004</c:v>
                </c:pt>
                <c:pt idx="519">
                  <c:v>80.8553</c:v>
                </c:pt>
                <c:pt idx="520">
                  <c:v>108.75109999999999</c:v>
                </c:pt>
                <c:pt idx="521">
                  <c:v>191.6207</c:v>
                </c:pt>
                <c:pt idx="522">
                  <c:v>138.53149999999999</c:v>
                </c:pt>
                <c:pt idx="523">
                  <c:v>111.1794</c:v>
                </c:pt>
                <c:pt idx="524">
                  <c:v>112.3248</c:v>
                </c:pt>
                <c:pt idx="525">
                  <c:v>74.131</c:v>
                </c:pt>
                <c:pt idx="526">
                  <c:v>112.0318</c:v>
                </c:pt>
                <c:pt idx="527">
                  <c:v>58.604599999999998</c:v>
                </c:pt>
                <c:pt idx="528">
                  <c:v>84.499099999999999</c:v>
                </c:pt>
                <c:pt idx="529">
                  <c:v>93.023700000000005</c:v>
                </c:pt>
                <c:pt idx="530">
                  <c:v>92.227099999999993</c:v>
                </c:pt>
                <c:pt idx="531">
                  <c:v>116.3535</c:v>
                </c:pt>
                <c:pt idx="532">
                  <c:v>154.52869999999999</c:v>
                </c:pt>
                <c:pt idx="533">
                  <c:v>163.21190000000001</c:v>
                </c:pt>
                <c:pt idx="534">
                  <c:v>87.363399999999999</c:v>
                </c:pt>
                <c:pt idx="535">
                  <c:v>79.082899999999995</c:v>
                </c:pt>
                <c:pt idx="536">
                  <c:v>85.652600000000007</c:v>
                </c:pt>
                <c:pt idx="537">
                  <c:v>93.184899999999999</c:v>
                </c:pt>
                <c:pt idx="538">
                  <c:v>121.5493</c:v>
                </c:pt>
                <c:pt idx="539">
                  <c:v>132.5821</c:v>
                </c:pt>
                <c:pt idx="540">
                  <c:v>145.1335</c:v>
                </c:pt>
                <c:pt idx="541">
                  <c:v>99.010900000000007</c:v>
                </c:pt>
                <c:pt idx="542">
                  <c:v>111.23990000000001</c:v>
                </c:pt>
                <c:pt idx="543">
                  <c:v>101.7471</c:v>
                </c:pt>
                <c:pt idx="544">
                  <c:v>101.2807</c:v>
                </c:pt>
                <c:pt idx="545">
                  <c:v>102.6601</c:v>
                </c:pt>
                <c:pt idx="546">
                  <c:v>86.825199999999995</c:v>
                </c:pt>
                <c:pt idx="547">
                  <c:v>59.6175</c:v>
                </c:pt>
                <c:pt idx="548">
                  <c:v>114.9726</c:v>
                </c:pt>
                <c:pt idx="549">
                  <c:v>99.990899999999996</c:v>
                </c:pt>
                <c:pt idx="550">
                  <c:v>105.30500000000001</c:v>
                </c:pt>
                <c:pt idx="551">
                  <c:v>129.21369999999999</c:v>
                </c:pt>
                <c:pt idx="552">
                  <c:v>128.37860000000001</c:v>
                </c:pt>
                <c:pt idx="553">
                  <c:v>126.22239999999999</c:v>
                </c:pt>
                <c:pt idx="554">
                  <c:v>90.189700000000002</c:v>
                </c:pt>
                <c:pt idx="555">
                  <c:v>62.419400000000003</c:v>
                </c:pt>
                <c:pt idx="556">
                  <c:v>136.6216</c:v>
                </c:pt>
                <c:pt idx="557">
                  <c:v>81.126199999999997</c:v>
                </c:pt>
                <c:pt idx="558">
                  <c:v>110.54949999999999</c:v>
                </c:pt>
                <c:pt idx="559">
                  <c:v>58.826300000000003</c:v>
                </c:pt>
                <c:pt idx="560">
                  <c:v>81.6374</c:v>
                </c:pt>
                <c:pt idx="561">
                  <c:v>108.17570000000001</c:v>
                </c:pt>
                <c:pt idx="562">
                  <c:v>139.1087</c:v>
                </c:pt>
                <c:pt idx="563">
                  <c:v>95.339200000000005</c:v>
                </c:pt>
                <c:pt idx="564">
                  <c:v>101.20050000000001</c:v>
                </c:pt>
                <c:pt idx="565">
                  <c:v>161.2972</c:v>
                </c:pt>
                <c:pt idx="566">
                  <c:v>64.066199999999995</c:v>
                </c:pt>
                <c:pt idx="567">
                  <c:v>113.8597</c:v>
                </c:pt>
                <c:pt idx="568">
                  <c:v>85.750799999999998</c:v>
                </c:pt>
                <c:pt idx="569">
                  <c:v>112.2033</c:v>
                </c:pt>
                <c:pt idx="570">
                  <c:v>135.15639999999999</c:v>
                </c:pt>
                <c:pt idx="571">
                  <c:v>169.0017</c:v>
                </c:pt>
                <c:pt idx="572">
                  <c:v>104.3094</c:v>
                </c:pt>
                <c:pt idx="573">
                  <c:v>170.5478</c:v>
                </c:pt>
                <c:pt idx="574">
                  <c:v>82.668999999999997</c:v>
                </c:pt>
                <c:pt idx="575">
                  <c:v>79.039699999999996</c:v>
                </c:pt>
                <c:pt idx="576">
                  <c:v>116.92319999999999</c:v>
                </c:pt>
                <c:pt idx="577">
                  <c:v>87.720399999999998</c:v>
                </c:pt>
                <c:pt idx="578">
                  <c:v>73.321600000000004</c:v>
                </c:pt>
                <c:pt idx="579">
                  <c:v>92.524000000000001</c:v>
                </c:pt>
                <c:pt idx="580">
                  <c:v>97.430700000000002</c:v>
                </c:pt>
                <c:pt idx="581">
                  <c:v>81.933999999999997</c:v>
                </c:pt>
                <c:pt idx="582">
                  <c:v>91.611900000000006</c:v>
                </c:pt>
                <c:pt idx="583">
                  <c:v>98.803600000000003</c:v>
                </c:pt>
                <c:pt idx="584">
                  <c:v>110.5228</c:v>
                </c:pt>
                <c:pt idx="585">
                  <c:v>118.62390000000001</c:v>
                </c:pt>
                <c:pt idx="586">
                  <c:v>98.317499999999995</c:v>
                </c:pt>
                <c:pt idx="587">
                  <c:v>127.53449999999999</c:v>
                </c:pt>
                <c:pt idx="588">
                  <c:v>85.045400000000001</c:v>
                </c:pt>
                <c:pt idx="589">
                  <c:v>78.228800000000007</c:v>
                </c:pt>
                <c:pt idx="590">
                  <c:v>75.584299999999999</c:v>
                </c:pt>
                <c:pt idx="591">
                  <c:v>103.2791</c:v>
                </c:pt>
                <c:pt idx="592">
                  <c:v>87.120199999999997</c:v>
                </c:pt>
                <c:pt idx="593">
                  <c:v>120.364</c:v>
                </c:pt>
                <c:pt idx="594">
                  <c:v>119.0444</c:v>
                </c:pt>
                <c:pt idx="595">
                  <c:v>110.4853</c:v>
                </c:pt>
                <c:pt idx="596">
                  <c:v>79.362799999999993</c:v>
                </c:pt>
                <c:pt idx="597">
                  <c:v>120.07510000000001</c:v>
                </c:pt>
                <c:pt idx="598">
                  <c:v>79.142300000000006</c:v>
                </c:pt>
                <c:pt idx="599">
                  <c:v>117.0762</c:v>
                </c:pt>
                <c:pt idx="600">
                  <c:v>122.4935</c:v>
                </c:pt>
                <c:pt idx="601">
                  <c:v>142.91030000000001</c:v>
                </c:pt>
                <c:pt idx="602">
                  <c:v>102.0822</c:v>
                </c:pt>
                <c:pt idx="603">
                  <c:v>128.1259</c:v>
                </c:pt>
                <c:pt idx="604">
                  <c:v>125.52330000000001</c:v>
                </c:pt>
                <c:pt idx="605">
                  <c:v>114.29900000000001</c:v>
                </c:pt>
                <c:pt idx="606">
                  <c:v>80.891000000000005</c:v>
                </c:pt>
                <c:pt idx="607">
                  <c:v>71.869500000000002</c:v>
                </c:pt>
                <c:pt idx="608">
                  <c:v>99.582499999999996</c:v>
                </c:pt>
                <c:pt idx="609">
                  <c:v>100.0843</c:v>
                </c:pt>
                <c:pt idx="610">
                  <c:v>94.786000000000001</c:v>
                </c:pt>
                <c:pt idx="611">
                  <c:v>79.140100000000004</c:v>
                </c:pt>
                <c:pt idx="612">
                  <c:v>75.344399999999993</c:v>
                </c:pt>
                <c:pt idx="613">
                  <c:v>117.5245</c:v>
                </c:pt>
                <c:pt idx="614">
                  <c:v>84.951499999999996</c:v>
                </c:pt>
                <c:pt idx="615">
                  <c:v>88.371700000000004</c:v>
                </c:pt>
                <c:pt idx="616">
                  <c:v>50.033299999999997</c:v>
                </c:pt>
                <c:pt idx="617">
                  <c:v>180.58750000000001</c:v>
                </c:pt>
                <c:pt idx="618">
                  <c:v>97.345600000000005</c:v>
                </c:pt>
                <c:pt idx="619">
                  <c:v>135.04089999999999</c:v>
                </c:pt>
                <c:pt idx="620">
                  <c:v>115.6392</c:v>
                </c:pt>
                <c:pt idx="621">
                  <c:v>70.229200000000006</c:v>
                </c:pt>
                <c:pt idx="622">
                  <c:v>123.5125</c:v>
                </c:pt>
                <c:pt idx="623">
                  <c:v>125.2261</c:v>
                </c:pt>
                <c:pt idx="624">
                  <c:v>81.516800000000003</c:v>
                </c:pt>
                <c:pt idx="625">
                  <c:v>81.927000000000007</c:v>
                </c:pt>
                <c:pt idx="626">
                  <c:v>142.6686</c:v>
                </c:pt>
                <c:pt idx="627">
                  <c:v>144.10290000000001</c:v>
                </c:pt>
                <c:pt idx="628">
                  <c:v>103.8651</c:v>
                </c:pt>
                <c:pt idx="629">
                  <c:v>82.376099999999994</c:v>
                </c:pt>
                <c:pt idx="630">
                  <c:v>95.211500000000001</c:v>
                </c:pt>
                <c:pt idx="631">
                  <c:v>103.7632</c:v>
                </c:pt>
                <c:pt idx="632">
                  <c:v>124.02070000000001</c:v>
                </c:pt>
                <c:pt idx="633">
                  <c:v>83.809899999999999</c:v>
                </c:pt>
                <c:pt idx="634">
                  <c:v>92.068299999999994</c:v>
                </c:pt>
                <c:pt idx="635">
                  <c:v>71.788200000000003</c:v>
                </c:pt>
                <c:pt idx="636">
                  <c:v>94.720799999999997</c:v>
                </c:pt>
                <c:pt idx="637">
                  <c:v>114.7403</c:v>
                </c:pt>
                <c:pt idx="638">
                  <c:v>96.378699999999995</c:v>
                </c:pt>
                <c:pt idx="639">
                  <c:v>62.339100000000002</c:v>
                </c:pt>
                <c:pt idx="640">
                  <c:v>71.122399999999999</c:v>
                </c:pt>
                <c:pt idx="641">
                  <c:v>76.830699999999993</c:v>
                </c:pt>
                <c:pt idx="642">
                  <c:v>92.278199999999998</c:v>
                </c:pt>
                <c:pt idx="643">
                  <c:v>78.293899999999994</c:v>
                </c:pt>
                <c:pt idx="644">
                  <c:v>95.432900000000004</c:v>
                </c:pt>
                <c:pt idx="645">
                  <c:v>76.5809</c:v>
                </c:pt>
                <c:pt idx="646">
                  <c:v>93.646299999999997</c:v>
                </c:pt>
                <c:pt idx="647">
                  <c:v>140.18170000000001</c:v>
                </c:pt>
                <c:pt idx="648">
                  <c:v>122.0303</c:v>
                </c:pt>
                <c:pt idx="649">
                  <c:v>78.364599999999996</c:v>
                </c:pt>
                <c:pt idx="650">
                  <c:v>80.3703</c:v>
                </c:pt>
                <c:pt idx="651">
                  <c:v>50.823700000000002</c:v>
                </c:pt>
                <c:pt idx="652">
                  <c:v>119.71510000000001</c:v>
                </c:pt>
                <c:pt idx="653">
                  <c:v>61.861199999999997</c:v>
                </c:pt>
                <c:pt idx="654">
                  <c:v>115.8369</c:v>
                </c:pt>
                <c:pt idx="655">
                  <c:v>70.441599999999994</c:v>
                </c:pt>
                <c:pt idx="656">
                  <c:v>98.834800000000001</c:v>
                </c:pt>
                <c:pt idx="657">
                  <c:v>101.2794</c:v>
                </c:pt>
                <c:pt idx="658">
                  <c:v>78.740600000000001</c:v>
                </c:pt>
                <c:pt idx="659">
                  <c:v>58.726999999999997</c:v>
                </c:pt>
                <c:pt idx="660">
                  <c:v>104.7804</c:v>
                </c:pt>
                <c:pt idx="661">
                  <c:v>88.7821</c:v>
                </c:pt>
                <c:pt idx="662">
                  <c:v>92.102999999999994</c:v>
                </c:pt>
                <c:pt idx="663">
                  <c:v>79.633799999999994</c:v>
                </c:pt>
                <c:pt idx="664">
                  <c:v>100.4639</c:v>
                </c:pt>
                <c:pt idx="665">
                  <c:v>99.824100000000001</c:v>
                </c:pt>
                <c:pt idx="666">
                  <c:v>87.09</c:v>
                </c:pt>
                <c:pt idx="667">
                  <c:v>85.426599999999993</c:v>
                </c:pt>
                <c:pt idx="668">
                  <c:v>137.2217</c:v>
                </c:pt>
                <c:pt idx="669">
                  <c:v>79.508499999999998</c:v>
                </c:pt>
                <c:pt idx="670">
                  <c:v>108.5885</c:v>
                </c:pt>
                <c:pt idx="671">
                  <c:v>171.09829999999999</c:v>
                </c:pt>
                <c:pt idx="672">
                  <c:v>86.462900000000005</c:v>
                </c:pt>
                <c:pt idx="673">
                  <c:v>54.805700000000002</c:v>
                </c:pt>
                <c:pt idx="674">
                  <c:v>117.1671</c:v>
                </c:pt>
                <c:pt idx="675">
                  <c:v>102.5354</c:v>
                </c:pt>
                <c:pt idx="676">
                  <c:v>80.681600000000003</c:v>
                </c:pt>
                <c:pt idx="677">
                  <c:v>75.211799999999997</c:v>
                </c:pt>
                <c:pt idx="678">
                  <c:v>82.186199999999999</c:v>
                </c:pt>
                <c:pt idx="679">
                  <c:v>151.8098</c:v>
                </c:pt>
                <c:pt idx="680">
                  <c:v>86.729600000000005</c:v>
                </c:pt>
                <c:pt idx="681">
                  <c:v>73.231200000000001</c:v>
                </c:pt>
                <c:pt idx="682">
                  <c:v>117.29730000000001</c:v>
                </c:pt>
                <c:pt idx="683">
                  <c:v>126.517</c:v>
                </c:pt>
                <c:pt idx="684">
                  <c:v>102.3391</c:v>
                </c:pt>
                <c:pt idx="685">
                  <c:v>129.29650000000001</c:v>
                </c:pt>
                <c:pt idx="686">
                  <c:v>84.292199999999994</c:v>
                </c:pt>
                <c:pt idx="687">
                  <c:v>60.221400000000003</c:v>
                </c:pt>
                <c:pt idx="688">
                  <c:v>70.905199999999994</c:v>
                </c:pt>
                <c:pt idx="689">
                  <c:v>94.670900000000003</c:v>
                </c:pt>
                <c:pt idx="690">
                  <c:v>69.695899999999995</c:v>
                </c:pt>
                <c:pt idx="691">
                  <c:v>116.2946</c:v>
                </c:pt>
                <c:pt idx="692">
                  <c:v>40.703600000000002</c:v>
                </c:pt>
                <c:pt idx="693">
                  <c:v>88.372399999999999</c:v>
                </c:pt>
                <c:pt idx="694">
                  <c:v>126.872</c:v>
                </c:pt>
                <c:pt idx="695">
                  <c:v>131.88310000000001</c:v>
                </c:pt>
                <c:pt idx="696">
                  <c:v>82.685599999999994</c:v>
                </c:pt>
                <c:pt idx="697">
                  <c:v>69.486999999999995</c:v>
                </c:pt>
                <c:pt idx="698">
                  <c:v>99.355999999999995</c:v>
                </c:pt>
                <c:pt idx="699">
                  <c:v>153.01310000000001</c:v>
                </c:pt>
                <c:pt idx="700">
                  <c:v>162.49160000000001</c:v>
                </c:pt>
                <c:pt idx="701">
                  <c:v>82.570300000000003</c:v>
                </c:pt>
                <c:pt idx="702">
                  <c:v>138.42740000000001</c:v>
                </c:pt>
                <c:pt idx="703">
                  <c:v>49.6815</c:v>
                </c:pt>
                <c:pt idx="704">
                  <c:v>97.648300000000006</c:v>
                </c:pt>
                <c:pt idx="705">
                  <c:v>147.12860000000001</c:v>
                </c:pt>
                <c:pt idx="706">
                  <c:v>48.855499999999999</c:v>
                </c:pt>
                <c:pt idx="707">
                  <c:v>67.53</c:v>
                </c:pt>
                <c:pt idx="708">
                  <c:v>110.6052</c:v>
                </c:pt>
                <c:pt idx="709">
                  <c:v>76.892600000000002</c:v>
                </c:pt>
                <c:pt idx="710">
                  <c:v>67.061700000000002</c:v>
                </c:pt>
                <c:pt idx="711">
                  <c:v>97.974900000000005</c:v>
                </c:pt>
                <c:pt idx="712">
                  <c:v>103.00700000000001</c:v>
                </c:pt>
                <c:pt idx="713">
                  <c:v>78.638099999999994</c:v>
                </c:pt>
                <c:pt idx="714">
                  <c:v>72.4773</c:v>
                </c:pt>
                <c:pt idx="715">
                  <c:v>131.54220000000001</c:v>
                </c:pt>
                <c:pt idx="716">
                  <c:v>135.04419999999999</c:v>
                </c:pt>
                <c:pt idx="717">
                  <c:v>102.83750000000001</c:v>
                </c:pt>
                <c:pt idx="718">
                  <c:v>126.38500000000001</c:v>
                </c:pt>
                <c:pt idx="719">
                  <c:v>114.80589999999999</c:v>
                </c:pt>
                <c:pt idx="720">
                  <c:v>115.6557</c:v>
                </c:pt>
                <c:pt idx="721">
                  <c:v>99.101799999999997</c:v>
                </c:pt>
                <c:pt idx="722">
                  <c:v>78.111900000000006</c:v>
                </c:pt>
                <c:pt idx="723">
                  <c:v>103.0518</c:v>
                </c:pt>
                <c:pt idx="724">
                  <c:v>69.009500000000003</c:v>
                </c:pt>
                <c:pt idx="725">
                  <c:v>125.4383</c:v>
                </c:pt>
                <c:pt idx="726">
                  <c:v>76.033100000000005</c:v>
                </c:pt>
                <c:pt idx="727">
                  <c:v>81.620800000000003</c:v>
                </c:pt>
                <c:pt idx="728">
                  <c:v>86.391999999999996</c:v>
                </c:pt>
                <c:pt idx="729">
                  <c:v>89.379000000000005</c:v>
                </c:pt>
                <c:pt idx="730">
                  <c:v>148.59870000000001</c:v>
                </c:pt>
                <c:pt idx="731">
                  <c:v>85.309399999999997</c:v>
                </c:pt>
                <c:pt idx="732">
                  <c:v>111.408</c:v>
                </c:pt>
                <c:pt idx="733">
                  <c:v>105.5963</c:v>
                </c:pt>
                <c:pt idx="734">
                  <c:v>105.9302</c:v>
                </c:pt>
                <c:pt idx="735">
                  <c:v>87.191599999999994</c:v>
                </c:pt>
                <c:pt idx="736">
                  <c:v>50.645000000000003</c:v>
                </c:pt>
                <c:pt idx="737">
                  <c:v>101.5274</c:v>
                </c:pt>
                <c:pt idx="738">
                  <c:v>79.900800000000004</c:v>
                </c:pt>
                <c:pt idx="739">
                  <c:v>88.203199999999995</c:v>
                </c:pt>
                <c:pt idx="740">
                  <c:v>123.6198</c:v>
                </c:pt>
                <c:pt idx="741">
                  <c:v>104.85120000000001</c:v>
                </c:pt>
                <c:pt idx="742">
                  <c:v>83.486000000000004</c:v>
                </c:pt>
                <c:pt idx="743">
                  <c:v>89.765299999999996</c:v>
                </c:pt>
                <c:pt idx="744">
                  <c:v>88.708699999999993</c:v>
                </c:pt>
                <c:pt idx="745">
                  <c:v>56.750399999999999</c:v>
                </c:pt>
                <c:pt idx="746">
                  <c:v>50.398600000000002</c:v>
                </c:pt>
                <c:pt idx="747">
                  <c:v>78.791899999999998</c:v>
                </c:pt>
                <c:pt idx="748">
                  <c:v>75.265600000000006</c:v>
                </c:pt>
                <c:pt idx="749">
                  <c:v>105.11490000000001</c:v>
                </c:pt>
                <c:pt idx="750">
                  <c:v>103.93170000000001</c:v>
                </c:pt>
                <c:pt idx="751">
                  <c:v>105.20610000000001</c:v>
                </c:pt>
                <c:pt idx="752">
                  <c:v>125.8888</c:v>
                </c:pt>
                <c:pt idx="753">
                  <c:v>68.550399999999996</c:v>
                </c:pt>
                <c:pt idx="754">
                  <c:v>66.689800000000005</c:v>
                </c:pt>
                <c:pt idx="755">
                  <c:v>136.20099999999999</c:v>
                </c:pt>
                <c:pt idx="756">
                  <c:v>66.370599999999996</c:v>
                </c:pt>
                <c:pt idx="757">
                  <c:v>97.7517</c:v>
                </c:pt>
                <c:pt idx="758">
                  <c:v>117.0398</c:v>
                </c:pt>
                <c:pt idx="759">
                  <c:v>89.583600000000004</c:v>
                </c:pt>
                <c:pt idx="760">
                  <c:v>56.441000000000003</c:v>
                </c:pt>
                <c:pt idx="761">
                  <c:v>63.8367</c:v>
                </c:pt>
                <c:pt idx="762">
                  <c:v>86.978499999999997</c:v>
                </c:pt>
                <c:pt idx="763">
                  <c:v>64.449399999999997</c:v>
                </c:pt>
                <c:pt idx="764">
                  <c:v>202.5103</c:v>
                </c:pt>
                <c:pt idx="765">
                  <c:v>80.321200000000005</c:v>
                </c:pt>
                <c:pt idx="766">
                  <c:v>78.813199999999995</c:v>
                </c:pt>
                <c:pt idx="767">
                  <c:v>129.23840000000001</c:v>
                </c:pt>
                <c:pt idx="768">
                  <c:v>128.64179999999999</c:v>
                </c:pt>
                <c:pt idx="769">
                  <c:v>74.142099999999999</c:v>
                </c:pt>
                <c:pt idx="770">
                  <c:v>71.934100000000001</c:v>
                </c:pt>
                <c:pt idx="771">
                  <c:v>90.130200000000002</c:v>
                </c:pt>
                <c:pt idx="772">
                  <c:v>121.74169999999999</c:v>
                </c:pt>
                <c:pt idx="773">
                  <c:v>101.0942</c:v>
                </c:pt>
                <c:pt idx="774">
                  <c:v>149.47720000000001</c:v>
                </c:pt>
                <c:pt idx="775">
                  <c:v>72.026200000000003</c:v>
                </c:pt>
                <c:pt idx="776">
                  <c:v>155.09889999999999</c:v>
                </c:pt>
                <c:pt idx="777">
                  <c:v>80.331699999999998</c:v>
                </c:pt>
                <c:pt idx="778">
                  <c:v>65.493399999999994</c:v>
                </c:pt>
                <c:pt idx="779">
                  <c:v>173.32599999999999</c:v>
                </c:pt>
                <c:pt idx="780">
                  <c:v>54.250599999999999</c:v>
                </c:pt>
                <c:pt idx="781">
                  <c:v>73.831400000000002</c:v>
                </c:pt>
                <c:pt idx="782">
                  <c:v>80.586600000000004</c:v>
                </c:pt>
                <c:pt idx="783">
                  <c:v>104.672</c:v>
                </c:pt>
                <c:pt idx="784">
                  <c:v>83.682000000000002</c:v>
                </c:pt>
                <c:pt idx="785">
                  <c:v>127.0911</c:v>
                </c:pt>
                <c:pt idx="786">
                  <c:v>76.850200000000001</c:v>
                </c:pt>
                <c:pt idx="787">
                  <c:v>123.7929</c:v>
                </c:pt>
                <c:pt idx="788">
                  <c:v>108.81019999999999</c:v>
                </c:pt>
                <c:pt idx="789">
                  <c:v>99.185699999999997</c:v>
                </c:pt>
                <c:pt idx="790">
                  <c:v>116.7461</c:v>
                </c:pt>
                <c:pt idx="791">
                  <c:v>120.71299999999999</c:v>
                </c:pt>
                <c:pt idx="792">
                  <c:v>103.0956</c:v>
                </c:pt>
                <c:pt idx="793">
                  <c:v>45.8354</c:v>
                </c:pt>
                <c:pt idx="794">
                  <c:v>75.314800000000005</c:v>
                </c:pt>
                <c:pt idx="795">
                  <c:v>87.492699999999999</c:v>
                </c:pt>
                <c:pt idx="796">
                  <c:v>89.583699999999993</c:v>
                </c:pt>
                <c:pt idx="797">
                  <c:v>105.15770000000001</c:v>
                </c:pt>
                <c:pt idx="798">
                  <c:v>127.2754</c:v>
                </c:pt>
                <c:pt idx="799">
                  <c:v>75.689599999999999</c:v>
                </c:pt>
                <c:pt idx="800">
                  <c:v>80.066999999999993</c:v>
                </c:pt>
                <c:pt idx="801">
                  <c:v>78.522900000000007</c:v>
                </c:pt>
                <c:pt idx="802">
                  <c:v>104.5714</c:v>
                </c:pt>
                <c:pt idx="803">
                  <c:v>94.370999999999995</c:v>
                </c:pt>
                <c:pt idx="804">
                  <c:v>90.7483</c:v>
                </c:pt>
                <c:pt idx="805">
                  <c:v>81.595200000000006</c:v>
                </c:pt>
                <c:pt idx="806">
                  <c:v>76.182900000000004</c:v>
                </c:pt>
                <c:pt idx="807">
                  <c:v>101.70820000000001</c:v>
                </c:pt>
                <c:pt idx="808">
                  <c:v>86.302400000000006</c:v>
                </c:pt>
                <c:pt idx="809">
                  <c:v>153.13229999999999</c:v>
                </c:pt>
                <c:pt idx="810">
                  <c:v>89.917299999999997</c:v>
                </c:pt>
                <c:pt idx="811">
                  <c:v>137.18559999999999</c:v>
                </c:pt>
                <c:pt idx="812">
                  <c:v>69.761899999999997</c:v>
                </c:pt>
                <c:pt idx="813">
                  <c:v>84.212999999999994</c:v>
                </c:pt>
                <c:pt idx="814">
                  <c:v>86.863600000000005</c:v>
                </c:pt>
                <c:pt idx="815">
                  <c:v>94.903099999999995</c:v>
                </c:pt>
                <c:pt idx="816">
                  <c:v>70.367999999999995</c:v>
                </c:pt>
                <c:pt idx="817">
                  <c:v>179.37950000000001</c:v>
                </c:pt>
                <c:pt idx="818">
                  <c:v>148.04050000000001</c:v>
                </c:pt>
                <c:pt idx="819">
                  <c:v>83.444500000000005</c:v>
                </c:pt>
                <c:pt idx="820">
                  <c:v>66.036900000000003</c:v>
                </c:pt>
                <c:pt idx="821">
                  <c:v>77.2637</c:v>
                </c:pt>
                <c:pt idx="822">
                  <c:v>154.84909999999999</c:v>
                </c:pt>
                <c:pt idx="823">
                  <c:v>134.03749999999999</c:v>
                </c:pt>
                <c:pt idx="824">
                  <c:v>81.981700000000004</c:v>
                </c:pt>
                <c:pt idx="825">
                  <c:v>56.029400000000003</c:v>
                </c:pt>
                <c:pt idx="826">
                  <c:v>118.50060000000001</c:v>
                </c:pt>
                <c:pt idx="827">
                  <c:v>78.421899999999994</c:v>
                </c:pt>
                <c:pt idx="828">
                  <c:v>151.27979999999999</c:v>
                </c:pt>
                <c:pt idx="829">
                  <c:v>62.181899999999999</c:v>
                </c:pt>
                <c:pt idx="830">
                  <c:v>161.91640000000001</c:v>
                </c:pt>
                <c:pt idx="831">
                  <c:v>81.358500000000006</c:v>
                </c:pt>
                <c:pt idx="832">
                  <c:v>151.79400000000001</c:v>
                </c:pt>
                <c:pt idx="833">
                  <c:v>107.673</c:v>
                </c:pt>
                <c:pt idx="834">
                  <c:v>73.513999999999996</c:v>
                </c:pt>
                <c:pt idx="835">
                  <c:v>121.70659999999999</c:v>
                </c:pt>
                <c:pt idx="836">
                  <c:v>81.320599999999999</c:v>
                </c:pt>
                <c:pt idx="837">
                  <c:v>78.5184</c:v>
                </c:pt>
                <c:pt idx="838">
                  <c:v>111.8554</c:v>
                </c:pt>
                <c:pt idx="839">
                  <c:v>99.023600000000002</c:v>
                </c:pt>
                <c:pt idx="840">
                  <c:v>116.9169</c:v>
                </c:pt>
                <c:pt idx="841">
                  <c:v>89.402000000000001</c:v>
                </c:pt>
                <c:pt idx="842">
                  <c:v>119.5446</c:v>
                </c:pt>
                <c:pt idx="843">
                  <c:v>130.2328</c:v>
                </c:pt>
                <c:pt idx="844">
                  <c:v>51.962899999999998</c:v>
                </c:pt>
                <c:pt idx="845">
                  <c:v>66.620199999999997</c:v>
                </c:pt>
                <c:pt idx="846">
                  <c:v>142.24279999999999</c:v>
                </c:pt>
                <c:pt idx="847">
                  <c:v>65.282899999999998</c:v>
                </c:pt>
                <c:pt idx="848">
                  <c:v>75.661600000000007</c:v>
                </c:pt>
                <c:pt idx="849">
                  <c:v>91.665700000000001</c:v>
                </c:pt>
                <c:pt idx="850">
                  <c:v>116.5839</c:v>
                </c:pt>
                <c:pt idx="851">
                  <c:v>61.512700000000002</c:v>
                </c:pt>
                <c:pt idx="852">
                  <c:v>123.7816</c:v>
                </c:pt>
                <c:pt idx="853">
                  <c:v>98.635999999999996</c:v>
                </c:pt>
                <c:pt idx="854">
                  <c:v>69.776499999999999</c:v>
                </c:pt>
                <c:pt idx="855">
                  <c:v>100.1859</c:v>
                </c:pt>
                <c:pt idx="856">
                  <c:v>122.7608</c:v>
                </c:pt>
                <c:pt idx="857">
                  <c:v>123.18</c:v>
                </c:pt>
                <c:pt idx="858">
                  <c:v>108.7658</c:v>
                </c:pt>
                <c:pt idx="859">
                  <c:v>120.26300000000001</c:v>
                </c:pt>
                <c:pt idx="860">
                  <c:v>77.31</c:v>
                </c:pt>
                <c:pt idx="861">
                  <c:v>75.620400000000004</c:v>
                </c:pt>
                <c:pt idx="862">
                  <c:v>60.596200000000003</c:v>
                </c:pt>
                <c:pt idx="863">
                  <c:v>137.08000000000001</c:v>
                </c:pt>
                <c:pt idx="864">
                  <c:v>93.066800000000001</c:v>
                </c:pt>
                <c:pt idx="865">
                  <c:v>162.8477</c:v>
                </c:pt>
                <c:pt idx="866">
                  <c:v>118.7727</c:v>
                </c:pt>
                <c:pt idx="867">
                  <c:v>66.882499999999993</c:v>
                </c:pt>
                <c:pt idx="868">
                  <c:v>122.3254</c:v>
                </c:pt>
                <c:pt idx="869">
                  <c:v>99.913499999999999</c:v>
                </c:pt>
                <c:pt idx="870">
                  <c:v>128.03219999999999</c:v>
                </c:pt>
                <c:pt idx="871">
                  <c:v>104.5022</c:v>
                </c:pt>
                <c:pt idx="872">
                  <c:v>70.454099999999997</c:v>
                </c:pt>
                <c:pt idx="873">
                  <c:v>83.805400000000006</c:v>
                </c:pt>
                <c:pt idx="874">
                  <c:v>89.141400000000004</c:v>
                </c:pt>
                <c:pt idx="875">
                  <c:v>104.3921</c:v>
                </c:pt>
                <c:pt idx="876">
                  <c:v>108.81699999999999</c:v>
                </c:pt>
                <c:pt idx="877">
                  <c:v>64.534400000000005</c:v>
                </c:pt>
                <c:pt idx="878">
                  <c:v>185.8038</c:v>
                </c:pt>
                <c:pt idx="879">
                  <c:v>74.331999999999994</c:v>
                </c:pt>
                <c:pt idx="880">
                  <c:v>148.69990000000001</c:v>
                </c:pt>
                <c:pt idx="881">
                  <c:v>119.038</c:v>
                </c:pt>
                <c:pt idx="882">
                  <c:v>118.69670000000001</c:v>
                </c:pt>
                <c:pt idx="883">
                  <c:v>158.5273</c:v>
                </c:pt>
                <c:pt idx="884">
                  <c:v>74.382199999999997</c:v>
                </c:pt>
                <c:pt idx="885">
                  <c:v>118.12</c:v>
                </c:pt>
                <c:pt idx="886">
                  <c:v>138.89150000000001</c:v>
                </c:pt>
                <c:pt idx="887">
                  <c:v>84.892200000000003</c:v>
                </c:pt>
                <c:pt idx="888">
                  <c:v>62.195300000000003</c:v>
                </c:pt>
                <c:pt idx="889">
                  <c:v>104.3981</c:v>
                </c:pt>
                <c:pt idx="890">
                  <c:v>153.45590000000001</c:v>
                </c:pt>
                <c:pt idx="891">
                  <c:v>74.300799999999995</c:v>
                </c:pt>
                <c:pt idx="892">
                  <c:v>88.926900000000003</c:v>
                </c:pt>
                <c:pt idx="893">
                  <c:v>121.181</c:v>
                </c:pt>
                <c:pt idx="894">
                  <c:v>146.70269999999999</c:v>
                </c:pt>
                <c:pt idx="895">
                  <c:v>152.7473</c:v>
                </c:pt>
                <c:pt idx="896">
                  <c:v>114.6641</c:v>
                </c:pt>
                <c:pt idx="897">
                  <c:v>120.96850000000001</c:v>
                </c:pt>
                <c:pt idx="898">
                  <c:v>77.383700000000005</c:v>
                </c:pt>
                <c:pt idx="899">
                  <c:v>72.169399999999996</c:v>
                </c:pt>
                <c:pt idx="900">
                  <c:v>52.821599999999997</c:v>
                </c:pt>
                <c:pt idx="901">
                  <c:v>82.487200000000001</c:v>
                </c:pt>
                <c:pt idx="902">
                  <c:v>146.49969999999999</c:v>
                </c:pt>
                <c:pt idx="903">
                  <c:v>96.354399999999998</c:v>
                </c:pt>
                <c:pt idx="904">
                  <c:v>130.2201</c:v>
                </c:pt>
                <c:pt idx="905">
                  <c:v>104.19289999999999</c:v>
                </c:pt>
                <c:pt idx="906">
                  <c:v>100.72750000000001</c:v>
                </c:pt>
                <c:pt idx="907">
                  <c:v>115.3198</c:v>
                </c:pt>
                <c:pt idx="908">
                  <c:v>104.1737</c:v>
                </c:pt>
                <c:pt idx="909">
                  <c:v>179.8878</c:v>
                </c:pt>
                <c:pt idx="910">
                  <c:v>137.32259999999999</c:v>
                </c:pt>
                <c:pt idx="911">
                  <c:v>94.018000000000001</c:v>
                </c:pt>
                <c:pt idx="912">
                  <c:v>124.9956</c:v>
                </c:pt>
                <c:pt idx="913">
                  <c:v>101.46810000000001</c:v>
                </c:pt>
                <c:pt idx="914">
                  <c:v>97.845200000000006</c:v>
                </c:pt>
                <c:pt idx="915">
                  <c:v>69.666300000000007</c:v>
                </c:pt>
                <c:pt idx="916">
                  <c:v>95.304699999999997</c:v>
                </c:pt>
                <c:pt idx="917">
                  <c:v>97.598699999999994</c:v>
                </c:pt>
                <c:pt idx="918">
                  <c:v>176.56989999999999</c:v>
                </c:pt>
                <c:pt idx="919">
                  <c:v>103.89</c:v>
                </c:pt>
                <c:pt idx="920">
                  <c:v>197.58709999999999</c:v>
                </c:pt>
                <c:pt idx="921">
                  <c:v>99.808099999999996</c:v>
                </c:pt>
                <c:pt idx="922">
                  <c:v>81.118700000000004</c:v>
                </c:pt>
                <c:pt idx="923">
                  <c:v>85.519800000000004</c:v>
                </c:pt>
                <c:pt idx="924">
                  <c:v>107.79170000000001</c:v>
                </c:pt>
                <c:pt idx="925">
                  <c:v>82.121700000000004</c:v>
                </c:pt>
                <c:pt idx="926">
                  <c:v>67.229900000000001</c:v>
                </c:pt>
                <c:pt idx="927">
                  <c:v>102.8295</c:v>
                </c:pt>
                <c:pt idx="928">
                  <c:v>137.5299</c:v>
                </c:pt>
                <c:pt idx="929">
                  <c:v>50.768700000000003</c:v>
                </c:pt>
                <c:pt idx="930">
                  <c:v>70.602099999999993</c:v>
                </c:pt>
                <c:pt idx="931">
                  <c:v>102.9661</c:v>
                </c:pt>
                <c:pt idx="932">
                  <c:v>112.2186</c:v>
                </c:pt>
                <c:pt idx="933">
                  <c:v>126.7846</c:v>
                </c:pt>
                <c:pt idx="934">
                  <c:v>157.42529999999999</c:v>
                </c:pt>
                <c:pt idx="935">
                  <c:v>75.574200000000005</c:v>
                </c:pt>
                <c:pt idx="936">
                  <c:v>150.98599999999999</c:v>
                </c:pt>
                <c:pt idx="937">
                  <c:v>128.4</c:v>
                </c:pt>
                <c:pt idx="938">
                  <c:v>153.02809999999999</c:v>
                </c:pt>
                <c:pt idx="939">
                  <c:v>135.2413</c:v>
                </c:pt>
                <c:pt idx="940">
                  <c:v>78.995099999999994</c:v>
                </c:pt>
                <c:pt idx="941">
                  <c:v>85.127399999999994</c:v>
                </c:pt>
                <c:pt idx="942">
                  <c:v>124.5633</c:v>
                </c:pt>
                <c:pt idx="943">
                  <c:v>89.616600000000005</c:v>
                </c:pt>
                <c:pt idx="944">
                  <c:v>117.98869999999999</c:v>
                </c:pt>
                <c:pt idx="945">
                  <c:v>126.8189</c:v>
                </c:pt>
                <c:pt idx="946">
                  <c:v>116.04179999999999</c:v>
                </c:pt>
                <c:pt idx="947">
                  <c:v>99.831999999999994</c:v>
                </c:pt>
                <c:pt idx="948">
                  <c:v>116.476</c:v>
                </c:pt>
                <c:pt idx="949">
                  <c:v>118.6155</c:v>
                </c:pt>
                <c:pt idx="950">
                  <c:v>78.150800000000004</c:v>
                </c:pt>
                <c:pt idx="951">
                  <c:v>89.069199999999995</c:v>
                </c:pt>
                <c:pt idx="952">
                  <c:v>138.48259999999999</c:v>
                </c:pt>
                <c:pt idx="953">
                  <c:v>112.4663</c:v>
                </c:pt>
                <c:pt idx="954">
                  <c:v>93.466899999999995</c:v>
                </c:pt>
                <c:pt idx="955">
                  <c:v>73.219300000000004</c:v>
                </c:pt>
                <c:pt idx="956">
                  <c:v>119.3181</c:v>
                </c:pt>
                <c:pt idx="957">
                  <c:v>118.6354</c:v>
                </c:pt>
                <c:pt idx="958">
                  <c:v>74.773899999999998</c:v>
                </c:pt>
                <c:pt idx="959">
                  <c:v>89.015100000000004</c:v>
                </c:pt>
                <c:pt idx="960">
                  <c:v>132.1934</c:v>
                </c:pt>
                <c:pt idx="961">
                  <c:v>94.565200000000004</c:v>
                </c:pt>
                <c:pt idx="962">
                  <c:v>87.284099999999995</c:v>
                </c:pt>
                <c:pt idx="963">
                  <c:v>117.4525</c:v>
                </c:pt>
                <c:pt idx="964">
                  <c:v>77.0214</c:v>
                </c:pt>
                <c:pt idx="965">
                  <c:v>89.633499999999998</c:v>
                </c:pt>
                <c:pt idx="966">
                  <c:v>68.007999999999996</c:v>
                </c:pt>
                <c:pt idx="967">
                  <c:v>69.909099999999995</c:v>
                </c:pt>
                <c:pt idx="968">
                  <c:v>142.13990000000001</c:v>
                </c:pt>
                <c:pt idx="969">
                  <c:v>136.0489</c:v>
                </c:pt>
                <c:pt idx="970">
                  <c:v>89.445899999999995</c:v>
                </c:pt>
                <c:pt idx="971">
                  <c:v>104.1551</c:v>
                </c:pt>
                <c:pt idx="972">
                  <c:v>115.355</c:v>
                </c:pt>
                <c:pt idx="973">
                  <c:v>83.814700000000002</c:v>
                </c:pt>
                <c:pt idx="974">
                  <c:v>52.112299999999998</c:v>
                </c:pt>
                <c:pt idx="975">
                  <c:v>109.1104</c:v>
                </c:pt>
                <c:pt idx="976">
                  <c:v>170.2997</c:v>
                </c:pt>
                <c:pt idx="977">
                  <c:v>90.183999999999997</c:v>
                </c:pt>
                <c:pt idx="978">
                  <c:v>245.01480000000001</c:v>
                </c:pt>
                <c:pt idx="979">
                  <c:v>122.7174</c:v>
                </c:pt>
                <c:pt idx="980">
                  <c:v>113.1527</c:v>
                </c:pt>
                <c:pt idx="981">
                  <c:v>95.958399999999997</c:v>
                </c:pt>
                <c:pt idx="982">
                  <c:v>116.7822</c:v>
                </c:pt>
                <c:pt idx="983">
                  <c:v>101.96510000000001</c:v>
                </c:pt>
                <c:pt idx="984">
                  <c:v>52.4373</c:v>
                </c:pt>
                <c:pt idx="985">
                  <c:v>123.52160000000001</c:v>
                </c:pt>
                <c:pt idx="986">
                  <c:v>64.311999999999998</c:v>
                </c:pt>
                <c:pt idx="987">
                  <c:v>103.9025</c:v>
                </c:pt>
                <c:pt idx="988">
                  <c:v>114.37860000000001</c:v>
                </c:pt>
                <c:pt idx="989">
                  <c:v>106.4083</c:v>
                </c:pt>
                <c:pt idx="990">
                  <c:v>77.027299999999997</c:v>
                </c:pt>
                <c:pt idx="991">
                  <c:v>89.030500000000004</c:v>
                </c:pt>
                <c:pt idx="992">
                  <c:v>119.9422</c:v>
                </c:pt>
                <c:pt idx="993">
                  <c:v>145.71029999999999</c:v>
                </c:pt>
                <c:pt idx="994">
                  <c:v>67.784300000000002</c:v>
                </c:pt>
                <c:pt idx="995">
                  <c:v>104.3715</c:v>
                </c:pt>
                <c:pt idx="996">
                  <c:v>95.116299999999995</c:v>
                </c:pt>
                <c:pt idx="997">
                  <c:v>111.94629999999999</c:v>
                </c:pt>
                <c:pt idx="998">
                  <c:v>79.861199999999997</c:v>
                </c:pt>
                <c:pt idx="999">
                  <c:v>95.048000000000002</c:v>
                </c:pt>
              </c:numCache>
            </c:numRef>
          </c:xVal>
          <c:yVal>
            <c:numRef>
              <c:f>'Vanilla BS call option'!$R$2:$R$1001</c:f>
              <c:numCache>
                <c:formatCode>0.00</c:formatCode>
                <c:ptCount val="1000"/>
                <c:pt idx="0">
                  <c:v>2.161</c:v>
                </c:pt>
                <c:pt idx="1">
                  <c:v>0</c:v>
                </c:pt>
                <c:pt idx="2">
                  <c:v>15.819100000000001</c:v>
                </c:pt>
                <c:pt idx="3">
                  <c:v>0</c:v>
                </c:pt>
                <c:pt idx="4">
                  <c:v>9.2515999999999998</c:v>
                </c:pt>
                <c:pt idx="5">
                  <c:v>0</c:v>
                </c:pt>
                <c:pt idx="6">
                  <c:v>40.254300000000001</c:v>
                </c:pt>
                <c:pt idx="7">
                  <c:v>0</c:v>
                </c:pt>
                <c:pt idx="8">
                  <c:v>1.4902</c:v>
                </c:pt>
                <c:pt idx="9">
                  <c:v>0</c:v>
                </c:pt>
                <c:pt idx="10">
                  <c:v>6.5472000000000001</c:v>
                </c:pt>
                <c:pt idx="11">
                  <c:v>0</c:v>
                </c:pt>
                <c:pt idx="12">
                  <c:v>10.8119</c:v>
                </c:pt>
                <c:pt idx="13">
                  <c:v>0</c:v>
                </c:pt>
                <c:pt idx="14">
                  <c:v>22.166699999999999</c:v>
                </c:pt>
                <c:pt idx="15">
                  <c:v>0</c:v>
                </c:pt>
                <c:pt idx="16">
                  <c:v>28.672499999999999</c:v>
                </c:pt>
                <c:pt idx="17">
                  <c:v>0</c:v>
                </c:pt>
                <c:pt idx="18">
                  <c:v>44.589100000000002</c:v>
                </c:pt>
                <c:pt idx="19">
                  <c:v>0</c:v>
                </c:pt>
                <c:pt idx="20">
                  <c:v>35.352699999999999</c:v>
                </c:pt>
                <c:pt idx="21">
                  <c:v>0</c:v>
                </c:pt>
                <c:pt idx="22">
                  <c:v>58.331899999999997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20.3506</c:v>
                </c:pt>
                <c:pt idx="27">
                  <c:v>64.160799999999995</c:v>
                </c:pt>
                <c:pt idx="28">
                  <c:v>14.384</c:v>
                </c:pt>
                <c:pt idx="29">
                  <c:v>49.012099999999997</c:v>
                </c:pt>
                <c:pt idx="30">
                  <c:v>34.982999999999997</c:v>
                </c:pt>
                <c:pt idx="31">
                  <c:v>0</c:v>
                </c:pt>
                <c:pt idx="32">
                  <c:v>0</c:v>
                </c:pt>
                <c:pt idx="33">
                  <c:v>102.93259999999999</c:v>
                </c:pt>
                <c:pt idx="34">
                  <c:v>0</c:v>
                </c:pt>
                <c:pt idx="35">
                  <c:v>16.2776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38.545299999999997</c:v>
                </c:pt>
                <c:pt idx="41">
                  <c:v>0</c:v>
                </c:pt>
                <c:pt idx="42">
                  <c:v>0</c:v>
                </c:pt>
                <c:pt idx="43">
                  <c:v>29.767099999999999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0.66839999999999999</c:v>
                </c:pt>
                <c:pt idx="51">
                  <c:v>84.380399999999995</c:v>
                </c:pt>
                <c:pt idx="52">
                  <c:v>21.489799999999999</c:v>
                </c:pt>
                <c:pt idx="53">
                  <c:v>96.568299999999994</c:v>
                </c:pt>
                <c:pt idx="54">
                  <c:v>18.406199999999998</c:v>
                </c:pt>
                <c:pt idx="55">
                  <c:v>0</c:v>
                </c:pt>
                <c:pt idx="56">
                  <c:v>24.645099999999999</c:v>
                </c:pt>
                <c:pt idx="57">
                  <c:v>58.042200000000001</c:v>
                </c:pt>
                <c:pt idx="58">
                  <c:v>0</c:v>
                </c:pt>
                <c:pt idx="59">
                  <c:v>0</c:v>
                </c:pt>
                <c:pt idx="60">
                  <c:v>27.0349</c:v>
                </c:pt>
                <c:pt idx="61">
                  <c:v>0</c:v>
                </c:pt>
                <c:pt idx="62">
                  <c:v>38.404699999999998</c:v>
                </c:pt>
                <c:pt idx="63">
                  <c:v>67.601100000000002</c:v>
                </c:pt>
                <c:pt idx="64">
                  <c:v>12.129200000000001</c:v>
                </c:pt>
                <c:pt idx="65">
                  <c:v>37.476399999999998</c:v>
                </c:pt>
                <c:pt idx="66">
                  <c:v>18.908000000000001</c:v>
                </c:pt>
                <c:pt idx="67">
                  <c:v>0</c:v>
                </c:pt>
                <c:pt idx="68">
                  <c:v>20.837399999999999</c:v>
                </c:pt>
                <c:pt idx="69">
                  <c:v>4.9882</c:v>
                </c:pt>
                <c:pt idx="70">
                  <c:v>0</c:v>
                </c:pt>
                <c:pt idx="71">
                  <c:v>16.748000000000001</c:v>
                </c:pt>
                <c:pt idx="72">
                  <c:v>43.714199999999998</c:v>
                </c:pt>
                <c:pt idx="73">
                  <c:v>0</c:v>
                </c:pt>
                <c:pt idx="74">
                  <c:v>3.9628000000000001</c:v>
                </c:pt>
                <c:pt idx="75">
                  <c:v>30.578299999999999</c:v>
                </c:pt>
                <c:pt idx="76">
                  <c:v>0</c:v>
                </c:pt>
                <c:pt idx="77">
                  <c:v>25.505299999999998</c:v>
                </c:pt>
                <c:pt idx="78">
                  <c:v>82.751900000000006</c:v>
                </c:pt>
                <c:pt idx="79">
                  <c:v>22.630800000000001</c:v>
                </c:pt>
                <c:pt idx="80">
                  <c:v>0</c:v>
                </c:pt>
                <c:pt idx="81">
                  <c:v>0</c:v>
                </c:pt>
                <c:pt idx="82">
                  <c:v>5.5986000000000002</c:v>
                </c:pt>
                <c:pt idx="83">
                  <c:v>0.33310000000000001</c:v>
                </c:pt>
                <c:pt idx="84">
                  <c:v>9.33</c:v>
                </c:pt>
                <c:pt idx="85">
                  <c:v>0</c:v>
                </c:pt>
                <c:pt idx="86">
                  <c:v>0</c:v>
                </c:pt>
                <c:pt idx="87">
                  <c:v>15.715999999999999</c:v>
                </c:pt>
                <c:pt idx="88">
                  <c:v>29.195399999999999</c:v>
                </c:pt>
                <c:pt idx="89">
                  <c:v>0</c:v>
                </c:pt>
                <c:pt idx="90">
                  <c:v>0</c:v>
                </c:pt>
                <c:pt idx="91">
                  <c:v>23.274899999999999</c:v>
                </c:pt>
                <c:pt idx="92">
                  <c:v>35.467199999999998</c:v>
                </c:pt>
                <c:pt idx="93">
                  <c:v>11.5441</c:v>
                </c:pt>
                <c:pt idx="94">
                  <c:v>0</c:v>
                </c:pt>
                <c:pt idx="95">
                  <c:v>0</c:v>
                </c:pt>
                <c:pt idx="96">
                  <c:v>24.175999999999998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93.575599999999994</c:v>
                </c:pt>
                <c:pt idx="102">
                  <c:v>25.0626</c:v>
                </c:pt>
                <c:pt idx="103">
                  <c:v>24.9054</c:v>
                </c:pt>
                <c:pt idx="104">
                  <c:v>23.589099999999998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108.7548</c:v>
                </c:pt>
                <c:pt idx="110">
                  <c:v>35.237699999999997</c:v>
                </c:pt>
                <c:pt idx="111">
                  <c:v>10.2722</c:v>
                </c:pt>
                <c:pt idx="112">
                  <c:v>0</c:v>
                </c:pt>
                <c:pt idx="113">
                  <c:v>0</c:v>
                </c:pt>
                <c:pt idx="114">
                  <c:v>5.5449000000000002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0.33239999999999997</c:v>
                </c:pt>
                <c:pt idx="119">
                  <c:v>0</c:v>
                </c:pt>
                <c:pt idx="120">
                  <c:v>0</c:v>
                </c:pt>
                <c:pt idx="121">
                  <c:v>37.012999999999998</c:v>
                </c:pt>
                <c:pt idx="122">
                  <c:v>13.409599999999999</c:v>
                </c:pt>
                <c:pt idx="123">
                  <c:v>56.734099999999998</c:v>
                </c:pt>
                <c:pt idx="124">
                  <c:v>6.8380999999999998</c:v>
                </c:pt>
                <c:pt idx="125">
                  <c:v>0</c:v>
                </c:pt>
                <c:pt idx="126">
                  <c:v>10.199400000000001</c:v>
                </c:pt>
                <c:pt idx="127">
                  <c:v>33.221899999999998</c:v>
                </c:pt>
                <c:pt idx="128">
                  <c:v>0</c:v>
                </c:pt>
                <c:pt idx="129">
                  <c:v>51.737200000000001</c:v>
                </c:pt>
                <c:pt idx="130">
                  <c:v>0</c:v>
                </c:pt>
                <c:pt idx="131">
                  <c:v>0</c:v>
                </c:pt>
                <c:pt idx="132">
                  <c:v>60.756799999999998</c:v>
                </c:pt>
                <c:pt idx="133">
                  <c:v>0.63680000000000003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1.0980000000000001</c:v>
                </c:pt>
                <c:pt idx="138">
                  <c:v>19.500900000000001</c:v>
                </c:pt>
                <c:pt idx="139">
                  <c:v>36.956600000000002</c:v>
                </c:pt>
                <c:pt idx="140">
                  <c:v>0</c:v>
                </c:pt>
                <c:pt idx="141">
                  <c:v>21.956800000000001</c:v>
                </c:pt>
                <c:pt idx="142">
                  <c:v>0</c:v>
                </c:pt>
                <c:pt idx="143">
                  <c:v>11.128399999999999</c:v>
                </c:pt>
                <c:pt idx="144">
                  <c:v>50.5852</c:v>
                </c:pt>
                <c:pt idx="145">
                  <c:v>76.737899999999996</c:v>
                </c:pt>
                <c:pt idx="146">
                  <c:v>3.4186999999999999</c:v>
                </c:pt>
                <c:pt idx="147">
                  <c:v>9.0300000000000005E-2</c:v>
                </c:pt>
                <c:pt idx="148">
                  <c:v>73.538600000000002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64.616900000000001</c:v>
                </c:pt>
                <c:pt idx="153">
                  <c:v>26.345099999999999</c:v>
                </c:pt>
                <c:pt idx="154">
                  <c:v>0</c:v>
                </c:pt>
                <c:pt idx="155">
                  <c:v>0</c:v>
                </c:pt>
                <c:pt idx="156">
                  <c:v>62.2331</c:v>
                </c:pt>
                <c:pt idx="157">
                  <c:v>5.6474000000000002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12.2568</c:v>
                </c:pt>
                <c:pt idx="165">
                  <c:v>2.7686999999999999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15.0261</c:v>
                </c:pt>
                <c:pt idx="170">
                  <c:v>0</c:v>
                </c:pt>
                <c:pt idx="171">
                  <c:v>0</c:v>
                </c:pt>
                <c:pt idx="172">
                  <c:v>22.349399999999999</c:v>
                </c:pt>
                <c:pt idx="173">
                  <c:v>71.391900000000007</c:v>
                </c:pt>
                <c:pt idx="174">
                  <c:v>70.370400000000004</c:v>
                </c:pt>
                <c:pt idx="175">
                  <c:v>19.8445</c:v>
                </c:pt>
                <c:pt idx="176">
                  <c:v>22.673999999999999</c:v>
                </c:pt>
                <c:pt idx="177">
                  <c:v>1.0105999999999999</c:v>
                </c:pt>
                <c:pt idx="178">
                  <c:v>19.133800000000001</c:v>
                </c:pt>
                <c:pt idx="179">
                  <c:v>0.19040000000000001</c:v>
                </c:pt>
                <c:pt idx="180">
                  <c:v>0</c:v>
                </c:pt>
                <c:pt idx="181">
                  <c:v>17.143599999999999</c:v>
                </c:pt>
                <c:pt idx="182">
                  <c:v>0</c:v>
                </c:pt>
                <c:pt idx="183">
                  <c:v>51.124600000000001</c:v>
                </c:pt>
                <c:pt idx="184">
                  <c:v>20.4754</c:v>
                </c:pt>
                <c:pt idx="185">
                  <c:v>59.1008</c:v>
                </c:pt>
                <c:pt idx="186">
                  <c:v>165.09440000000001</c:v>
                </c:pt>
                <c:pt idx="187">
                  <c:v>21.550799999999999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32.237299999999998</c:v>
                </c:pt>
                <c:pt idx="192">
                  <c:v>0</c:v>
                </c:pt>
                <c:pt idx="193">
                  <c:v>108.1251</c:v>
                </c:pt>
                <c:pt idx="194">
                  <c:v>0</c:v>
                </c:pt>
                <c:pt idx="195">
                  <c:v>36.469000000000001</c:v>
                </c:pt>
                <c:pt idx="196">
                  <c:v>0</c:v>
                </c:pt>
                <c:pt idx="197">
                  <c:v>14.1851</c:v>
                </c:pt>
                <c:pt idx="198">
                  <c:v>0</c:v>
                </c:pt>
                <c:pt idx="199">
                  <c:v>42.323900000000002</c:v>
                </c:pt>
                <c:pt idx="200">
                  <c:v>16.406199999999998</c:v>
                </c:pt>
                <c:pt idx="201">
                  <c:v>2.4014000000000002</c:v>
                </c:pt>
                <c:pt idx="202">
                  <c:v>32.4664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29.5596</c:v>
                </c:pt>
                <c:pt idx="208">
                  <c:v>30.4619</c:v>
                </c:pt>
                <c:pt idx="209">
                  <c:v>14.633100000000001</c:v>
                </c:pt>
                <c:pt idx="210">
                  <c:v>0</c:v>
                </c:pt>
                <c:pt idx="211">
                  <c:v>0</c:v>
                </c:pt>
                <c:pt idx="212">
                  <c:v>1.9161999999999999</c:v>
                </c:pt>
                <c:pt idx="213">
                  <c:v>14.1533</c:v>
                </c:pt>
                <c:pt idx="214">
                  <c:v>31.841799999999999</c:v>
                </c:pt>
                <c:pt idx="215">
                  <c:v>41.916699999999999</c:v>
                </c:pt>
                <c:pt idx="216">
                  <c:v>31.761299999999999</c:v>
                </c:pt>
                <c:pt idx="217">
                  <c:v>3.3896000000000002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7.6608999999999998</c:v>
                </c:pt>
                <c:pt idx="222">
                  <c:v>0</c:v>
                </c:pt>
                <c:pt idx="223">
                  <c:v>49.191299999999998</c:v>
                </c:pt>
                <c:pt idx="224">
                  <c:v>62.578000000000003</c:v>
                </c:pt>
                <c:pt idx="225">
                  <c:v>0</c:v>
                </c:pt>
                <c:pt idx="226">
                  <c:v>11.241899999999999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7.4588000000000001</c:v>
                </c:pt>
                <c:pt idx="231">
                  <c:v>13.0646</c:v>
                </c:pt>
                <c:pt idx="232">
                  <c:v>25.143899999999999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52.7744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27.341699999999999</c:v>
                </c:pt>
                <c:pt idx="242">
                  <c:v>16.393000000000001</c:v>
                </c:pt>
                <c:pt idx="243">
                  <c:v>146.02539999999999</c:v>
                </c:pt>
                <c:pt idx="244">
                  <c:v>61.202599999999997</c:v>
                </c:pt>
                <c:pt idx="245">
                  <c:v>25.341699999999999</c:v>
                </c:pt>
                <c:pt idx="246">
                  <c:v>4.9642999999999997</c:v>
                </c:pt>
                <c:pt idx="247">
                  <c:v>6.9523999999999999</c:v>
                </c:pt>
                <c:pt idx="248">
                  <c:v>0</c:v>
                </c:pt>
                <c:pt idx="249">
                  <c:v>0</c:v>
                </c:pt>
                <c:pt idx="250">
                  <c:v>17.157900000000001</c:v>
                </c:pt>
                <c:pt idx="251">
                  <c:v>0</c:v>
                </c:pt>
                <c:pt idx="252">
                  <c:v>0</c:v>
                </c:pt>
                <c:pt idx="253">
                  <c:v>1.0946</c:v>
                </c:pt>
                <c:pt idx="254">
                  <c:v>0</c:v>
                </c:pt>
                <c:pt idx="255">
                  <c:v>46.438600000000001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52.139800000000001</c:v>
                </c:pt>
                <c:pt idx="260">
                  <c:v>0</c:v>
                </c:pt>
                <c:pt idx="261">
                  <c:v>9.6245999999999992</c:v>
                </c:pt>
                <c:pt idx="262">
                  <c:v>0</c:v>
                </c:pt>
                <c:pt idx="263">
                  <c:v>0</c:v>
                </c:pt>
                <c:pt idx="264">
                  <c:v>58.597799999999999</c:v>
                </c:pt>
                <c:pt idx="265">
                  <c:v>0</c:v>
                </c:pt>
                <c:pt idx="266">
                  <c:v>35.786999999999999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45.674300000000002</c:v>
                </c:pt>
                <c:pt idx="271">
                  <c:v>55.2239</c:v>
                </c:pt>
                <c:pt idx="272">
                  <c:v>16.0534</c:v>
                </c:pt>
                <c:pt idx="273">
                  <c:v>9.4194999999999993</c:v>
                </c:pt>
                <c:pt idx="274">
                  <c:v>43.193399999999997</c:v>
                </c:pt>
                <c:pt idx="275">
                  <c:v>1.6516999999999999</c:v>
                </c:pt>
                <c:pt idx="276">
                  <c:v>12.487399999999999</c:v>
                </c:pt>
                <c:pt idx="277">
                  <c:v>10.2981</c:v>
                </c:pt>
                <c:pt idx="278">
                  <c:v>63.683399999999999</c:v>
                </c:pt>
                <c:pt idx="279">
                  <c:v>48.177799999999998</c:v>
                </c:pt>
                <c:pt idx="280">
                  <c:v>57.588000000000001</c:v>
                </c:pt>
                <c:pt idx="281">
                  <c:v>12.605499999999999</c:v>
                </c:pt>
                <c:pt idx="282">
                  <c:v>2.5133000000000001</c:v>
                </c:pt>
                <c:pt idx="283">
                  <c:v>1.3614999999999999</c:v>
                </c:pt>
                <c:pt idx="284">
                  <c:v>35.012599999999999</c:v>
                </c:pt>
                <c:pt idx="285">
                  <c:v>0</c:v>
                </c:pt>
                <c:pt idx="286">
                  <c:v>0</c:v>
                </c:pt>
                <c:pt idx="287">
                  <c:v>38.008600000000001</c:v>
                </c:pt>
                <c:pt idx="288">
                  <c:v>0</c:v>
                </c:pt>
                <c:pt idx="289">
                  <c:v>16.5106</c:v>
                </c:pt>
                <c:pt idx="290">
                  <c:v>0</c:v>
                </c:pt>
                <c:pt idx="291">
                  <c:v>11.411799999999999</c:v>
                </c:pt>
                <c:pt idx="292">
                  <c:v>4.407</c:v>
                </c:pt>
                <c:pt idx="293">
                  <c:v>0</c:v>
                </c:pt>
                <c:pt idx="294">
                  <c:v>39.842500000000001</c:v>
                </c:pt>
                <c:pt idx="295">
                  <c:v>19.9711</c:v>
                </c:pt>
                <c:pt idx="296">
                  <c:v>0</c:v>
                </c:pt>
                <c:pt idx="297">
                  <c:v>0</c:v>
                </c:pt>
                <c:pt idx="298">
                  <c:v>17.0839</c:v>
                </c:pt>
                <c:pt idx="299">
                  <c:v>35.305199999999999</c:v>
                </c:pt>
                <c:pt idx="300">
                  <c:v>23.1418</c:v>
                </c:pt>
                <c:pt idx="301">
                  <c:v>0</c:v>
                </c:pt>
                <c:pt idx="302">
                  <c:v>22.188500000000001</c:v>
                </c:pt>
                <c:pt idx="303">
                  <c:v>22.5091</c:v>
                </c:pt>
                <c:pt idx="304">
                  <c:v>14.301500000000001</c:v>
                </c:pt>
                <c:pt idx="305">
                  <c:v>43.534599999999998</c:v>
                </c:pt>
                <c:pt idx="306">
                  <c:v>0</c:v>
                </c:pt>
                <c:pt idx="307">
                  <c:v>0</c:v>
                </c:pt>
                <c:pt idx="308">
                  <c:v>53.767600000000002</c:v>
                </c:pt>
                <c:pt idx="309">
                  <c:v>4.3737000000000004</c:v>
                </c:pt>
                <c:pt idx="310">
                  <c:v>28.225100000000001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10.117900000000001</c:v>
                </c:pt>
                <c:pt idx="316">
                  <c:v>53.245699999999999</c:v>
                </c:pt>
                <c:pt idx="317">
                  <c:v>42.873800000000003</c:v>
                </c:pt>
                <c:pt idx="318">
                  <c:v>0</c:v>
                </c:pt>
                <c:pt idx="319">
                  <c:v>14.8681</c:v>
                </c:pt>
                <c:pt idx="320">
                  <c:v>33.283900000000003</c:v>
                </c:pt>
                <c:pt idx="321">
                  <c:v>0</c:v>
                </c:pt>
                <c:pt idx="322">
                  <c:v>9.1231000000000009</c:v>
                </c:pt>
                <c:pt idx="323">
                  <c:v>5.7888999999999999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31.944700000000001</c:v>
                </c:pt>
                <c:pt idx="328">
                  <c:v>30.8993</c:v>
                </c:pt>
                <c:pt idx="329">
                  <c:v>0</c:v>
                </c:pt>
                <c:pt idx="330">
                  <c:v>12.640499999999999</c:v>
                </c:pt>
                <c:pt idx="331">
                  <c:v>0</c:v>
                </c:pt>
                <c:pt idx="332">
                  <c:v>105.8888</c:v>
                </c:pt>
                <c:pt idx="333">
                  <c:v>12.373799999999999</c:v>
                </c:pt>
                <c:pt idx="334">
                  <c:v>0</c:v>
                </c:pt>
                <c:pt idx="335">
                  <c:v>9.8468999999999998</c:v>
                </c:pt>
                <c:pt idx="336">
                  <c:v>0</c:v>
                </c:pt>
                <c:pt idx="337">
                  <c:v>21.279900000000001</c:v>
                </c:pt>
                <c:pt idx="338">
                  <c:v>12.395099999999999</c:v>
                </c:pt>
                <c:pt idx="339">
                  <c:v>34.918399999999998</c:v>
                </c:pt>
                <c:pt idx="340">
                  <c:v>6.9223999999999997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61.974899999999998</c:v>
                </c:pt>
                <c:pt idx="345">
                  <c:v>4.3693</c:v>
                </c:pt>
                <c:pt idx="346">
                  <c:v>35.181399999999996</c:v>
                </c:pt>
                <c:pt idx="347">
                  <c:v>0</c:v>
                </c:pt>
                <c:pt idx="348">
                  <c:v>0</c:v>
                </c:pt>
                <c:pt idx="349">
                  <c:v>33.056100000000001</c:v>
                </c:pt>
                <c:pt idx="350">
                  <c:v>0</c:v>
                </c:pt>
                <c:pt idx="351">
                  <c:v>0</c:v>
                </c:pt>
                <c:pt idx="352">
                  <c:v>35.457999999999998</c:v>
                </c:pt>
                <c:pt idx="353">
                  <c:v>12.726900000000001</c:v>
                </c:pt>
                <c:pt idx="354">
                  <c:v>0</c:v>
                </c:pt>
                <c:pt idx="355">
                  <c:v>5.4291999999999998</c:v>
                </c:pt>
                <c:pt idx="356">
                  <c:v>7.9504000000000001</c:v>
                </c:pt>
                <c:pt idx="357">
                  <c:v>0</c:v>
                </c:pt>
                <c:pt idx="358">
                  <c:v>0</c:v>
                </c:pt>
                <c:pt idx="359">
                  <c:v>17.104500000000002</c:v>
                </c:pt>
                <c:pt idx="360">
                  <c:v>7.6294000000000004</c:v>
                </c:pt>
                <c:pt idx="361">
                  <c:v>0</c:v>
                </c:pt>
                <c:pt idx="362">
                  <c:v>25.831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45.664499999999997</c:v>
                </c:pt>
                <c:pt idx="367">
                  <c:v>12.520899999999999</c:v>
                </c:pt>
                <c:pt idx="368">
                  <c:v>0</c:v>
                </c:pt>
                <c:pt idx="369">
                  <c:v>4.7259000000000002</c:v>
                </c:pt>
                <c:pt idx="370">
                  <c:v>9.3384999999999998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14.6998</c:v>
                </c:pt>
                <c:pt idx="375">
                  <c:v>44.335299999999997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78.201099999999997</c:v>
                </c:pt>
                <c:pt idx="380">
                  <c:v>1.3026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27.1357</c:v>
                </c:pt>
                <c:pt idx="387">
                  <c:v>31.5517</c:v>
                </c:pt>
                <c:pt idx="388">
                  <c:v>0</c:v>
                </c:pt>
                <c:pt idx="389">
                  <c:v>2.8184999999999998</c:v>
                </c:pt>
                <c:pt idx="390">
                  <c:v>0</c:v>
                </c:pt>
                <c:pt idx="391">
                  <c:v>15.879</c:v>
                </c:pt>
                <c:pt idx="392">
                  <c:v>0</c:v>
                </c:pt>
                <c:pt idx="393">
                  <c:v>0</c:v>
                </c:pt>
                <c:pt idx="394">
                  <c:v>49.758699999999997</c:v>
                </c:pt>
                <c:pt idx="395">
                  <c:v>9.9436</c:v>
                </c:pt>
                <c:pt idx="396">
                  <c:v>35.89</c:v>
                </c:pt>
                <c:pt idx="397">
                  <c:v>16.440999999999999</c:v>
                </c:pt>
                <c:pt idx="398">
                  <c:v>15.8697</c:v>
                </c:pt>
                <c:pt idx="399">
                  <c:v>114.19759999999999</c:v>
                </c:pt>
                <c:pt idx="400">
                  <c:v>30.180499999999999</c:v>
                </c:pt>
                <c:pt idx="401">
                  <c:v>5.6577000000000002</c:v>
                </c:pt>
                <c:pt idx="402">
                  <c:v>13.5343</c:v>
                </c:pt>
                <c:pt idx="403">
                  <c:v>2.5548999999999999</c:v>
                </c:pt>
                <c:pt idx="404">
                  <c:v>0</c:v>
                </c:pt>
                <c:pt idx="405">
                  <c:v>36.357700000000001</c:v>
                </c:pt>
                <c:pt idx="406">
                  <c:v>0</c:v>
                </c:pt>
                <c:pt idx="407">
                  <c:v>34.866300000000003</c:v>
                </c:pt>
                <c:pt idx="408">
                  <c:v>0</c:v>
                </c:pt>
                <c:pt idx="409">
                  <c:v>0</c:v>
                </c:pt>
                <c:pt idx="410">
                  <c:v>14.746600000000001</c:v>
                </c:pt>
                <c:pt idx="411">
                  <c:v>10.357799999999999</c:v>
                </c:pt>
                <c:pt idx="412">
                  <c:v>31.048400000000001</c:v>
                </c:pt>
                <c:pt idx="413">
                  <c:v>0</c:v>
                </c:pt>
                <c:pt idx="414">
                  <c:v>17.134399999999999</c:v>
                </c:pt>
                <c:pt idx="415">
                  <c:v>0</c:v>
                </c:pt>
                <c:pt idx="416">
                  <c:v>0</c:v>
                </c:pt>
                <c:pt idx="417">
                  <c:v>1.1529</c:v>
                </c:pt>
                <c:pt idx="418">
                  <c:v>0</c:v>
                </c:pt>
                <c:pt idx="419">
                  <c:v>29.4023</c:v>
                </c:pt>
                <c:pt idx="420">
                  <c:v>48.208399999999997</c:v>
                </c:pt>
                <c:pt idx="421">
                  <c:v>0</c:v>
                </c:pt>
                <c:pt idx="422">
                  <c:v>0</c:v>
                </c:pt>
                <c:pt idx="423">
                  <c:v>8.9999999999999998E-4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16.828700000000001</c:v>
                </c:pt>
                <c:pt idx="428">
                  <c:v>0</c:v>
                </c:pt>
                <c:pt idx="429">
                  <c:v>17.8583</c:v>
                </c:pt>
                <c:pt idx="430">
                  <c:v>16.042999999999999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61.6325</c:v>
                </c:pt>
                <c:pt idx="437">
                  <c:v>29.928100000000001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59.767499999999998</c:v>
                </c:pt>
                <c:pt idx="442">
                  <c:v>40.963500000000003</c:v>
                </c:pt>
                <c:pt idx="443">
                  <c:v>30.3323</c:v>
                </c:pt>
                <c:pt idx="444">
                  <c:v>0</c:v>
                </c:pt>
                <c:pt idx="445">
                  <c:v>16.6906</c:v>
                </c:pt>
                <c:pt idx="446">
                  <c:v>52.118600000000001</c:v>
                </c:pt>
                <c:pt idx="447">
                  <c:v>26.237300000000001</c:v>
                </c:pt>
                <c:pt idx="448">
                  <c:v>74.364000000000004</c:v>
                </c:pt>
                <c:pt idx="449">
                  <c:v>7.6619000000000002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9.6052</c:v>
                </c:pt>
                <c:pt idx="454">
                  <c:v>0</c:v>
                </c:pt>
                <c:pt idx="455">
                  <c:v>5.3506999999999998</c:v>
                </c:pt>
                <c:pt idx="456">
                  <c:v>0</c:v>
                </c:pt>
                <c:pt idx="457">
                  <c:v>0</c:v>
                </c:pt>
                <c:pt idx="458">
                  <c:v>65.157600000000002</c:v>
                </c:pt>
                <c:pt idx="459">
                  <c:v>28.997800000000002</c:v>
                </c:pt>
                <c:pt idx="460">
                  <c:v>0</c:v>
                </c:pt>
                <c:pt idx="461">
                  <c:v>1.7111000000000001</c:v>
                </c:pt>
                <c:pt idx="462">
                  <c:v>11.1281</c:v>
                </c:pt>
                <c:pt idx="463">
                  <c:v>12.458500000000001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6.0067000000000004</c:v>
                </c:pt>
                <c:pt idx="470">
                  <c:v>0</c:v>
                </c:pt>
                <c:pt idx="471">
                  <c:v>0</c:v>
                </c:pt>
                <c:pt idx="472">
                  <c:v>45.646700000000003</c:v>
                </c:pt>
                <c:pt idx="473">
                  <c:v>0</c:v>
                </c:pt>
                <c:pt idx="474">
                  <c:v>14.145300000000001</c:v>
                </c:pt>
                <c:pt idx="475">
                  <c:v>0</c:v>
                </c:pt>
                <c:pt idx="476">
                  <c:v>21.165500000000002</c:v>
                </c:pt>
                <c:pt idx="477">
                  <c:v>11.546099999999999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54.2821</c:v>
                </c:pt>
                <c:pt idx="482">
                  <c:v>0</c:v>
                </c:pt>
                <c:pt idx="483">
                  <c:v>43.128100000000003</c:v>
                </c:pt>
                <c:pt idx="484">
                  <c:v>12.1457</c:v>
                </c:pt>
                <c:pt idx="485">
                  <c:v>41.444800000000001</c:v>
                </c:pt>
                <c:pt idx="486">
                  <c:v>0</c:v>
                </c:pt>
                <c:pt idx="487">
                  <c:v>45.1843</c:v>
                </c:pt>
                <c:pt idx="488">
                  <c:v>61.1706</c:v>
                </c:pt>
                <c:pt idx="489">
                  <c:v>43.453800000000001</c:v>
                </c:pt>
                <c:pt idx="490">
                  <c:v>2.8184999999999998</c:v>
                </c:pt>
                <c:pt idx="491">
                  <c:v>23.123799999999999</c:v>
                </c:pt>
                <c:pt idx="492">
                  <c:v>101.03149999999999</c:v>
                </c:pt>
                <c:pt idx="493">
                  <c:v>0</c:v>
                </c:pt>
                <c:pt idx="494">
                  <c:v>13.663500000000001</c:v>
                </c:pt>
                <c:pt idx="495">
                  <c:v>8.1057000000000006</c:v>
                </c:pt>
                <c:pt idx="496">
                  <c:v>14.820499999999999</c:v>
                </c:pt>
                <c:pt idx="497">
                  <c:v>17.648</c:v>
                </c:pt>
                <c:pt idx="498">
                  <c:v>19.862300000000001</c:v>
                </c:pt>
                <c:pt idx="499">
                  <c:v>9.7438000000000002</c:v>
                </c:pt>
                <c:pt idx="500">
                  <c:v>5.6506999999999996</c:v>
                </c:pt>
                <c:pt idx="501">
                  <c:v>14.2887</c:v>
                </c:pt>
                <c:pt idx="502">
                  <c:v>59.320500000000003</c:v>
                </c:pt>
                <c:pt idx="503">
                  <c:v>0</c:v>
                </c:pt>
                <c:pt idx="504">
                  <c:v>64.878699999999995</c:v>
                </c:pt>
                <c:pt idx="505">
                  <c:v>0</c:v>
                </c:pt>
                <c:pt idx="506">
                  <c:v>18.2516</c:v>
                </c:pt>
                <c:pt idx="507">
                  <c:v>0</c:v>
                </c:pt>
                <c:pt idx="508">
                  <c:v>14.390700000000001</c:v>
                </c:pt>
                <c:pt idx="509">
                  <c:v>0</c:v>
                </c:pt>
                <c:pt idx="510">
                  <c:v>2.3527</c:v>
                </c:pt>
                <c:pt idx="511">
                  <c:v>0</c:v>
                </c:pt>
                <c:pt idx="512">
                  <c:v>8.7224000000000004</c:v>
                </c:pt>
                <c:pt idx="513">
                  <c:v>103.681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22.2943</c:v>
                </c:pt>
                <c:pt idx="518">
                  <c:v>0</c:v>
                </c:pt>
                <c:pt idx="519">
                  <c:v>0</c:v>
                </c:pt>
                <c:pt idx="520">
                  <c:v>8.7510999999999992</c:v>
                </c:pt>
                <c:pt idx="521">
                  <c:v>91.620699999999999</c:v>
                </c:pt>
                <c:pt idx="522">
                  <c:v>38.531500000000001</c:v>
                </c:pt>
                <c:pt idx="523">
                  <c:v>11.179399999999999</c:v>
                </c:pt>
                <c:pt idx="524">
                  <c:v>12.3248</c:v>
                </c:pt>
                <c:pt idx="525">
                  <c:v>0</c:v>
                </c:pt>
                <c:pt idx="526">
                  <c:v>12.0318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16.3535</c:v>
                </c:pt>
                <c:pt idx="532">
                  <c:v>54.528700000000001</c:v>
                </c:pt>
                <c:pt idx="533">
                  <c:v>63.2119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21.549299999999999</c:v>
                </c:pt>
                <c:pt idx="539">
                  <c:v>32.582099999999997</c:v>
                </c:pt>
                <c:pt idx="540">
                  <c:v>45.133499999999998</c:v>
                </c:pt>
                <c:pt idx="541">
                  <c:v>0</c:v>
                </c:pt>
                <c:pt idx="542">
                  <c:v>11.2399</c:v>
                </c:pt>
                <c:pt idx="543">
                  <c:v>1.7471000000000001</c:v>
                </c:pt>
                <c:pt idx="544">
                  <c:v>1.2806999999999999</c:v>
                </c:pt>
                <c:pt idx="545">
                  <c:v>2.6600999999999999</c:v>
                </c:pt>
                <c:pt idx="546">
                  <c:v>0</c:v>
                </c:pt>
                <c:pt idx="547">
                  <c:v>0</c:v>
                </c:pt>
                <c:pt idx="548">
                  <c:v>14.9726</c:v>
                </c:pt>
                <c:pt idx="549">
                  <c:v>8.0000000000000002E-3</c:v>
                </c:pt>
                <c:pt idx="550">
                  <c:v>5.3049999999999997</c:v>
                </c:pt>
                <c:pt idx="551">
                  <c:v>29.213699999999999</c:v>
                </c:pt>
                <c:pt idx="552">
                  <c:v>28.378599999999999</c:v>
                </c:pt>
                <c:pt idx="553">
                  <c:v>26.2224</c:v>
                </c:pt>
                <c:pt idx="554">
                  <c:v>0</c:v>
                </c:pt>
                <c:pt idx="555">
                  <c:v>0</c:v>
                </c:pt>
                <c:pt idx="556">
                  <c:v>36.621600000000001</c:v>
                </c:pt>
                <c:pt idx="557">
                  <c:v>0</c:v>
                </c:pt>
                <c:pt idx="558">
                  <c:v>10.5495</c:v>
                </c:pt>
                <c:pt idx="559">
                  <c:v>0</c:v>
                </c:pt>
                <c:pt idx="560">
                  <c:v>0</c:v>
                </c:pt>
                <c:pt idx="561">
                  <c:v>8.1757000000000009</c:v>
                </c:pt>
                <c:pt idx="562">
                  <c:v>39.108699999999999</c:v>
                </c:pt>
                <c:pt idx="563">
                  <c:v>0</c:v>
                </c:pt>
                <c:pt idx="564">
                  <c:v>1.2004999999999999</c:v>
                </c:pt>
                <c:pt idx="565">
                  <c:v>61.297199999999997</c:v>
                </c:pt>
                <c:pt idx="566">
                  <c:v>0</c:v>
                </c:pt>
                <c:pt idx="567">
                  <c:v>13.8597</c:v>
                </c:pt>
                <c:pt idx="568">
                  <c:v>0</c:v>
                </c:pt>
                <c:pt idx="569">
                  <c:v>12.2033</c:v>
                </c:pt>
                <c:pt idx="570">
                  <c:v>35.156500000000001</c:v>
                </c:pt>
                <c:pt idx="571">
                  <c:v>69.0017</c:v>
                </c:pt>
                <c:pt idx="572">
                  <c:v>4.3094000000000001</c:v>
                </c:pt>
                <c:pt idx="573">
                  <c:v>70.547799999999995</c:v>
                </c:pt>
                <c:pt idx="574">
                  <c:v>0</c:v>
                </c:pt>
                <c:pt idx="575">
                  <c:v>0</c:v>
                </c:pt>
                <c:pt idx="576">
                  <c:v>16.923200000000001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10.5228</c:v>
                </c:pt>
                <c:pt idx="585">
                  <c:v>18.623899999999999</c:v>
                </c:pt>
                <c:pt idx="586">
                  <c:v>0</c:v>
                </c:pt>
                <c:pt idx="587">
                  <c:v>27.534500000000001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3.2791000000000001</c:v>
                </c:pt>
                <c:pt idx="592">
                  <c:v>0</c:v>
                </c:pt>
                <c:pt idx="593">
                  <c:v>20.364000000000001</c:v>
                </c:pt>
                <c:pt idx="594">
                  <c:v>19.0444</c:v>
                </c:pt>
                <c:pt idx="595">
                  <c:v>10.485300000000001</c:v>
                </c:pt>
                <c:pt idx="596">
                  <c:v>0</c:v>
                </c:pt>
                <c:pt idx="597">
                  <c:v>20.075099999999999</c:v>
                </c:pt>
                <c:pt idx="598">
                  <c:v>0</c:v>
                </c:pt>
                <c:pt idx="599">
                  <c:v>17.0762</c:v>
                </c:pt>
                <c:pt idx="600">
                  <c:v>22.493500000000001</c:v>
                </c:pt>
                <c:pt idx="601">
                  <c:v>42.910299999999999</c:v>
                </c:pt>
                <c:pt idx="602">
                  <c:v>2.0821999999999998</c:v>
                </c:pt>
                <c:pt idx="603">
                  <c:v>28.125900000000001</c:v>
                </c:pt>
                <c:pt idx="604">
                  <c:v>25.523299999999999</c:v>
                </c:pt>
                <c:pt idx="605">
                  <c:v>14.298999999999999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8.43E-2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17.5245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80.587500000000006</c:v>
                </c:pt>
                <c:pt idx="618">
                  <c:v>0</c:v>
                </c:pt>
                <c:pt idx="619">
                  <c:v>35.040900000000001</c:v>
                </c:pt>
                <c:pt idx="620">
                  <c:v>15.639200000000001</c:v>
                </c:pt>
                <c:pt idx="621">
                  <c:v>0</c:v>
                </c:pt>
                <c:pt idx="622">
                  <c:v>23.512499999999999</c:v>
                </c:pt>
                <c:pt idx="623">
                  <c:v>25.226099999999999</c:v>
                </c:pt>
                <c:pt idx="624">
                  <c:v>0</c:v>
                </c:pt>
                <c:pt idx="625">
                  <c:v>0</c:v>
                </c:pt>
                <c:pt idx="626">
                  <c:v>42.668599999999998</c:v>
                </c:pt>
                <c:pt idx="627">
                  <c:v>44.102899999999998</c:v>
                </c:pt>
                <c:pt idx="628">
                  <c:v>3.8651</c:v>
                </c:pt>
                <c:pt idx="629">
                  <c:v>0</c:v>
                </c:pt>
                <c:pt idx="630">
                  <c:v>0</c:v>
                </c:pt>
                <c:pt idx="631">
                  <c:v>3.7631999999999999</c:v>
                </c:pt>
                <c:pt idx="632">
                  <c:v>24.020700000000001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14.7403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40.181699999999999</c:v>
                </c:pt>
                <c:pt idx="648">
                  <c:v>22.0303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19.7151</c:v>
                </c:pt>
                <c:pt idx="653">
                  <c:v>0</c:v>
                </c:pt>
                <c:pt idx="654">
                  <c:v>15.837</c:v>
                </c:pt>
                <c:pt idx="655">
                  <c:v>0</c:v>
                </c:pt>
                <c:pt idx="656">
                  <c:v>0</c:v>
                </c:pt>
                <c:pt idx="657">
                  <c:v>1.2794000000000001</c:v>
                </c:pt>
                <c:pt idx="658">
                  <c:v>0</c:v>
                </c:pt>
                <c:pt idx="659">
                  <c:v>0</c:v>
                </c:pt>
                <c:pt idx="660">
                  <c:v>4.7805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0.46389999999999998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37.221699999999998</c:v>
                </c:pt>
                <c:pt idx="669">
                  <c:v>0</c:v>
                </c:pt>
                <c:pt idx="670">
                  <c:v>8.5884999999999998</c:v>
                </c:pt>
                <c:pt idx="671">
                  <c:v>71.098299999999995</c:v>
                </c:pt>
                <c:pt idx="672">
                  <c:v>0</c:v>
                </c:pt>
                <c:pt idx="673">
                  <c:v>0</c:v>
                </c:pt>
                <c:pt idx="674">
                  <c:v>17.167100000000001</c:v>
                </c:pt>
                <c:pt idx="675">
                  <c:v>2.5354000000000001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51.809800000000003</c:v>
                </c:pt>
                <c:pt idx="680">
                  <c:v>0</c:v>
                </c:pt>
                <c:pt idx="681">
                  <c:v>0</c:v>
                </c:pt>
                <c:pt idx="682">
                  <c:v>17.2973</c:v>
                </c:pt>
                <c:pt idx="683">
                  <c:v>26.516999999999999</c:v>
                </c:pt>
                <c:pt idx="684">
                  <c:v>2.3391000000000002</c:v>
                </c:pt>
                <c:pt idx="685">
                  <c:v>29.296500000000002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16.294599999999999</c:v>
                </c:pt>
                <c:pt idx="692">
                  <c:v>0</c:v>
                </c:pt>
                <c:pt idx="693">
                  <c:v>0</c:v>
                </c:pt>
                <c:pt idx="694">
                  <c:v>26.872</c:v>
                </c:pt>
                <c:pt idx="695">
                  <c:v>31.883099999999999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53.013100000000001</c:v>
                </c:pt>
                <c:pt idx="700">
                  <c:v>62.491599999999998</c:v>
                </c:pt>
                <c:pt idx="701">
                  <c:v>0</c:v>
                </c:pt>
                <c:pt idx="702">
                  <c:v>38.427399999999999</c:v>
                </c:pt>
                <c:pt idx="703">
                  <c:v>0</c:v>
                </c:pt>
                <c:pt idx="704">
                  <c:v>0</c:v>
                </c:pt>
                <c:pt idx="705">
                  <c:v>47.128599999999999</c:v>
                </c:pt>
                <c:pt idx="706">
                  <c:v>0</c:v>
                </c:pt>
                <c:pt idx="707">
                  <c:v>0</c:v>
                </c:pt>
                <c:pt idx="708">
                  <c:v>10.6052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3.0070000000000001</c:v>
                </c:pt>
                <c:pt idx="713">
                  <c:v>0</c:v>
                </c:pt>
                <c:pt idx="714">
                  <c:v>0</c:v>
                </c:pt>
                <c:pt idx="715">
                  <c:v>31.542200000000001</c:v>
                </c:pt>
                <c:pt idx="716">
                  <c:v>35.044199999999996</c:v>
                </c:pt>
                <c:pt idx="717">
                  <c:v>2.8374999999999999</c:v>
                </c:pt>
                <c:pt idx="718">
                  <c:v>26.385000000000002</c:v>
                </c:pt>
                <c:pt idx="719">
                  <c:v>14.805899999999999</c:v>
                </c:pt>
                <c:pt idx="720">
                  <c:v>15.6557</c:v>
                </c:pt>
                <c:pt idx="721">
                  <c:v>0</c:v>
                </c:pt>
                <c:pt idx="722">
                  <c:v>0</c:v>
                </c:pt>
                <c:pt idx="723">
                  <c:v>3.0518000000000001</c:v>
                </c:pt>
                <c:pt idx="724">
                  <c:v>0</c:v>
                </c:pt>
                <c:pt idx="725">
                  <c:v>25.438300000000002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48.598700000000001</c:v>
                </c:pt>
                <c:pt idx="731">
                  <c:v>0</c:v>
                </c:pt>
                <c:pt idx="732">
                  <c:v>11.407999999999999</c:v>
                </c:pt>
                <c:pt idx="733">
                  <c:v>5.5963000000000003</c:v>
                </c:pt>
                <c:pt idx="734">
                  <c:v>5.9302000000000001</c:v>
                </c:pt>
                <c:pt idx="735">
                  <c:v>0</c:v>
                </c:pt>
                <c:pt idx="736">
                  <c:v>0</c:v>
                </c:pt>
                <c:pt idx="737">
                  <c:v>1.5274000000000001</c:v>
                </c:pt>
                <c:pt idx="738">
                  <c:v>0</c:v>
                </c:pt>
                <c:pt idx="739">
                  <c:v>0</c:v>
                </c:pt>
                <c:pt idx="740">
                  <c:v>23.619800000000001</c:v>
                </c:pt>
                <c:pt idx="741">
                  <c:v>4.8512000000000004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5.1148999999999996</c:v>
                </c:pt>
                <c:pt idx="750">
                  <c:v>3.9317000000000002</c:v>
                </c:pt>
                <c:pt idx="751">
                  <c:v>5.2061000000000002</c:v>
                </c:pt>
                <c:pt idx="752">
                  <c:v>25.8889</c:v>
                </c:pt>
                <c:pt idx="753">
                  <c:v>0</c:v>
                </c:pt>
                <c:pt idx="754">
                  <c:v>0</c:v>
                </c:pt>
                <c:pt idx="755">
                  <c:v>36.201000000000001</c:v>
                </c:pt>
                <c:pt idx="756">
                  <c:v>0</c:v>
                </c:pt>
                <c:pt idx="757">
                  <c:v>0</c:v>
                </c:pt>
                <c:pt idx="758">
                  <c:v>17.0398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102.5103</c:v>
                </c:pt>
                <c:pt idx="765">
                  <c:v>0</c:v>
                </c:pt>
                <c:pt idx="766">
                  <c:v>0</c:v>
                </c:pt>
                <c:pt idx="767">
                  <c:v>29.238399999999999</c:v>
                </c:pt>
                <c:pt idx="768">
                  <c:v>28.6418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21.741700000000002</c:v>
                </c:pt>
                <c:pt idx="773">
                  <c:v>1.0942000000000001</c:v>
                </c:pt>
                <c:pt idx="774">
                  <c:v>49.477200000000003</c:v>
                </c:pt>
                <c:pt idx="775">
                  <c:v>0</c:v>
                </c:pt>
                <c:pt idx="776">
                  <c:v>55.0989</c:v>
                </c:pt>
                <c:pt idx="777">
                  <c:v>0</c:v>
                </c:pt>
                <c:pt idx="778">
                  <c:v>0</c:v>
                </c:pt>
                <c:pt idx="779">
                  <c:v>73.325999999999993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4.6719999999999997</c:v>
                </c:pt>
                <c:pt idx="784">
                  <c:v>0</c:v>
                </c:pt>
                <c:pt idx="785">
                  <c:v>27.091100000000001</c:v>
                </c:pt>
                <c:pt idx="786">
                  <c:v>0</c:v>
                </c:pt>
                <c:pt idx="787">
                  <c:v>23.792999999999999</c:v>
                </c:pt>
                <c:pt idx="788">
                  <c:v>8.8102</c:v>
                </c:pt>
                <c:pt idx="789">
                  <c:v>0</c:v>
                </c:pt>
                <c:pt idx="790">
                  <c:v>16.746099999999998</c:v>
                </c:pt>
                <c:pt idx="791">
                  <c:v>20.713000000000001</c:v>
                </c:pt>
                <c:pt idx="792">
                  <c:v>3.0956000000000001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5.1577000000000002</c:v>
                </c:pt>
                <c:pt idx="798">
                  <c:v>27.275400000000001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4.5713999999999997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1.7081999999999999</c:v>
                </c:pt>
                <c:pt idx="808">
                  <c:v>0</c:v>
                </c:pt>
                <c:pt idx="809">
                  <c:v>53.132300000000001</c:v>
                </c:pt>
                <c:pt idx="810">
                  <c:v>0</c:v>
                </c:pt>
                <c:pt idx="811">
                  <c:v>37.185600000000001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79.379499999999993</c:v>
                </c:pt>
                <c:pt idx="818">
                  <c:v>48.040500000000002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54.8491</c:v>
                </c:pt>
                <c:pt idx="823">
                  <c:v>34.037500000000001</c:v>
                </c:pt>
                <c:pt idx="824">
                  <c:v>0</c:v>
                </c:pt>
                <c:pt idx="825">
                  <c:v>0</c:v>
                </c:pt>
                <c:pt idx="826">
                  <c:v>18.500599999999999</c:v>
                </c:pt>
                <c:pt idx="827">
                  <c:v>0</c:v>
                </c:pt>
                <c:pt idx="828">
                  <c:v>51.279899999999998</c:v>
                </c:pt>
                <c:pt idx="829">
                  <c:v>0</c:v>
                </c:pt>
                <c:pt idx="830">
                  <c:v>61.916400000000003</c:v>
                </c:pt>
                <c:pt idx="831">
                  <c:v>0</c:v>
                </c:pt>
                <c:pt idx="832">
                  <c:v>51.793999999999997</c:v>
                </c:pt>
                <c:pt idx="833">
                  <c:v>7.6730999999999998</c:v>
                </c:pt>
                <c:pt idx="834">
                  <c:v>0</c:v>
                </c:pt>
                <c:pt idx="835">
                  <c:v>21.706600000000002</c:v>
                </c:pt>
                <c:pt idx="836">
                  <c:v>0</c:v>
                </c:pt>
                <c:pt idx="837">
                  <c:v>0</c:v>
                </c:pt>
                <c:pt idx="838">
                  <c:v>11.855399999999999</c:v>
                </c:pt>
                <c:pt idx="839">
                  <c:v>0</c:v>
                </c:pt>
                <c:pt idx="840">
                  <c:v>16.916899999999998</c:v>
                </c:pt>
                <c:pt idx="841">
                  <c:v>0</c:v>
                </c:pt>
                <c:pt idx="842">
                  <c:v>19.544599999999999</c:v>
                </c:pt>
                <c:pt idx="843">
                  <c:v>30.232800000000001</c:v>
                </c:pt>
                <c:pt idx="844">
                  <c:v>0</c:v>
                </c:pt>
                <c:pt idx="845">
                  <c:v>0</c:v>
                </c:pt>
                <c:pt idx="846">
                  <c:v>42.242800000000003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16.5839</c:v>
                </c:pt>
                <c:pt idx="851">
                  <c:v>0</c:v>
                </c:pt>
                <c:pt idx="852">
                  <c:v>23.781600000000001</c:v>
                </c:pt>
                <c:pt idx="853">
                  <c:v>0</c:v>
                </c:pt>
                <c:pt idx="854">
                  <c:v>0</c:v>
                </c:pt>
                <c:pt idx="855">
                  <c:v>0.18590000000000001</c:v>
                </c:pt>
                <c:pt idx="856">
                  <c:v>22.7608</c:v>
                </c:pt>
                <c:pt idx="857">
                  <c:v>23.18</c:v>
                </c:pt>
                <c:pt idx="858">
                  <c:v>8.7658000000000005</c:v>
                </c:pt>
                <c:pt idx="859">
                  <c:v>20.263000000000002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37.08</c:v>
                </c:pt>
                <c:pt idx="864">
                  <c:v>0</c:v>
                </c:pt>
                <c:pt idx="865">
                  <c:v>62.847700000000003</c:v>
                </c:pt>
                <c:pt idx="866">
                  <c:v>18.7727</c:v>
                </c:pt>
                <c:pt idx="867">
                  <c:v>0</c:v>
                </c:pt>
                <c:pt idx="868">
                  <c:v>22.325399999999998</c:v>
                </c:pt>
                <c:pt idx="869">
                  <c:v>0</c:v>
                </c:pt>
                <c:pt idx="870">
                  <c:v>28.0322</c:v>
                </c:pt>
                <c:pt idx="871">
                  <c:v>4.5022000000000002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4.3921000000000001</c:v>
                </c:pt>
                <c:pt idx="876">
                  <c:v>8.8170000000000002</c:v>
                </c:pt>
                <c:pt idx="877">
                  <c:v>0</c:v>
                </c:pt>
                <c:pt idx="878">
                  <c:v>85.803799999999995</c:v>
                </c:pt>
                <c:pt idx="879">
                  <c:v>0</c:v>
                </c:pt>
                <c:pt idx="880">
                  <c:v>48.6999</c:v>
                </c:pt>
                <c:pt idx="881">
                  <c:v>19.038</c:v>
                </c:pt>
                <c:pt idx="882">
                  <c:v>18.6967</c:v>
                </c:pt>
                <c:pt idx="883">
                  <c:v>58.527299999999997</c:v>
                </c:pt>
                <c:pt idx="884">
                  <c:v>0</c:v>
                </c:pt>
                <c:pt idx="885">
                  <c:v>18.12</c:v>
                </c:pt>
                <c:pt idx="886">
                  <c:v>38.891500000000001</c:v>
                </c:pt>
                <c:pt idx="887">
                  <c:v>0</c:v>
                </c:pt>
                <c:pt idx="888">
                  <c:v>0</c:v>
                </c:pt>
                <c:pt idx="889">
                  <c:v>4.3981000000000003</c:v>
                </c:pt>
                <c:pt idx="890">
                  <c:v>53.4559</c:v>
                </c:pt>
                <c:pt idx="891">
                  <c:v>0</c:v>
                </c:pt>
                <c:pt idx="892">
                  <c:v>0</c:v>
                </c:pt>
                <c:pt idx="893">
                  <c:v>21.181000000000001</c:v>
                </c:pt>
                <c:pt idx="894">
                  <c:v>46.7027</c:v>
                </c:pt>
                <c:pt idx="895">
                  <c:v>52.747399999999999</c:v>
                </c:pt>
                <c:pt idx="896">
                  <c:v>14.664099999999999</c:v>
                </c:pt>
                <c:pt idx="897">
                  <c:v>20.968499999999999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46.499699999999997</c:v>
                </c:pt>
                <c:pt idx="903">
                  <c:v>0</c:v>
                </c:pt>
                <c:pt idx="904">
                  <c:v>30.220099999999999</c:v>
                </c:pt>
                <c:pt idx="905">
                  <c:v>4.1928999999999998</c:v>
                </c:pt>
                <c:pt idx="906">
                  <c:v>0.72750000000000004</c:v>
                </c:pt>
                <c:pt idx="907">
                  <c:v>15.319800000000001</c:v>
                </c:pt>
                <c:pt idx="908">
                  <c:v>4.1737000000000002</c:v>
                </c:pt>
                <c:pt idx="909">
                  <c:v>79.887799999999999</c:v>
                </c:pt>
                <c:pt idx="910">
                  <c:v>37.322600000000001</c:v>
                </c:pt>
                <c:pt idx="911">
                  <c:v>0</c:v>
                </c:pt>
                <c:pt idx="912">
                  <c:v>24.9956</c:v>
                </c:pt>
                <c:pt idx="913">
                  <c:v>1.4681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76.569900000000004</c:v>
                </c:pt>
                <c:pt idx="919">
                  <c:v>3.89</c:v>
                </c:pt>
                <c:pt idx="920">
                  <c:v>97.587100000000007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7.7916999999999996</c:v>
                </c:pt>
                <c:pt idx="925">
                  <c:v>0</c:v>
                </c:pt>
                <c:pt idx="926">
                  <c:v>0</c:v>
                </c:pt>
                <c:pt idx="927">
                  <c:v>2.8294999999999999</c:v>
                </c:pt>
                <c:pt idx="928">
                  <c:v>37.529899999999998</c:v>
                </c:pt>
                <c:pt idx="929">
                  <c:v>0</c:v>
                </c:pt>
                <c:pt idx="930">
                  <c:v>0</c:v>
                </c:pt>
                <c:pt idx="931">
                  <c:v>2.9661</c:v>
                </c:pt>
                <c:pt idx="932">
                  <c:v>12.2186</c:v>
                </c:pt>
                <c:pt idx="933">
                  <c:v>26.784600000000001</c:v>
                </c:pt>
                <c:pt idx="934">
                  <c:v>57.4253</c:v>
                </c:pt>
                <c:pt idx="935">
                  <c:v>0</c:v>
                </c:pt>
                <c:pt idx="936">
                  <c:v>50.985999999999997</c:v>
                </c:pt>
                <c:pt idx="937">
                  <c:v>28.4</c:v>
                </c:pt>
                <c:pt idx="938">
                  <c:v>53.028100000000002</c:v>
                </c:pt>
                <c:pt idx="939">
                  <c:v>35.241300000000003</c:v>
                </c:pt>
                <c:pt idx="940">
                  <c:v>0</c:v>
                </c:pt>
                <c:pt idx="941">
                  <c:v>0</c:v>
                </c:pt>
                <c:pt idx="942">
                  <c:v>24.563300000000002</c:v>
                </c:pt>
                <c:pt idx="943">
                  <c:v>0</c:v>
                </c:pt>
                <c:pt idx="944">
                  <c:v>17.988700000000001</c:v>
                </c:pt>
                <c:pt idx="945">
                  <c:v>26.818899999999999</c:v>
                </c:pt>
                <c:pt idx="946">
                  <c:v>16.041799999999999</c:v>
                </c:pt>
                <c:pt idx="947">
                  <c:v>0</c:v>
                </c:pt>
                <c:pt idx="948">
                  <c:v>16.475999999999999</c:v>
                </c:pt>
                <c:pt idx="949">
                  <c:v>18.615500000000001</c:v>
                </c:pt>
                <c:pt idx="950">
                  <c:v>0</c:v>
                </c:pt>
                <c:pt idx="951">
                  <c:v>0</c:v>
                </c:pt>
                <c:pt idx="952">
                  <c:v>38.482599999999998</c:v>
                </c:pt>
                <c:pt idx="953">
                  <c:v>12.4663</c:v>
                </c:pt>
                <c:pt idx="954">
                  <c:v>0</c:v>
                </c:pt>
                <c:pt idx="955">
                  <c:v>0</c:v>
                </c:pt>
                <c:pt idx="956">
                  <c:v>19.318100000000001</c:v>
                </c:pt>
                <c:pt idx="957">
                  <c:v>18.635400000000001</c:v>
                </c:pt>
                <c:pt idx="958">
                  <c:v>0</c:v>
                </c:pt>
                <c:pt idx="959">
                  <c:v>0</c:v>
                </c:pt>
                <c:pt idx="960">
                  <c:v>32.193399999999997</c:v>
                </c:pt>
                <c:pt idx="961">
                  <c:v>0</c:v>
                </c:pt>
                <c:pt idx="962">
                  <c:v>0</c:v>
                </c:pt>
                <c:pt idx="963">
                  <c:v>17.452500000000001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42.139899999999997</c:v>
                </c:pt>
                <c:pt idx="969">
                  <c:v>36.048900000000003</c:v>
                </c:pt>
                <c:pt idx="970">
                  <c:v>0</c:v>
                </c:pt>
                <c:pt idx="971">
                  <c:v>4.1551</c:v>
                </c:pt>
                <c:pt idx="972">
                  <c:v>15.355</c:v>
                </c:pt>
                <c:pt idx="973">
                  <c:v>0</c:v>
                </c:pt>
                <c:pt idx="974">
                  <c:v>0</c:v>
                </c:pt>
                <c:pt idx="975">
                  <c:v>9.1104000000000003</c:v>
                </c:pt>
                <c:pt idx="976">
                  <c:v>70.299700000000001</c:v>
                </c:pt>
                <c:pt idx="977">
                  <c:v>0</c:v>
                </c:pt>
                <c:pt idx="978">
                  <c:v>145.01480000000001</c:v>
                </c:pt>
                <c:pt idx="979">
                  <c:v>22.717400000000001</c:v>
                </c:pt>
                <c:pt idx="980">
                  <c:v>13.152699999999999</c:v>
                </c:pt>
                <c:pt idx="981">
                  <c:v>0</c:v>
                </c:pt>
                <c:pt idx="982">
                  <c:v>16.7822</c:v>
                </c:pt>
                <c:pt idx="983">
                  <c:v>1.9651000000000001</c:v>
                </c:pt>
                <c:pt idx="984">
                  <c:v>0</c:v>
                </c:pt>
                <c:pt idx="985">
                  <c:v>23.521599999999999</c:v>
                </c:pt>
                <c:pt idx="986">
                  <c:v>0</c:v>
                </c:pt>
                <c:pt idx="987">
                  <c:v>3.9024999999999999</c:v>
                </c:pt>
                <c:pt idx="988">
                  <c:v>14.3786</c:v>
                </c:pt>
                <c:pt idx="989">
                  <c:v>6.4082999999999997</c:v>
                </c:pt>
                <c:pt idx="990">
                  <c:v>0</c:v>
                </c:pt>
                <c:pt idx="991">
                  <c:v>0</c:v>
                </c:pt>
                <c:pt idx="992">
                  <c:v>19.9422</c:v>
                </c:pt>
                <c:pt idx="993">
                  <c:v>45.710299999999997</c:v>
                </c:pt>
                <c:pt idx="994">
                  <c:v>0</c:v>
                </c:pt>
                <c:pt idx="995">
                  <c:v>4.3715000000000002</c:v>
                </c:pt>
                <c:pt idx="996">
                  <c:v>0</c:v>
                </c:pt>
                <c:pt idx="997">
                  <c:v>11.946300000000001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8-4634-A94C-F8310191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749088"/>
        <c:axId val="384743840"/>
      </c:scatterChart>
      <c:valAx>
        <c:axId val="38474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43840"/>
        <c:crosses val="autoZero"/>
        <c:crossBetween val="midCat"/>
      </c:valAx>
      <c:valAx>
        <c:axId val="3847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4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'Vanilla BS call option'!$S$1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'Vanilla BS call option'!$Q$2:$Q$1001</c:f>
              <c:numCache>
                <c:formatCode>0.00</c:formatCode>
                <c:ptCount val="1000"/>
                <c:pt idx="0">
                  <c:v>102.161</c:v>
                </c:pt>
                <c:pt idx="1">
                  <c:v>93.2624</c:v>
                </c:pt>
                <c:pt idx="2">
                  <c:v>115.81910000000001</c:v>
                </c:pt>
                <c:pt idx="3">
                  <c:v>89.268299999999996</c:v>
                </c:pt>
                <c:pt idx="4">
                  <c:v>109.2516</c:v>
                </c:pt>
                <c:pt idx="5">
                  <c:v>91.637</c:v>
                </c:pt>
                <c:pt idx="6">
                  <c:v>140.2543</c:v>
                </c:pt>
                <c:pt idx="7">
                  <c:v>90.3249</c:v>
                </c:pt>
                <c:pt idx="8">
                  <c:v>101.4902</c:v>
                </c:pt>
                <c:pt idx="9">
                  <c:v>47.792299999999997</c:v>
                </c:pt>
                <c:pt idx="10">
                  <c:v>106.5472</c:v>
                </c:pt>
                <c:pt idx="11">
                  <c:v>67.899100000000004</c:v>
                </c:pt>
                <c:pt idx="12">
                  <c:v>110.81189999999999</c:v>
                </c:pt>
                <c:pt idx="13">
                  <c:v>77.881299999999996</c:v>
                </c:pt>
                <c:pt idx="14">
                  <c:v>122.16670000000001</c:v>
                </c:pt>
                <c:pt idx="15">
                  <c:v>84.145300000000006</c:v>
                </c:pt>
                <c:pt idx="16">
                  <c:v>128.67250000000001</c:v>
                </c:pt>
                <c:pt idx="17">
                  <c:v>88.079400000000007</c:v>
                </c:pt>
                <c:pt idx="18">
                  <c:v>144.5891</c:v>
                </c:pt>
                <c:pt idx="19">
                  <c:v>79.443700000000007</c:v>
                </c:pt>
                <c:pt idx="20">
                  <c:v>135.3527</c:v>
                </c:pt>
                <c:pt idx="21">
                  <c:v>98.382400000000004</c:v>
                </c:pt>
                <c:pt idx="22">
                  <c:v>158.33189999999999</c:v>
                </c:pt>
                <c:pt idx="23">
                  <c:v>90.836500000000001</c:v>
                </c:pt>
                <c:pt idx="24">
                  <c:v>69.322500000000005</c:v>
                </c:pt>
                <c:pt idx="25">
                  <c:v>67.534599999999998</c:v>
                </c:pt>
                <c:pt idx="26">
                  <c:v>120.3506</c:v>
                </c:pt>
                <c:pt idx="27">
                  <c:v>164.16079999999999</c:v>
                </c:pt>
                <c:pt idx="28">
                  <c:v>114.384</c:v>
                </c:pt>
                <c:pt idx="29">
                  <c:v>149.0121</c:v>
                </c:pt>
                <c:pt idx="30">
                  <c:v>134.983</c:v>
                </c:pt>
                <c:pt idx="31">
                  <c:v>98.646699999999996</c:v>
                </c:pt>
                <c:pt idx="32">
                  <c:v>66.658000000000001</c:v>
                </c:pt>
                <c:pt idx="33">
                  <c:v>202.93260000000001</c:v>
                </c:pt>
                <c:pt idx="34">
                  <c:v>85.751000000000005</c:v>
                </c:pt>
                <c:pt idx="35">
                  <c:v>116.27760000000001</c:v>
                </c:pt>
                <c:pt idx="36">
                  <c:v>80.528300000000002</c:v>
                </c:pt>
                <c:pt idx="37">
                  <c:v>75.726699999999994</c:v>
                </c:pt>
                <c:pt idx="38">
                  <c:v>89.218599999999995</c:v>
                </c:pt>
                <c:pt idx="39">
                  <c:v>69.918400000000005</c:v>
                </c:pt>
                <c:pt idx="40">
                  <c:v>138.5453</c:v>
                </c:pt>
                <c:pt idx="41">
                  <c:v>66.743200000000002</c:v>
                </c:pt>
                <c:pt idx="42">
                  <c:v>76.639099999999999</c:v>
                </c:pt>
                <c:pt idx="43">
                  <c:v>129.7671</c:v>
                </c:pt>
                <c:pt idx="44">
                  <c:v>80.173500000000004</c:v>
                </c:pt>
                <c:pt idx="45">
                  <c:v>95.573800000000006</c:v>
                </c:pt>
                <c:pt idx="46">
                  <c:v>74.484499999999997</c:v>
                </c:pt>
                <c:pt idx="47">
                  <c:v>73.590100000000007</c:v>
                </c:pt>
                <c:pt idx="48">
                  <c:v>79.963200000000001</c:v>
                </c:pt>
                <c:pt idx="49">
                  <c:v>84.153300000000002</c:v>
                </c:pt>
                <c:pt idx="50">
                  <c:v>100.66840000000001</c:v>
                </c:pt>
                <c:pt idx="51">
                  <c:v>184.38040000000001</c:v>
                </c:pt>
                <c:pt idx="52">
                  <c:v>121.4898</c:v>
                </c:pt>
                <c:pt idx="53">
                  <c:v>196.56829999999999</c:v>
                </c:pt>
                <c:pt idx="54">
                  <c:v>118.4062</c:v>
                </c:pt>
                <c:pt idx="55">
                  <c:v>86.978999999999999</c:v>
                </c:pt>
                <c:pt idx="56">
                  <c:v>124.6451</c:v>
                </c:pt>
                <c:pt idx="57">
                  <c:v>158.04220000000001</c:v>
                </c:pt>
                <c:pt idx="58">
                  <c:v>59.467399999999998</c:v>
                </c:pt>
                <c:pt idx="59">
                  <c:v>73.816900000000004</c:v>
                </c:pt>
                <c:pt idx="60">
                  <c:v>127.03489999999999</c:v>
                </c:pt>
                <c:pt idx="61">
                  <c:v>79.055300000000003</c:v>
                </c:pt>
                <c:pt idx="62">
                  <c:v>138.40469999999999</c:v>
                </c:pt>
                <c:pt idx="63">
                  <c:v>167.6011</c:v>
                </c:pt>
                <c:pt idx="64">
                  <c:v>112.1292</c:v>
                </c:pt>
                <c:pt idx="65">
                  <c:v>137.47640000000001</c:v>
                </c:pt>
                <c:pt idx="66">
                  <c:v>118.908</c:v>
                </c:pt>
                <c:pt idx="67">
                  <c:v>98.614999999999995</c:v>
                </c:pt>
                <c:pt idx="68">
                  <c:v>120.8374</c:v>
                </c:pt>
                <c:pt idx="69">
                  <c:v>104.98820000000001</c:v>
                </c:pt>
                <c:pt idx="70">
                  <c:v>77.662300000000002</c:v>
                </c:pt>
                <c:pt idx="71">
                  <c:v>116.748</c:v>
                </c:pt>
                <c:pt idx="72">
                  <c:v>143.71420000000001</c:v>
                </c:pt>
                <c:pt idx="73">
                  <c:v>88.054299999999998</c:v>
                </c:pt>
                <c:pt idx="74">
                  <c:v>103.9628</c:v>
                </c:pt>
                <c:pt idx="75">
                  <c:v>130.57830000000001</c:v>
                </c:pt>
                <c:pt idx="76">
                  <c:v>58.470100000000002</c:v>
                </c:pt>
                <c:pt idx="77">
                  <c:v>125.50530000000001</c:v>
                </c:pt>
                <c:pt idx="78">
                  <c:v>182.75190000000001</c:v>
                </c:pt>
                <c:pt idx="79">
                  <c:v>122.63079999999999</c:v>
                </c:pt>
                <c:pt idx="80">
                  <c:v>96.363500000000002</c:v>
                </c:pt>
                <c:pt idx="81">
                  <c:v>98.425399999999996</c:v>
                </c:pt>
                <c:pt idx="82">
                  <c:v>105.5986</c:v>
                </c:pt>
                <c:pt idx="83">
                  <c:v>100.3331</c:v>
                </c:pt>
                <c:pt idx="84">
                  <c:v>109.33</c:v>
                </c:pt>
                <c:pt idx="85">
                  <c:v>80.024100000000004</c:v>
                </c:pt>
                <c:pt idx="86">
                  <c:v>72.604900000000001</c:v>
                </c:pt>
                <c:pt idx="87">
                  <c:v>115.71599999999999</c:v>
                </c:pt>
                <c:pt idx="88">
                  <c:v>129.19540000000001</c:v>
                </c:pt>
                <c:pt idx="89">
                  <c:v>87.167599999999993</c:v>
                </c:pt>
                <c:pt idx="90">
                  <c:v>83.626800000000003</c:v>
                </c:pt>
                <c:pt idx="91">
                  <c:v>123.2749</c:v>
                </c:pt>
                <c:pt idx="92">
                  <c:v>135.46719999999999</c:v>
                </c:pt>
                <c:pt idx="93">
                  <c:v>111.5441</c:v>
                </c:pt>
                <c:pt idx="94">
                  <c:v>97.346000000000004</c:v>
                </c:pt>
                <c:pt idx="95">
                  <c:v>80.496899999999997</c:v>
                </c:pt>
                <c:pt idx="96">
                  <c:v>124.1759</c:v>
                </c:pt>
                <c:pt idx="97">
                  <c:v>61.837899999999998</c:v>
                </c:pt>
                <c:pt idx="98">
                  <c:v>51.597700000000003</c:v>
                </c:pt>
                <c:pt idx="99">
                  <c:v>85.471500000000006</c:v>
                </c:pt>
                <c:pt idx="100">
                  <c:v>89.339200000000005</c:v>
                </c:pt>
                <c:pt idx="101">
                  <c:v>193.57560000000001</c:v>
                </c:pt>
                <c:pt idx="102">
                  <c:v>125.0626</c:v>
                </c:pt>
                <c:pt idx="103">
                  <c:v>124.9054</c:v>
                </c:pt>
                <c:pt idx="104">
                  <c:v>123.5891</c:v>
                </c:pt>
                <c:pt idx="105">
                  <c:v>99.206199999999995</c:v>
                </c:pt>
                <c:pt idx="106">
                  <c:v>67.836399999999998</c:v>
                </c:pt>
                <c:pt idx="107">
                  <c:v>45.508600000000001</c:v>
                </c:pt>
                <c:pt idx="108">
                  <c:v>55.467500000000001</c:v>
                </c:pt>
                <c:pt idx="109">
                  <c:v>208.75479999999999</c:v>
                </c:pt>
                <c:pt idx="110">
                  <c:v>135.23769999999999</c:v>
                </c:pt>
                <c:pt idx="111">
                  <c:v>110.2722</c:v>
                </c:pt>
                <c:pt idx="112">
                  <c:v>93.218800000000002</c:v>
                </c:pt>
                <c:pt idx="113">
                  <c:v>82.784000000000006</c:v>
                </c:pt>
                <c:pt idx="114">
                  <c:v>105.5449</c:v>
                </c:pt>
                <c:pt idx="115">
                  <c:v>94.881299999999996</c:v>
                </c:pt>
                <c:pt idx="116">
                  <c:v>61.726999999999997</c:v>
                </c:pt>
                <c:pt idx="117">
                  <c:v>96.268699999999995</c:v>
                </c:pt>
                <c:pt idx="118">
                  <c:v>100.33240000000001</c:v>
                </c:pt>
                <c:pt idx="119">
                  <c:v>71.248699999999999</c:v>
                </c:pt>
                <c:pt idx="120">
                  <c:v>85.296700000000001</c:v>
                </c:pt>
                <c:pt idx="121">
                  <c:v>137.01300000000001</c:v>
                </c:pt>
                <c:pt idx="122">
                  <c:v>113.4096</c:v>
                </c:pt>
                <c:pt idx="123">
                  <c:v>156.73410000000001</c:v>
                </c:pt>
                <c:pt idx="124">
                  <c:v>106.8381</c:v>
                </c:pt>
                <c:pt idx="125">
                  <c:v>94.275899999999993</c:v>
                </c:pt>
                <c:pt idx="126">
                  <c:v>110.1994</c:v>
                </c:pt>
                <c:pt idx="127">
                  <c:v>133.22190000000001</c:v>
                </c:pt>
                <c:pt idx="128">
                  <c:v>90.071299999999994</c:v>
                </c:pt>
                <c:pt idx="129">
                  <c:v>151.7372</c:v>
                </c:pt>
                <c:pt idx="130">
                  <c:v>98.585899999999995</c:v>
                </c:pt>
                <c:pt idx="131">
                  <c:v>82.016199999999998</c:v>
                </c:pt>
                <c:pt idx="132">
                  <c:v>160.7568</c:v>
                </c:pt>
                <c:pt idx="133">
                  <c:v>100.63679999999999</c:v>
                </c:pt>
                <c:pt idx="134">
                  <c:v>84.763499999999993</c:v>
                </c:pt>
                <c:pt idx="135">
                  <c:v>80.941900000000004</c:v>
                </c:pt>
                <c:pt idx="136">
                  <c:v>87.447100000000006</c:v>
                </c:pt>
                <c:pt idx="137">
                  <c:v>101.098</c:v>
                </c:pt>
                <c:pt idx="138">
                  <c:v>119.5009</c:v>
                </c:pt>
                <c:pt idx="139">
                  <c:v>136.95660000000001</c:v>
                </c:pt>
                <c:pt idx="140">
                  <c:v>82.216200000000001</c:v>
                </c:pt>
                <c:pt idx="141">
                  <c:v>121.9568</c:v>
                </c:pt>
                <c:pt idx="142">
                  <c:v>94.197699999999998</c:v>
                </c:pt>
                <c:pt idx="143">
                  <c:v>111.1284</c:v>
                </c:pt>
                <c:pt idx="144">
                  <c:v>150.58519999999999</c:v>
                </c:pt>
                <c:pt idx="145">
                  <c:v>176.7379</c:v>
                </c:pt>
                <c:pt idx="146">
                  <c:v>103.4186</c:v>
                </c:pt>
                <c:pt idx="147">
                  <c:v>100.0902</c:v>
                </c:pt>
                <c:pt idx="148">
                  <c:v>173.5385</c:v>
                </c:pt>
                <c:pt idx="149">
                  <c:v>72.815200000000004</c:v>
                </c:pt>
                <c:pt idx="150">
                  <c:v>86.535200000000003</c:v>
                </c:pt>
                <c:pt idx="151">
                  <c:v>46.795999999999999</c:v>
                </c:pt>
                <c:pt idx="152">
                  <c:v>164.61689999999999</c:v>
                </c:pt>
                <c:pt idx="153">
                  <c:v>126.3451</c:v>
                </c:pt>
                <c:pt idx="154">
                  <c:v>91.672399999999996</c:v>
                </c:pt>
                <c:pt idx="155">
                  <c:v>73.759399999999999</c:v>
                </c:pt>
                <c:pt idx="156">
                  <c:v>162.23310000000001</c:v>
                </c:pt>
                <c:pt idx="157">
                  <c:v>105.6474</c:v>
                </c:pt>
                <c:pt idx="158">
                  <c:v>74.594499999999996</c:v>
                </c:pt>
                <c:pt idx="159">
                  <c:v>89.738299999999995</c:v>
                </c:pt>
                <c:pt idx="160">
                  <c:v>79.492400000000004</c:v>
                </c:pt>
                <c:pt idx="161">
                  <c:v>95.706299999999999</c:v>
                </c:pt>
                <c:pt idx="162">
                  <c:v>58.122500000000002</c:v>
                </c:pt>
                <c:pt idx="163">
                  <c:v>83.770700000000005</c:v>
                </c:pt>
                <c:pt idx="164">
                  <c:v>112.2568</c:v>
                </c:pt>
                <c:pt idx="165">
                  <c:v>102.7687</c:v>
                </c:pt>
                <c:pt idx="166">
                  <c:v>98.402799999999999</c:v>
                </c:pt>
                <c:pt idx="167">
                  <c:v>78.025899999999993</c:v>
                </c:pt>
                <c:pt idx="168">
                  <c:v>69.321799999999996</c:v>
                </c:pt>
                <c:pt idx="169">
                  <c:v>115.0261</c:v>
                </c:pt>
                <c:pt idx="170">
                  <c:v>94.506399999999999</c:v>
                </c:pt>
                <c:pt idx="171">
                  <c:v>59.155799999999999</c:v>
                </c:pt>
                <c:pt idx="172">
                  <c:v>122.3494</c:v>
                </c:pt>
                <c:pt idx="173">
                  <c:v>171.39189999999999</c:v>
                </c:pt>
                <c:pt idx="174">
                  <c:v>170.37039999999999</c:v>
                </c:pt>
                <c:pt idx="175">
                  <c:v>119.8445</c:v>
                </c:pt>
                <c:pt idx="176">
                  <c:v>122.67400000000001</c:v>
                </c:pt>
                <c:pt idx="177">
                  <c:v>101.0106</c:v>
                </c:pt>
                <c:pt idx="178">
                  <c:v>119.13379999999999</c:v>
                </c:pt>
                <c:pt idx="179">
                  <c:v>100.1904</c:v>
                </c:pt>
                <c:pt idx="180">
                  <c:v>85.908699999999996</c:v>
                </c:pt>
                <c:pt idx="181">
                  <c:v>117.14360000000001</c:v>
                </c:pt>
                <c:pt idx="182">
                  <c:v>94.538899999999998</c:v>
                </c:pt>
                <c:pt idx="183">
                  <c:v>151.12459999999999</c:v>
                </c:pt>
                <c:pt idx="184">
                  <c:v>120.47539999999999</c:v>
                </c:pt>
                <c:pt idx="185">
                  <c:v>159.10079999999999</c:v>
                </c:pt>
                <c:pt idx="186">
                  <c:v>265.09440000000001</c:v>
                </c:pt>
                <c:pt idx="187">
                  <c:v>121.5508</c:v>
                </c:pt>
                <c:pt idx="188">
                  <c:v>77.908799999999999</c:v>
                </c:pt>
                <c:pt idx="189">
                  <c:v>65.984300000000005</c:v>
                </c:pt>
                <c:pt idx="190">
                  <c:v>87.512200000000007</c:v>
                </c:pt>
                <c:pt idx="191">
                  <c:v>132.2373</c:v>
                </c:pt>
                <c:pt idx="192">
                  <c:v>90.617000000000004</c:v>
                </c:pt>
                <c:pt idx="193">
                  <c:v>208.1251</c:v>
                </c:pt>
                <c:pt idx="194">
                  <c:v>85.026499999999999</c:v>
                </c:pt>
                <c:pt idx="195">
                  <c:v>136.46899999999999</c:v>
                </c:pt>
                <c:pt idx="196">
                  <c:v>60.451099999999997</c:v>
                </c:pt>
                <c:pt idx="197">
                  <c:v>114.18510000000001</c:v>
                </c:pt>
                <c:pt idx="198">
                  <c:v>94.309399999999997</c:v>
                </c:pt>
                <c:pt idx="199">
                  <c:v>142.32390000000001</c:v>
                </c:pt>
                <c:pt idx="200">
                  <c:v>116.4062</c:v>
                </c:pt>
                <c:pt idx="201">
                  <c:v>102.4014</c:v>
                </c:pt>
                <c:pt idx="202">
                  <c:v>132.46639999999999</c:v>
                </c:pt>
                <c:pt idx="203">
                  <c:v>56.974699999999999</c:v>
                </c:pt>
                <c:pt idx="204">
                  <c:v>86.096400000000003</c:v>
                </c:pt>
                <c:pt idx="205">
                  <c:v>60.633699999999997</c:v>
                </c:pt>
                <c:pt idx="206">
                  <c:v>74.124099999999999</c:v>
                </c:pt>
                <c:pt idx="207">
                  <c:v>129.55959999999999</c:v>
                </c:pt>
                <c:pt idx="208">
                  <c:v>130.46190000000001</c:v>
                </c:pt>
                <c:pt idx="209">
                  <c:v>114.6331</c:v>
                </c:pt>
                <c:pt idx="210">
                  <c:v>99.716099999999997</c:v>
                </c:pt>
                <c:pt idx="211">
                  <c:v>87.985799999999998</c:v>
                </c:pt>
                <c:pt idx="212">
                  <c:v>101.9162</c:v>
                </c:pt>
                <c:pt idx="213">
                  <c:v>114.1533</c:v>
                </c:pt>
                <c:pt idx="214">
                  <c:v>131.84180000000001</c:v>
                </c:pt>
                <c:pt idx="215">
                  <c:v>141.91669999999999</c:v>
                </c:pt>
                <c:pt idx="216">
                  <c:v>131.76130000000001</c:v>
                </c:pt>
                <c:pt idx="217">
                  <c:v>103.3896</c:v>
                </c:pt>
                <c:pt idx="218">
                  <c:v>77.261499999999998</c:v>
                </c:pt>
                <c:pt idx="219">
                  <c:v>66.391999999999996</c:v>
                </c:pt>
                <c:pt idx="220">
                  <c:v>91.412700000000001</c:v>
                </c:pt>
                <c:pt idx="221">
                  <c:v>107.6609</c:v>
                </c:pt>
                <c:pt idx="222">
                  <c:v>77.252300000000005</c:v>
                </c:pt>
                <c:pt idx="223">
                  <c:v>149.19130000000001</c:v>
                </c:pt>
                <c:pt idx="224">
                  <c:v>162.578</c:v>
                </c:pt>
                <c:pt idx="225">
                  <c:v>66.200100000000006</c:v>
                </c:pt>
                <c:pt idx="226">
                  <c:v>111.2419</c:v>
                </c:pt>
                <c:pt idx="227">
                  <c:v>82.242099999999994</c:v>
                </c:pt>
                <c:pt idx="228">
                  <c:v>76.747500000000002</c:v>
                </c:pt>
                <c:pt idx="229">
                  <c:v>90.050899999999999</c:v>
                </c:pt>
                <c:pt idx="230">
                  <c:v>107.4588</c:v>
                </c:pt>
                <c:pt idx="231">
                  <c:v>113.0646</c:v>
                </c:pt>
                <c:pt idx="232">
                  <c:v>125.1439</c:v>
                </c:pt>
                <c:pt idx="233">
                  <c:v>83.866600000000005</c:v>
                </c:pt>
                <c:pt idx="234">
                  <c:v>91.8108</c:v>
                </c:pt>
                <c:pt idx="235">
                  <c:v>83.656000000000006</c:v>
                </c:pt>
                <c:pt idx="236">
                  <c:v>152.77440000000001</c:v>
                </c:pt>
                <c:pt idx="237">
                  <c:v>97.245099999999994</c:v>
                </c:pt>
                <c:pt idx="238">
                  <c:v>83.112399999999994</c:v>
                </c:pt>
                <c:pt idx="239">
                  <c:v>86.530600000000007</c:v>
                </c:pt>
                <c:pt idx="240">
                  <c:v>97.574399999999997</c:v>
                </c:pt>
                <c:pt idx="241">
                  <c:v>127.3416</c:v>
                </c:pt>
                <c:pt idx="242">
                  <c:v>116.393</c:v>
                </c:pt>
                <c:pt idx="243">
                  <c:v>246.02539999999999</c:v>
                </c:pt>
                <c:pt idx="244">
                  <c:v>161.20259999999999</c:v>
                </c:pt>
                <c:pt idx="245">
                  <c:v>125.3416</c:v>
                </c:pt>
                <c:pt idx="246">
                  <c:v>104.96429999999999</c:v>
                </c:pt>
                <c:pt idx="247">
                  <c:v>106.9524</c:v>
                </c:pt>
                <c:pt idx="248">
                  <c:v>71.837999999999994</c:v>
                </c:pt>
                <c:pt idx="249">
                  <c:v>86.149500000000003</c:v>
                </c:pt>
                <c:pt idx="250">
                  <c:v>117.1579</c:v>
                </c:pt>
                <c:pt idx="251">
                  <c:v>65.516300000000001</c:v>
                </c:pt>
                <c:pt idx="252">
                  <c:v>85.675700000000006</c:v>
                </c:pt>
                <c:pt idx="253">
                  <c:v>101.0946</c:v>
                </c:pt>
                <c:pt idx="254">
                  <c:v>55.536099999999998</c:v>
                </c:pt>
                <c:pt idx="255">
                  <c:v>146.43860000000001</c:v>
                </c:pt>
                <c:pt idx="256">
                  <c:v>62.057200000000002</c:v>
                </c:pt>
                <c:pt idx="257">
                  <c:v>96.251400000000004</c:v>
                </c:pt>
                <c:pt idx="258">
                  <c:v>95.2119</c:v>
                </c:pt>
                <c:pt idx="259">
                  <c:v>152.13980000000001</c:v>
                </c:pt>
                <c:pt idx="260">
                  <c:v>53.337699999999998</c:v>
                </c:pt>
                <c:pt idx="261">
                  <c:v>109.6246</c:v>
                </c:pt>
                <c:pt idx="262">
                  <c:v>60.131399999999999</c:v>
                </c:pt>
                <c:pt idx="263">
                  <c:v>56.418599999999998</c:v>
                </c:pt>
                <c:pt idx="264">
                  <c:v>158.59780000000001</c:v>
                </c:pt>
                <c:pt idx="265">
                  <c:v>89.887299999999996</c:v>
                </c:pt>
                <c:pt idx="266">
                  <c:v>135.78700000000001</c:v>
                </c:pt>
                <c:pt idx="267">
                  <c:v>63.603999999999999</c:v>
                </c:pt>
                <c:pt idx="268">
                  <c:v>88.569000000000003</c:v>
                </c:pt>
                <c:pt idx="269">
                  <c:v>56.111899999999999</c:v>
                </c:pt>
                <c:pt idx="270">
                  <c:v>145.67429999999999</c:v>
                </c:pt>
                <c:pt idx="271">
                  <c:v>155.22389999999999</c:v>
                </c:pt>
                <c:pt idx="272">
                  <c:v>116.0534</c:v>
                </c:pt>
                <c:pt idx="273">
                  <c:v>109.4195</c:v>
                </c:pt>
                <c:pt idx="274">
                  <c:v>143.1934</c:v>
                </c:pt>
                <c:pt idx="275">
                  <c:v>101.65170000000001</c:v>
                </c:pt>
                <c:pt idx="276">
                  <c:v>112.48739999999999</c:v>
                </c:pt>
                <c:pt idx="277">
                  <c:v>110.29810000000001</c:v>
                </c:pt>
                <c:pt idx="278">
                  <c:v>163.68340000000001</c:v>
                </c:pt>
                <c:pt idx="279">
                  <c:v>148.17779999999999</c:v>
                </c:pt>
                <c:pt idx="280">
                  <c:v>157.58799999999999</c:v>
                </c:pt>
                <c:pt idx="281">
                  <c:v>112.60550000000001</c:v>
                </c:pt>
                <c:pt idx="282">
                  <c:v>102.5133</c:v>
                </c:pt>
                <c:pt idx="283">
                  <c:v>101.36150000000001</c:v>
                </c:pt>
                <c:pt idx="284">
                  <c:v>135.01259999999999</c:v>
                </c:pt>
                <c:pt idx="285">
                  <c:v>95.639300000000006</c:v>
                </c:pt>
                <c:pt idx="286">
                  <c:v>84.845100000000002</c:v>
                </c:pt>
                <c:pt idx="287">
                  <c:v>138.0086</c:v>
                </c:pt>
                <c:pt idx="288">
                  <c:v>84.911799999999999</c:v>
                </c:pt>
                <c:pt idx="289">
                  <c:v>116.5106</c:v>
                </c:pt>
                <c:pt idx="290">
                  <c:v>83.042400000000001</c:v>
                </c:pt>
                <c:pt idx="291">
                  <c:v>111.4118</c:v>
                </c:pt>
                <c:pt idx="292">
                  <c:v>104.407</c:v>
                </c:pt>
                <c:pt idx="293">
                  <c:v>94.292900000000003</c:v>
                </c:pt>
                <c:pt idx="294">
                  <c:v>139.8425</c:v>
                </c:pt>
                <c:pt idx="295">
                  <c:v>119.97110000000001</c:v>
                </c:pt>
                <c:pt idx="296">
                  <c:v>87.153099999999995</c:v>
                </c:pt>
                <c:pt idx="297">
                  <c:v>82.180199999999999</c:v>
                </c:pt>
                <c:pt idx="298">
                  <c:v>117.0839</c:v>
                </c:pt>
                <c:pt idx="299">
                  <c:v>135.30520000000001</c:v>
                </c:pt>
                <c:pt idx="300">
                  <c:v>123.1418</c:v>
                </c:pt>
                <c:pt idx="301">
                  <c:v>86.045500000000004</c:v>
                </c:pt>
                <c:pt idx="302">
                  <c:v>122.1885</c:v>
                </c:pt>
                <c:pt idx="303">
                  <c:v>122.509</c:v>
                </c:pt>
                <c:pt idx="304">
                  <c:v>114.3015</c:v>
                </c:pt>
                <c:pt idx="305">
                  <c:v>143.53460000000001</c:v>
                </c:pt>
                <c:pt idx="306">
                  <c:v>93.361699999999999</c:v>
                </c:pt>
                <c:pt idx="307">
                  <c:v>91.475800000000007</c:v>
                </c:pt>
                <c:pt idx="308">
                  <c:v>153.76759999999999</c:v>
                </c:pt>
                <c:pt idx="309">
                  <c:v>104.3737</c:v>
                </c:pt>
                <c:pt idx="310">
                  <c:v>128.2251</c:v>
                </c:pt>
                <c:pt idx="311">
                  <c:v>98.814099999999996</c:v>
                </c:pt>
                <c:pt idx="312">
                  <c:v>80.437100000000001</c:v>
                </c:pt>
                <c:pt idx="313">
                  <c:v>64.912199999999999</c:v>
                </c:pt>
                <c:pt idx="314">
                  <c:v>74.786900000000003</c:v>
                </c:pt>
                <c:pt idx="315">
                  <c:v>110.11790000000001</c:v>
                </c:pt>
                <c:pt idx="316">
                  <c:v>153.2457</c:v>
                </c:pt>
                <c:pt idx="317">
                  <c:v>142.87379999999999</c:v>
                </c:pt>
                <c:pt idx="318">
                  <c:v>74.887799999999999</c:v>
                </c:pt>
                <c:pt idx="319">
                  <c:v>114.8681</c:v>
                </c:pt>
                <c:pt idx="320">
                  <c:v>133.28389999999999</c:v>
                </c:pt>
                <c:pt idx="321">
                  <c:v>79.561999999999998</c:v>
                </c:pt>
                <c:pt idx="322">
                  <c:v>109.12309999999999</c:v>
                </c:pt>
                <c:pt idx="323">
                  <c:v>105.7889</c:v>
                </c:pt>
                <c:pt idx="324">
                  <c:v>78.856999999999999</c:v>
                </c:pt>
                <c:pt idx="325">
                  <c:v>56.231900000000003</c:v>
                </c:pt>
                <c:pt idx="326">
                  <c:v>91.677000000000007</c:v>
                </c:pt>
                <c:pt idx="327">
                  <c:v>131.94470000000001</c:v>
                </c:pt>
                <c:pt idx="328">
                  <c:v>130.89930000000001</c:v>
                </c:pt>
                <c:pt idx="329">
                  <c:v>87.643799999999999</c:v>
                </c:pt>
                <c:pt idx="330">
                  <c:v>112.6405</c:v>
                </c:pt>
                <c:pt idx="331">
                  <c:v>90.582300000000004</c:v>
                </c:pt>
                <c:pt idx="332">
                  <c:v>205.8888</c:v>
                </c:pt>
                <c:pt idx="333">
                  <c:v>112.3738</c:v>
                </c:pt>
                <c:pt idx="334">
                  <c:v>69.706000000000003</c:v>
                </c:pt>
                <c:pt idx="335">
                  <c:v>109.84690000000001</c:v>
                </c:pt>
                <c:pt idx="336">
                  <c:v>94.085700000000003</c:v>
                </c:pt>
                <c:pt idx="337">
                  <c:v>121.2799</c:v>
                </c:pt>
                <c:pt idx="338">
                  <c:v>112.3951</c:v>
                </c:pt>
                <c:pt idx="339">
                  <c:v>134.91839999999999</c:v>
                </c:pt>
                <c:pt idx="340">
                  <c:v>106.9224</c:v>
                </c:pt>
                <c:pt idx="341">
                  <c:v>99.383899999999997</c:v>
                </c:pt>
                <c:pt idx="342">
                  <c:v>85.545000000000002</c:v>
                </c:pt>
                <c:pt idx="343">
                  <c:v>55.021999999999998</c:v>
                </c:pt>
                <c:pt idx="344">
                  <c:v>161.97489999999999</c:v>
                </c:pt>
                <c:pt idx="345">
                  <c:v>104.3693</c:v>
                </c:pt>
                <c:pt idx="346">
                  <c:v>135.1814</c:v>
                </c:pt>
                <c:pt idx="347">
                  <c:v>94.778199999999998</c:v>
                </c:pt>
                <c:pt idx="348">
                  <c:v>83.244399999999999</c:v>
                </c:pt>
                <c:pt idx="349">
                  <c:v>133.05609999999999</c:v>
                </c:pt>
                <c:pt idx="350">
                  <c:v>87.396199999999993</c:v>
                </c:pt>
                <c:pt idx="351">
                  <c:v>69.222399999999993</c:v>
                </c:pt>
                <c:pt idx="352">
                  <c:v>135.458</c:v>
                </c:pt>
                <c:pt idx="353">
                  <c:v>112.7269</c:v>
                </c:pt>
                <c:pt idx="354">
                  <c:v>61.308900000000001</c:v>
                </c:pt>
                <c:pt idx="355">
                  <c:v>105.42919999999999</c:v>
                </c:pt>
                <c:pt idx="356">
                  <c:v>107.9504</c:v>
                </c:pt>
                <c:pt idx="357">
                  <c:v>59.501199999999997</c:v>
                </c:pt>
                <c:pt idx="358">
                  <c:v>78.925899999999999</c:v>
                </c:pt>
                <c:pt idx="359">
                  <c:v>117.1045</c:v>
                </c:pt>
                <c:pt idx="360">
                  <c:v>107.6294</c:v>
                </c:pt>
                <c:pt idx="361">
                  <c:v>70.752600000000001</c:v>
                </c:pt>
                <c:pt idx="362">
                  <c:v>125.8309</c:v>
                </c:pt>
                <c:pt idx="363">
                  <c:v>79.943600000000004</c:v>
                </c:pt>
                <c:pt idx="364">
                  <c:v>90.574100000000001</c:v>
                </c:pt>
                <c:pt idx="365">
                  <c:v>75.938100000000006</c:v>
                </c:pt>
                <c:pt idx="366">
                  <c:v>145.6645</c:v>
                </c:pt>
                <c:pt idx="367">
                  <c:v>112.5209</c:v>
                </c:pt>
                <c:pt idx="368">
                  <c:v>99.545900000000003</c:v>
                </c:pt>
                <c:pt idx="369">
                  <c:v>104.7259</c:v>
                </c:pt>
                <c:pt idx="370">
                  <c:v>109.3385</c:v>
                </c:pt>
                <c:pt idx="371">
                  <c:v>77.424400000000006</c:v>
                </c:pt>
                <c:pt idx="372">
                  <c:v>70.084800000000001</c:v>
                </c:pt>
                <c:pt idx="373">
                  <c:v>75.139799999999994</c:v>
                </c:pt>
                <c:pt idx="374">
                  <c:v>114.6998</c:v>
                </c:pt>
                <c:pt idx="375">
                  <c:v>144.33529999999999</c:v>
                </c:pt>
                <c:pt idx="376">
                  <c:v>85.232399999999998</c:v>
                </c:pt>
                <c:pt idx="377">
                  <c:v>95.464299999999994</c:v>
                </c:pt>
                <c:pt idx="378">
                  <c:v>41.354100000000003</c:v>
                </c:pt>
                <c:pt idx="379">
                  <c:v>178.2011</c:v>
                </c:pt>
                <c:pt idx="380">
                  <c:v>101.3026</c:v>
                </c:pt>
                <c:pt idx="381">
                  <c:v>75.654600000000002</c:v>
                </c:pt>
                <c:pt idx="382">
                  <c:v>92.119399999999999</c:v>
                </c:pt>
                <c:pt idx="383">
                  <c:v>61.16</c:v>
                </c:pt>
                <c:pt idx="384">
                  <c:v>95.111099999999993</c:v>
                </c:pt>
                <c:pt idx="385">
                  <c:v>68.944100000000006</c:v>
                </c:pt>
                <c:pt idx="386">
                  <c:v>127.1357</c:v>
                </c:pt>
                <c:pt idx="387">
                  <c:v>131.55170000000001</c:v>
                </c:pt>
                <c:pt idx="388">
                  <c:v>75.577799999999996</c:v>
                </c:pt>
                <c:pt idx="389">
                  <c:v>102.8185</c:v>
                </c:pt>
                <c:pt idx="390">
                  <c:v>99.811300000000003</c:v>
                </c:pt>
                <c:pt idx="391">
                  <c:v>115.879</c:v>
                </c:pt>
                <c:pt idx="392">
                  <c:v>90.827600000000004</c:v>
                </c:pt>
                <c:pt idx="393">
                  <c:v>58.878999999999998</c:v>
                </c:pt>
                <c:pt idx="394">
                  <c:v>149.7587</c:v>
                </c:pt>
                <c:pt idx="395">
                  <c:v>109.9436</c:v>
                </c:pt>
                <c:pt idx="396">
                  <c:v>135.88999999999999</c:v>
                </c:pt>
                <c:pt idx="397">
                  <c:v>116.441</c:v>
                </c:pt>
                <c:pt idx="398">
                  <c:v>115.86969999999999</c:v>
                </c:pt>
                <c:pt idx="399">
                  <c:v>214.19759999999999</c:v>
                </c:pt>
                <c:pt idx="400">
                  <c:v>130.18049999999999</c:v>
                </c:pt>
                <c:pt idx="401">
                  <c:v>105.65770000000001</c:v>
                </c:pt>
                <c:pt idx="402">
                  <c:v>113.5343</c:v>
                </c:pt>
                <c:pt idx="403">
                  <c:v>102.5549</c:v>
                </c:pt>
                <c:pt idx="404">
                  <c:v>96.732399999999998</c:v>
                </c:pt>
                <c:pt idx="405">
                  <c:v>136.35769999999999</c:v>
                </c:pt>
                <c:pt idx="406">
                  <c:v>75.998500000000007</c:v>
                </c:pt>
                <c:pt idx="407">
                  <c:v>134.8663</c:v>
                </c:pt>
                <c:pt idx="408">
                  <c:v>91.533900000000003</c:v>
                </c:pt>
                <c:pt idx="409">
                  <c:v>87.945099999999996</c:v>
                </c:pt>
                <c:pt idx="410">
                  <c:v>114.7466</c:v>
                </c:pt>
                <c:pt idx="411">
                  <c:v>110.3578</c:v>
                </c:pt>
                <c:pt idx="412">
                  <c:v>131.04839999999999</c:v>
                </c:pt>
                <c:pt idx="413">
                  <c:v>82.727699999999999</c:v>
                </c:pt>
                <c:pt idx="414">
                  <c:v>117.1344</c:v>
                </c:pt>
                <c:pt idx="415">
                  <c:v>99.602800000000002</c:v>
                </c:pt>
                <c:pt idx="416">
                  <c:v>75.514200000000002</c:v>
                </c:pt>
                <c:pt idx="417">
                  <c:v>101.1529</c:v>
                </c:pt>
                <c:pt idx="418">
                  <c:v>93.6798</c:v>
                </c:pt>
                <c:pt idx="419">
                  <c:v>129.4023</c:v>
                </c:pt>
                <c:pt idx="420">
                  <c:v>148.20840000000001</c:v>
                </c:pt>
                <c:pt idx="421">
                  <c:v>89.995800000000003</c:v>
                </c:pt>
                <c:pt idx="422">
                  <c:v>87.162599999999998</c:v>
                </c:pt>
                <c:pt idx="423">
                  <c:v>99.954599999999999</c:v>
                </c:pt>
                <c:pt idx="424">
                  <c:v>78.615600000000001</c:v>
                </c:pt>
                <c:pt idx="425">
                  <c:v>92.656099999999995</c:v>
                </c:pt>
                <c:pt idx="426">
                  <c:v>73.304599999999994</c:v>
                </c:pt>
                <c:pt idx="427">
                  <c:v>116.8287</c:v>
                </c:pt>
                <c:pt idx="428">
                  <c:v>86.055000000000007</c:v>
                </c:pt>
                <c:pt idx="429">
                  <c:v>117.8583</c:v>
                </c:pt>
                <c:pt idx="430">
                  <c:v>116.04300000000001</c:v>
                </c:pt>
                <c:pt idx="431">
                  <c:v>92.786699999999996</c:v>
                </c:pt>
                <c:pt idx="432">
                  <c:v>66.250200000000007</c:v>
                </c:pt>
                <c:pt idx="433">
                  <c:v>92.874600000000001</c:v>
                </c:pt>
                <c:pt idx="434">
                  <c:v>89.653700000000001</c:v>
                </c:pt>
                <c:pt idx="435">
                  <c:v>92.014300000000006</c:v>
                </c:pt>
                <c:pt idx="436">
                  <c:v>161.63249999999999</c:v>
                </c:pt>
                <c:pt idx="437">
                  <c:v>129.9281</c:v>
                </c:pt>
                <c:pt idx="438">
                  <c:v>82.097999999999999</c:v>
                </c:pt>
                <c:pt idx="439">
                  <c:v>47.0411</c:v>
                </c:pt>
                <c:pt idx="440">
                  <c:v>96.836500000000001</c:v>
                </c:pt>
                <c:pt idx="441">
                  <c:v>159.76750000000001</c:v>
                </c:pt>
                <c:pt idx="442">
                  <c:v>140.96350000000001</c:v>
                </c:pt>
                <c:pt idx="443">
                  <c:v>130.3323</c:v>
                </c:pt>
                <c:pt idx="444">
                  <c:v>83.508099999999999</c:v>
                </c:pt>
                <c:pt idx="445">
                  <c:v>116.6906</c:v>
                </c:pt>
                <c:pt idx="446">
                  <c:v>152.11859999999999</c:v>
                </c:pt>
                <c:pt idx="447">
                  <c:v>126.2373</c:v>
                </c:pt>
                <c:pt idx="448">
                  <c:v>174.364</c:v>
                </c:pt>
                <c:pt idx="449">
                  <c:v>107.6619</c:v>
                </c:pt>
                <c:pt idx="450">
                  <c:v>71.471299999999999</c:v>
                </c:pt>
                <c:pt idx="451">
                  <c:v>94.062399999999997</c:v>
                </c:pt>
                <c:pt idx="452">
                  <c:v>87.241100000000003</c:v>
                </c:pt>
                <c:pt idx="453">
                  <c:v>109.6052</c:v>
                </c:pt>
                <c:pt idx="454">
                  <c:v>62.767499999999998</c:v>
                </c:pt>
                <c:pt idx="455">
                  <c:v>105.3507</c:v>
                </c:pt>
                <c:pt idx="456">
                  <c:v>67.0334</c:v>
                </c:pt>
                <c:pt idx="457">
                  <c:v>91.011600000000001</c:v>
                </c:pt>
                <c:pt idx="458">
                  <c:v>165.1576</c:v>
                </c:pt>
                <c:pt idx="459">
                  <c:v>128.99780000000001</c:v>
                </c:pt>
                <c:pt idx="460">
                  <c:v>54.862499999999997</c:v>
                </c:pt>
                <c:pt idx="461">
                  <c:v>101.7111</c:v>
                </c:pt>
                <c:pt idx="462">
                  <c:v>111.1281</c:v>
                </c:pt>
                <c:pt idx="463">
                  <c:v>112.4585</c:v>
                </c:pt>
                <c:pt idx="464">
                  <c:v>66.281099999999995</c:v>
                </c:pt>
                <c:pt idx="465">
                  <c:v>94.476799999999997</c:v>
                </c:pt>
                <c:pt idx="466">
                  <c:v>83.047799999999995</c:v>
                </c:pt>
                <c:pt idx="467">
                  <c:v>63.618400000000001</c:v>
                </c:pt>
                <c:pt idx="468">
                  <c:v>61.383800000000001</c:v>
                </c:pt>
                <c:pt idx="469">
                  <c:v>106.0067</c:v>
                </c:pt>
                <c:pt idx="470">
                  <c:v>79.531800000000004</c:v>
                </c:pt>
                <c:pt idx="471">
                  <c:v>91.229600000000005</c:v>
                </c:pt>
                <c:pt idx="472">
                  <c:v>145.64670000000001</c:v>
                </c:pt>
                <c:pt idx="473">
                  <c:v>96.180700000000002</c:v>
                </c:pt>
                <c:pt idx="474">
                  <c:v>114.14530000000001</c:v>
                </c:pt>
                <c:pt idx="475">
                  <c:v>59.070300000000003</c:v>
                </c:pt>
                <c:pt idx="476">
                  <c:v>121.16549999999999</c:v>
                </c:pt>
                <c:pt idx="477">
                  <c:v>111.54600000000001</c:v>
                </c:pt>
                <c:pt idx="478">
                  <c:v>61.0747</c:v>
                </c:pt>
                <c:pt idx="479">
                  <c:v>45.893999999999998</c:v>
                </c:pt>
                <c:pt idx="480">
                  <c:v>80.771900000000002</c:v>
                </c:pt>
                <c:pt idx="481">
                  <c:v>154.28210000000001</c:v>
                </c:pt>
                <c:pt idx="482">
                  <c:v>93.133700000000005</c:v>
                </c:pt>
                <c:pt idx="483">
                  <c:v>143.12809999999999</c:v>
                </c:pt>
                <c:pt idx="484">
                  <c:v>112.14570000000001</c:v>
                </c:pt>
                <c:pt idx="485">
                  <c:v>141.44479999999999</c:v>
                </c:pt>
                <c:pt idx="486">
                  <c:v>95.473399999999998</c:v>
                </c:pt>
                <c:pt idx="487">
                  <c:v>145.18430000000001</c:v>
                </c:pt>
                <c:pt idx="488">
                  <c:v>161.17060000000001</c:v>
                </c:pt>
                <c:pt idx="489">
                  <c:v>143.4538</c:v>
                </c:pt>
                <c:pt idx="490">
                  <c:v>102.8185</c:v>
                </c:pt>
                <c:pt idx="491">
                  <c:v>123.1238</c:v>
                </c:pt>
                <c:pt idx="492">
                  <c:v>201.03149999999999</c:v>
                </c:pt>
                <c:pt idx="493">
                  <c:v>66.030199999999994</c:v>
                </c:pt>
                <c:pt idx="494">
                  <c:v>113.6635</c:v>
                </c:pt>
                <c:pt idx="495">
                  <c:v>108.1057</c:v>
                </c:pt>
                <c:pt idx="496">
                  <c:v>114.8205</c:v>
                </c:pt>
                <c:pt idx="497">
                  <c:v>117.648</c:v>
                </c:pt>
                <c:pt idx="498">
                  <c:v>119.8623</c:v>
                </c:pt>
                <c:pt idx="499">
                  <c:v>109.74379999999999</c:v>
                </c:pt>
                <c:pt idx="500">
                  <c:v>105.6507</c:v>
                </c:pt>
                <c:pt idx="501">
                  <c:v>114.2886</c:v>
                </c:pt>
                <c:pt idx="502">
                  <c:v>159.32050000000001</c:v>
                </c:pt>
                <c:pt idx="503">
                  <c:v>96.095500000000001</c:v>
                </c:pt>
                <c:pt idx="504">
                  <c:v>164.87870000000001</c:v>
                </c:pt>
                <c:pt idx="505">
                  <c:v>61.762099999999997</c:v>
                </c:pt>
                <c:pt idx="506">
                  <c:v>118.2516</c:v>
                </c:pt>
                <c:pt idx="507">
                  <c:v>88.468999999999994</c:v>
                </c:pt>
                <c:pt idx="508">
                  <c:v>114.3907</c:v>
                </c:pt>
                <c:pt idx="509">
                  <c:v>91.828299999999999</c:v>
                </c:pt>
                <c:pt idx="510">
                  <c:v>102.3527</c:v>
                </c:pt>
                <c:pt idx="511">
                  <c:v>47.548200000000001</c:v>
                </c:pt>
                <c:pt idx="512">
                  <c:v>108.72239999999999</c:v>
                </c:pt>
                <c:pt idx="513">
                  <c:v>203.68100000000001</c:v>
                </c:pt>
                <c:pt idx="514">
                  <c:v>71.655000000000001</c:v>
                </c:pt>
                <c:pt idx="515">
                  <c:v>79.343500000000006</c:v>
                </c:pt>
                <c:pt idx="516">
                  <c:v>95.578800000000001</c:v>
                </c:pt>
                <c:pt idx="517">
                  <c:v>122.29430000000001</c:v>
                </c:pt>
                <c:pt idx="518">
                  <c:v>87.575900000000004</c:v>
                </c:pt>
                <c:pt idx="519">
                  <c:v>80.8553</c:v>
                </c:pt>
                <c:pt idx="520">
                  <c:v>108.75109999999999</c:v>
                </c:pt>
                <c:pt idx="521">
                  <c:v>191.6207</c:v>
                </c:pt>
                <c:pt idx="522">
                  <c:v>138.53149999999999</c:v>
                </c:pt>
                <c:pt idx="523">
                  <c:v>111.1794</c:v>
                </c:pt>
                <c:pt idx="524">
                  <c:v>112.3248</c:v>
                </c:pt>
                <c:pt idx="525">
                  <c:v>74.131</c:v>
                </c:pt>
                <c:pt idx="526">
                  <c:v>112.0318</c:v>
                </c:pt>
                <c:pt idx="527">
                  <c:v>58.604599999999998</c:v>
                </c:pt>
                <c:pt idx="528">
                  <c:v>84.499099999999999</c:v>
                </c:pt>
                <c:pt idx="529">
                  <c:v>93.023700000000005</c:v>
                </c:pt>
                <c:pt idx="530">
                  <c:v>92.227099999999993</c:v>
                </c:pt>
                <c:pt idx="531">
                  <c:v>116.3535</c:v>
                </c:pt>
                <c:pt idx="532">
                  <c:v>154.52869999999999</c:v>
                </c:pt>
                <c:pt idx="533">
                  <c:v>163.21190000000001</c:v>
                </c:pt>
                <c:pt idx="534">
                  <c:v>87.363399999999999</c:v>
                </c:pt>
                <c:pt idx="535">
                  <c:v>79.082899999999995</c:v>
                </c:pt>
                <c:pt idx="536">
                  <c:v>85.652600000000007</c:v>
                </c:pt>
                <c:pt idx="537">
                  <c:v>93.184899999999999</c:v>
                </c:pt>
                <c:pt idx="538">
                  <c:v>121.5493</c:v>
                </c:pt>
                <c:pt idx="539">
                  <c:v>132.5821</c:v>
                </c:pt>
                <c:pt idx="540">
                  <c:v>145.1335</c:v>
                </c:pt>
                <c:pt idx="541">
                  <c:v>99.010900000000007</c:v>
                </c:pt>
                <c:pt idx="542">
                  <c:v>111.23990000000001</c:v>
                </c:pt>
                <c:pt idx="543">
                  <c:v>101.7471</c:v>
                </c:pt>
                <c:pt idx="544">
                  <c:v>101.2807</c:v>
                </c:pt>
                <c:pt idx="545">
                  <c:v>102.6601</c:v>
                </c:pt>
                <c:pt idx="546">
                  <c:v>86.825199999999995</c:v>
                </c:pt>
                <c:pt idx="547">
                  <c:v>59.6175</c:v>
                </c:pt>
                <c:pt idx="548">
                  <c:v>114.9726</c:v>
                </c:pt>
                <c:pt idx="549">
                  <c:v>99.990899999999996</c:v>
                </c:pt>
                <c:pt idx="550">
                  <c:v>105.30500000000001</c:v>
                </c:pt>
                <c:pt idx="551">
                  <c:v>129.21369999999999</c:v>
                </c:pt>
                <c:pt idx="552">
                  <c:v>128.37860000000001</c:v>
                </c:pt>
                <c:pt idx="553">
                  <c:v>126.22239999999999</c:v>
                </c:pt>
                <c:pt idx="554">
                  <c:v>90.189700000000002</c:v>
                </c:pt>
                <c:pt idx="555">
                  <c:v>62.419400000000003</c:v>
                </c:pt>
                <c:pt idx="556">
                  <c:v>136.6216</c:v>
                </c:pt>
                <c:pt idx="557">
                  <c:v>81.126199999999997</c:v>
                </c:pt>
                <c:pt idx="558">
                  <c:v>110.54949999999999</c:v>
                </c:pt>
                <c:pt idx="559">
                  <c:v>58.826300000000003</c:v>
                </c:pt>
                <c:pt idx="560">
                  <c:v>81.6374</c:v>
                </c:pt>
                <c:pt idx="561">
                  <c:v>108.17570000000001</c:v>
                </c:pt>
                <c:pt idx="562">
                  <c:v>139.1087</c:v>
                </c:pt>
                <c:pt idx="563">
                  <c:v>95.339200000000005</c:v>
                </c:pt>
                <c:pt idx="564">
                  <c:v>101.20050000000001</c:v>
                </c:pt>
                <c:pt idx="565">
                  <c:v>161.2972</c:v>
                </c:pt>
                <c:pt idx="566">
                  <c:v>64.066199999999995</c:v>
                </c:pt>
                <c:pt idx="567">
                  <c:v>113.8597</c:v>
                </c:pt>
                <c:pt idx="568">
                  <c:v>85.750799999999998</c:v>
                </c:pt>
                <c:pt idx="569">
                  <c:v>112.2033</c:v>
                </c:pt>
                <c:pt idx="570">
                  <c:v>135.15639999999999</c:v>
                </c:pt>
                <c:pt idx="571">
                  <c:v>169.0017</c:v>
                </c:pt>
                <c:pt idx="572">
                  <c:v>104.3094</c:v>
                </c:pt>
                <c:pt idx="573">
                  <c:v>170.5478</c:v>
                </c:pt>
                <c:pt idx="574">
                  <c:v>82.668999999999997</c:v>
                </c:pt>
                <c:pt idx="575">
                  <c:v>79.039699999999996</c:v>
                </c:pt>
                <c:pt idx="576">
                  <c:v>116.92319999999999</c:v>
                </c:pt>
                <c:pt idx="577">
                  <c:v>87.720399999999998</c:v>
                </c:pt>
                <c:pt idx="578">
                  <c:v>73.321600000000004</c:v>
                </c:pt>
                <c:pt idx="579">
                  <c:v>92.524000000000001</c:v>
                </c:pt>
                <c:pt idx="580">
                  <c:v>97.430700000000002</c:v>
                </c:pt>
                <c:pt idx="581">
                  <c:v>81.933999999999997</c:v>
                </c:pt>
                <c:pt idx="582">
                  <c:v>91.611900000000006</c:v>
                </c:pt>
                <c:pt idx="583">
                  <c:v>98.803600000000003</c:v>
                </c:pt>
                <c:pt idx="584">
                  <c:v>110.5228</c:v>
                </c:pt>
                <c:pt idx="585">
                  <c:v>118.62390000000001</c:v>
                </c:pt>
                <c:pt idx="586">
                  <c:v>98.317499999999995</c:v>
                </c:pt>
                <c:pt idx="587">
                  <c:v>127.53449999999999</c:v>
                </c:pt>
                <c:pt idx="588">
                  <c:v>85.045400000000001</c:v>
                </c:pt>
                <c:pt idx="589">
                  <c:v>78.228800000000007</c:v>
                </c:pt>
                <c:pt idx="590">
                  <c:v>75.584299999999999</c:v>
                </c:pt>
                <c:pt idx="591">
                  <c:v>103.2791</c:v>
                </c:pt>
                <c:pt idx="592">
                  <c:v>87.120199999999997</c:v>
                </c:pt>
                <c:pt idx="593">
                  <c:v>120.364</c:v>
                </c:pt>
                <c:pt idx="594">
                  <c:v>119.0444</c:v>
                </c:pt>
                <c:pt idx="595">
                  <c:v>110.4853</c:v>
                </c:pt>
                <c:pt idx="596">
                  <c:v>79.362799999999993</c:v>
                </c:pt>
                <c:pt idx="597">
                  <c:v>120.07510000000001</c:v>
                </c:pt>
                <c:pt idx="598">
                  <c:v>79.142300000000006</c:v>
                </c:pt>
                <c:pt idx="599">
                  <c:v>117.0762</c:v>
                </c:pt>
                <c:pt idx="600">
                  <c:v>122.4935</c:v>
                </c:pt>
                <c:pt idx="601">
                  <c:v>142.91030000000001</c:v>
                </c:pt>
                <c:pt idx="602">
                  <c:v>102.0822</c:v>
                </c:pt>
                <c:pt idx="603">
                  <c:v>128.1259</c:v>
                </c:pt>
                <c:pt idx="604">
                  <c:v>125.52330000000001</c:v>
                </c:pt>
                <c:pt idx="605">
                  <c:v>114.29900000000001</c:v>
                </c:pt>
                <c:pt idx="606">
                  <c:v>80.891000000000005</c:v>
                </c:pt>
                <c:pt idx="607">
                  <c:v>71.869500000000002</c:v>
                </c:pt>
                <c:pt idx="608">
                  <c:v>99.582499999999996</c:v>
                </c:pt>
                <c:pt idx="609">
                  <c:v>100.0843</c:v>
                </c:pt>
                <c:pt idx="610">
                  <c:v>94.786000000000001</c:v>
                </c:pt>
                <c:pt idx="611">
                  <c:v>79.140100000000004</c:v>
                </c:pt>
                <c:pt idx="612">
                  <c:v>75.344399999999993</c:v>
                </c:pt>
                <c:pt idx="613">
                  <c:v>117.5245</c:v>
                </c:pt>
                <c:pt idx="614">
                  <c:v>84.951499999999996</c:v>
                </c:pt>
                <c:pt idx="615">
                  <c:v>88.371700000000004</c:v>
                </c:pt>
                <c:pt idx="616">
                  <c:v>50.033299999999997</c:v>
                </c:pt>
                <c:pt idx="617">
                  <c:v>180.58750000000001</c:v>
                </c:pt>
                <c:pt idx="618">
                  <c:v>97.345600000000005</c:v>
                </c:pt>
                <c:pt idx="619">
                  <c:v>135.04089999999999</c:v>
                </c:pt>
                <c:pt idx="620">
                  <c:v>115.6392</c:v>
                </c:pt>
                <c:pt idx="621">
                  <c:v>70.229200000000006</c:v>
                </c:pt>
                <c:pt idx="622">
                  <c:v>123.5125</c:v>
                </c:pt>
                <c:pt idx="623">
                  <c:v>125.2261</c:v>
                </c:pt>
                <c:pt idx="624">
                  <c:v>81.516800000000003</c:v>
                </c:pt>
                <c:pt idx="625">
                  <c:v>81.927000000000007</c:v>
                </c:pt>
                <c:pt idx="626">
                  <c:v>142.6686</c:v>
                </c:pt>
                <c:pt idx="627">
                  <c:v>144.10290000000001</c:v>
                </c:pt>
                <c:pt idx="628">
                  <c:v>103.8651</c:v>
                </c:pt>
                <c:pt idx="629">
                  <c:v>82.376099999999994</c:v>
                </c:pt>
                <c:pt idx="630">
                  <c:v>95.211500000000001</c:v>
                </c:pt>
                <c:pt idx="631">
                  <c:v>103.7632</c:v>
                </c:pt>
                <c:pt idx="632">
                  <c:v>124.02070000000001</c:v>
                </c:pt>
                <c:pt idx="633">
                  <c:v>83.809899999999999</c:v>
                </c:pt>
                <c:pt idx="634">
                  <c:v>92.068299999999994</c:v>
                </c:pt>
                <c:pt idx="635">
                  <c:v>71.788200000000003</c:v>
                </c:pt>
                <c:pt idx="636">
                  <c:v>94.720799999999997</c:v>
                </c:pt>
                <c:pt idx="637">
                  <c:v>114.7403</c:v>
                </c:pt>
                <c:pt idx="638">
                  <c:v>96.378699999999995</c:v>
                </c:pt>
                <c:pt idx="639">
                  <c:v>62.339100000000002</c:v>
                </c:pt>
                <c:pt idx="640">
                  <c:v>71.122399999999999</c:v>
                </c:pt>
                <c:pt idx="641">
                  <c:v>76.830699999999993</c:v>
                </c:pt>
                <c:pt idx="642">
                  <c:v>92.278199999999998</c:v>
                </c:pt>
                <c:pt idx="643">
                  <c:v>78.293899999999994</c:v>
                </c:pt>
                <c:pt idx="644">
                  <c:v>95.432900000000004</c:v>
                </c:pt>
                <c:pt idx="645">
                  <c:v>76.5809</c:v>
                </c:pt>
                <c:pt idx="646">
                  <c:v>93.646299999999997</c:v>
                </c:pt>
                <c:pt idx="647">
                  <c:v>140.18170000000001</c:v>
                </c:pt>
                <c:pt idx="648">
                  <c:v>122.0303</c:v>
                </c:pt>
                <c:pt idx="649">
                  <c:v>78.364599999999996</c:v>
                </c:pt>
                <c:pt idx="650">
                  <c:v>80.3703</c:v>
                </c:pt>
                <c:pt idx="651">
                  <c:v>50.823700000000002</c:v>
                </c:pt>
                <c:pt idx="652">
                  <c:v>119.71510000000001</c:v>
                </c:pt>
                <c:pt idx="653">
                  <c:v>61.861199999999997</c:v>
                </c:pt>
                <c:pt idx="654">
                  <c:v>115.8369</c:v>
                </c:pt>
                <c:pt idx="655">
                  <c:v>70.441599999999994</c:v>
                </c:pt>
                <c:pt idx="656">
                  <c:v>98.834800000000001</c:v>
                </c:pt>
                <c:pt idx="657">
                  <c:v>101.2794</c:v>
                </c:pt>
                <c:pt idx="658">
                  <c:v>78.740600000000001</c:v>
                </c:pt>
                <c:pt idx="659">
                  <c:v>58.726999999999997</c:v>
                </c:pt>
                <c:pt idx="660">
                  <c:v>104.7804</c:v>
                </c:pt>
                <c:pt idx="661">
                  <c:v>88.7821</c:v>
                </c:pt>
                <c:pt idx="662">
                  <c:v>92.102999999999994</c:v>
                </c:pt>
                <c:pt idx="663">
                  <c:v>79.633799999999994</c:v>
                </c:pt>
                <c:pt idx="664">
                  <c:v>100.4639</c:v>
                </c:pt>
                <c:pt idx="665">
                  <c:v>99.824100000000001</c:v>
                </c:pt>
                <c:pt idx="666">
                  <c:v>87.09</c:v>
                </c:pt>
                <c:pt idx="667">
                  <c:v>85.426599999999993</c:v>
                </c:pt>
                <c:pt idx="668">
                  <c:v>137.2217</c:v>
                </c:pt>
                <c:pt idx="669">
                  <c:v>79.508499999999998</c:v>
                </c:pt>
                <c:pt idx="670">
                  <c:v>108.5885</c:v>
                </c:pt>
                <c:pt idx="671">
                  <c:v>171.09829999999999</c:v>
                </c:pt>
                <c:pt idx="672">
                  <c:v>86.462900000000005</c:v>
                </c:pt>
                <c:pt idx="673">
                  <c:v>54.805700000000002</c:v>
                </c:pt>
                <c:pt idx="674">
                  <c:v>117.1671</c:v>
                </c:pt>
                <c:pt idx="675">
                  <c:v>102.5354</c:v>
                </c:pt>
                <c:pt idx="676">
                  <c:v>80.681600000000003</c:v>
                </c:pt>
                <c:pt idx="677">
                  <c:v>75.211799999999997</c:v>
                </c:pt>
                <c:pt idx="678">
                  <c:v>82.186199999999999</c:v>
                </c:pt>
                <c:pt idx="679">
                  <c:v>151.8098</c:v>
                </c:pt>
                <c:pt idx="680">
                  <c:v>86.729600000000005</c:v>
                </c:pt>
                <c:pt idx="681">
                  <c:v>73.231200000000001</c:v>
                </c:pt>
                <c:pt idx="682">
                  <c:v>117.29730000000001</c:v>
                </c:pt>
                <c:pt idx="683">
                  <c:v>126.517</c:v>
                </c:pt>
                <c:pt idx="684">
                  <c:v>102.3391</c:v>
                </c:pt>
                <c:pt idx="685">
                  <c:v>129.29650000000001</c:v>
                </c:pt>
                <c:pt idx="686">
                  <c:v>84.292199999999994</c:v>
                </c:pt>
                <c:pt idx="687">
                  <c:v>60.221400000000003</c:v>
                </c:pt>
                <c:pt idx="688">
                  <c:v>70.905199999999994</c:v>
                </c:pt>
                <c:pt idx="689">
                  <c:v>94.670900000000003</c:v>
                </c:pt>
                <c:pt idx="690">
                  <c:v>69.695899999999995</c:v>
                </c:pt>
                <c:pt idx="691">
                  <c:v>116.2946</c:v>
                </c:pt>
                <c:pt idx="692">
                  <c:v>40.703600000000002</c:v>
                </c:pt>
                <c:pt idx="693">
                  <c:v>88.372399999999999</c:v>
                </c:pt>
                <c:pt idx="694">
                  <c:v>126.872</c:v>
                </c:pt>
                <c:pt idx="695">
                  <c:v>131.88310000000001</c:v>
                </c:pt>
                <c:pt idx="696">
                  <c:v>82.685599999999994</c:v>
                </c:pt>
                <c:pt idx="697">
                  <c:v>69.486999999999995</c:v>
                </c:pt>
                <c:pt idx="698">
                  <c:v>99.355999999999995</c:v>
                </c:pt>
                <c:pt idx="699">
                  <c:v>153.01310000000001</c:v>
                </c:pt>
                <c:pt idx="700">
                  <c:v>162.49160000000001</c:v>
                </c:pt>
                <c:pt idx="701">
                  <c:v>82.570300000000003</c:v>
                </c:pt>
                <c:pt idx="702">
                  <c:v>138.42740000000001</c:v>
                </c:pt>
                <c:pt idx="703">
                  <c:v>49.6815</c:v>
                </c:pt>
                <c:pt idx="704">
                  <c:v>97.648300000000006</c:v>
                </c:pt>
                <c:pt idx="705">
                  <c:v>147.12860000000001</c:v>
                </c:pt>
                <c:pt idx="706">
                  <c:v>48.855499999999999</c:v>
                </c:pt>
                <c:pt idx="707">
                  <c:v>67.53</c:v>
                </c:pt>
                <c:pt idx="708">
                  <c:v>110.6052</c:v>
                </c:pt>
                <c:pt idx="709">
                  <c:v>76.892600000000002</c:v>
                </c:pt>
                <c:pt idx="710">
                  <c:v>67.061700000000002</c:v>
                </c:pt>
                <c:pt idx="711">
                  <c:v>97.974900000000005</c:v>
                </c:pt>
                <c:pt idx="712">
                  <c:v>103.00700000000001</c:v>
                </c:pt>
                <c:pt idx="713">
                  <c:v>78.638099999999994</c:v>
                </c:pt>
                <c:pt idx="714">
                  <c:v>72.4773</c:v>
                </c:pt>
                <c:pt idx="715">
                  <c:v>131.54220000000001</c:v>
                </c:pt>
                <c:pt idx="716">
                  <c:v>135.04419999999999</c:v>
                </c:pt>
                <c:pt idx="717">
                  <c:v>102.83750000000001</c:v>
                </c:pt>
                <c:pt idx="718">
                  <c:v>126.38500000000001</c:v>
                </c:pt>
                <c:pt idx="719">
                  <c:v>114.80589999999999</c:v>
                </c:pt>
                <c:pt idx="720">
                  <c:v>115.6557</c:v>
                </c:pt>
                <c:pt idx="721">
                  <c:v>99.101799999999997</c:v>
                </c:pt>
                <c:pt idx="722">
                  <c:v>78.111900000000006</c:v>
                </c:pt>
                <c:pt idx="723">
                  <c:v>103.0518</c:v>
                </c:pt>
                <c:pt idx="724">
                  <c:v>69.009500000000003</c:v>
                </c:pt>
                <c:pt idx="725">
                  <c:v>125.4383</c:v>
                </c:pt>
                <c:pt idx="726">
                  <c:v>76.033100000000005</c:v>
                </c:pt>
                <c:pt idx="727">
                  <c:v>81.620800000000003</c:v>
                </c:pt>
                <c:pt idx="728">
                  <c:v>86.391999999999996</c:v>
                </c:pt>
                <c:pt idx="729">
                  <c:v>89.379000000000005</c:v>
                </c:pt>
                <c:pt idx="730">
                  <c:v>148.59870000000001</c:v>
                </c:pt>
                <c:pt idx="731">
                  <c:v>85.309399999999997</c:v>
                </c:pt>
                <c:pt idx="732">
                  <c:v>111.408</c:v>
                </c:pt>
                <c:pt idx="733">
                  <c:v>105.5963</c:v>
                </c:pt>
                <c:pt idx="734">
                  <c:v>105.9302</c:v>
                </c:pt>
                <c:pt idx="735">
                  <c:v>87.191599999999994</c:v>
                </c:pt>
                <c:pt idx="736">
                  <c:v>50.645000000000003</c:v>
                </c:pt>
                <c:pt idx="737">
                  <c:v>101.5274</c:v>
                </c:pt>
                <c:pt idx="738">
                  <c:v>79.900800000000004</c:v>
                </c:pt>
                <c:pt idx="739">
                  <c:v>88.203199999999995</c:v>
                </c:pt>
                <c:pt idx="740">
                  <c:v>123.6198</c:v>
                </c:pt>
                <c:pt idx="741">
                  <c:v>104.85120000000001</c:v>
                </c:pt>
                <c:pt idx="742">
                  <c:v>83.486000000000004</c:v>
                </c:pt>
                <c:pt idx="743">
                  <c:v>89.765299999999996</c:v>
                </c:pt>
                <c:pt idx="744">
                  <c:v>88.708699999999993</c:v>
                </c:pt>
                <c:pt idx="745">
                  <c:v>56.750399999999999</c:v>
                </c:pt>
                <c:pt idx="746">
                  <c:v>50.398600000000002</c:v>
                </c:pt>
                <c:pt idx="747">
                  <c:v>78.791899999999998</c:v>
                </c:pt>
                <c:pt idx="748">
                  <c:v>75.265600000000006</c:v>
                </c:pt>
                <c:pt idx="749">
                  <c:v>105.11490000000001</c:v>
                </c:pt>
                <c:pt idx="750">
                  <c:v>103.93170000000001</c:v>
                </c:pt>
                <c:pt idx="751">
                  <c:v>105.20610000000001</c:v>
                </c:pt>
                <c:pt idx="752">
                  <c:v>125.8888</c:v>
                </c:pt>
                <c:pt idx="753">
                  <c:v>68.550399999999996</c:v>
                </c:pt>
                <c:pt idx="754">
                  <c:v>66.689800000000005</c:v>
                </c:pt>
                <c:pt idx="755">
                  <c:v>136.20099999999999</c:v>
                </c:pt>
                <c:pt idx="756">
                  <c:v>66.370599999999996</c:v>
                </c:pt>
                <c:pt idx="757">
                  <c:v>97.7517</c:v>
                </c:pt>
                <c:pt idx="758">
                  <c:v>117.0398</c:v>
                </c:pt>
                <c:pt idx="759">
                  <c:v>89.583600000000004</c:v>
                </c:pt>
                <c:pt idx="760">
                  <c:v>56.441000000000003</c:v>
                </c:pt>
                <c:pt idx="761">
                  <c:v>63.8367</c:v>
                </c:pt>
                <c:pt idx="762">
                  <c:v>86.978499999999997</c:v>
                </c:pt>
                <c:pt idx="763">
                  <c:v>64.449399999999997</c:v>
                </c:pt>
                <c:pt idx="764">
                  <c:v>202.5103</c:v>
                </c:pt>
                <c:pt idx="765">
                  <c:v>80.321200000000005</c:v>
                </c:pt>
                <c:pt idx="766">
                  <c:v>78.813199999999995</c:v>
                </c:pt>
                <c:pt idx="767">
                  <c:v>129.23840000000001</c:v>
                </c:pt>
                <c:pt idx="768">
                  <c:v>128.64179999999999</c:v>
                </c:pt>
                <c:pt idx="769">
                  <c:v>74.142099999999999</c:v>
                </c:pt>
                <c:pt idx="770">
                  <c:v>71.934100000000001</c:v>
                </c:pt>
                <c:pt idx="771">
                  <c:v>90.130200000000002</c:v>
                </c:pt>
                <c:pt idx="772">
                  <c:v>121.74169999999999</c:v>
                </c:pt>
                <c:pt idx="773">
                  <c:v>101.0942</c:v>
                </c:pt>
                <c:pt idx="774">
                  <c:v>149.47720000000001</c:v>
                </c:pt>
                <c:pt idx="775">
                  <c:v>72.026200000000003</c:v>
                </c:pt>
                <c:pt idx="776">
                  <c:v>155.09889999999999</c:v>
                </c:pt>
                <c:pt idx="777">
                  <c:v>80.331699999999998</c:v>
                </c:pt>
                <c:pt idx="778">
                  <c:v>65.493399999999994</c:v>
                </c:pt>
                <c:pt idx="779">
                  <c:v>173.32599999999999</c:v>
                </c:pt>
                <c:pt idx="780">
                  <c:v>54.250599999999999</c:v>
                </c:pt>
                <c:pt idx="781">
                  <c:v>73.831400000000002</c:v>
                </c:pt>
                <c:pt idx="782">
                  <c:v>80.586600000000004</c:v>
                </c:pt>
                <c:pt idx="783">
                  <c:v>104.672</c:v>
                </c:pt>
                <c:pt idx="784">
                  <c:v>83.682000000000002</c:v>
                </c:pt>
                <c:pt idx="785">
                  <c:v>127.0911</c:v>
                </c:pt>
                <c:pt idx="786">
                  <c:v>76.850200000000001</c:v>
                </c:pt>
                <c:pt idx="787">
                  <c:v>123.7929</c:v>
                </c:pt>
                <c:pt idx="788">
                  <c:v>108.81019999999999</c:v>
                </c:pt>
                <c:pt idx="789">
                  <c:v>99.185699999999997</c:v>
                </c:pt>
                <c:pt idx="790">
                  <c:v>116.7461</c:v>
                </c:pt>
                <c:pt idx="791">
                  <c:v>120.71299999999999</c:v>
                </c:pt>
                <c:pt idx="792">
                  <c:v>103.0956</c:v>
                </c:pt>
                <c:pt idx="793">
                  <c:v>45.8354</c:v>
                </c:pt>
                <c:pt idx="794">
                  <c:v>75.314800000000005</c:v>
                </c:pt>
                <c:pt idx="795">
                  <c:v>87.492699999999999</c:v>
                </c:pt>
                <c:pt idx="796">
                  <c:v>89.583699999999993</c:v>
                </c:pt>
                <c:pt idx="797">
                  <c:v>105.15770000000001</c:v>
                </c:pt>
                <c:pt idx="798">
                  <c:v>127.2754</c:v>
                </c:pt>
                <c:pt idx="799">
                  <c:v>75.689599999999999</c:v>
                </c:pt>
                <c:pt idx="800">
                  <c:v>80.066999999999993</c:v>
                </c:pt>
                <c:pt idx="801">
                  <c:v>78.522900000000007</c:v>
                </c:pt>
                <c:pt idx="802">
                  <c:v>104.5714</c:v>
                </c:pt>
                <c:pt idx="803">
                  <c:v>94.370999999999995</c:v>
                </c:pt>
                <c:pt idx="804">
                  <c:v>90.7483</c:v>
                </c:pt>
                <c:pt idx="805">
                  <c:v>81.595200000000006</c:v>
                </c:pt>
                <c:pt idx="806">
                  <c:v>76.182900000000004</c:v>
                </c:pt>
                <c:pt idx="807">
                  <c:v>101.70820000000001</c:v>
                </c:pt>
                <c:pt idx="808">
                  <c:v>86.302400000000006</c:v>
                </c:pt>
                <c:pt idx="809">
                  <c:v>153.13229999999999</c:v>
                </c:pt>
                <c:pt idx="810">
                  <c:v>89.917299999999997</c:v>
                </c:pt>
                <c:pt idx="811">
                  <c:v>137.18559999999999</c:v>
                </c:pt>
                <c:pt idx="812">
                  <c:v>69.761899999999997</c:v>
                </c:pt>
                <c:pt idx="813">
                  <c:v>84.212999999999994</c:v>
                </c:pt>
                <c:pt idx="814">
                  <c:v>86.863600000000005</c:v>
                </c:pt>
                <c:pt idx="815">
                  <c:v>94.903099999999995</c:v>
                </c:pt>
                <c:pt idx="816">
                  <c:v>70.367999999999995</c:v>
                </c:pt>
                <c:pt idx="817">
                  <c:v>179.37950000000001</c:v>
                </c:pt>
                <c:pt idx="818">
                  <c:v>148.04050000000001</c:v>
                </c:pt>
                <c:pt idx="819">
                  <c:v>83.444500000000005</c:v>
                </c:pt>
                <c:pt idx="820">
                  <c:v>66.036900000000003</c:v>
                </c:pt>
                <c:pt idx="821">
                  <c:v>77.2637</c:v>
                </c:pt>
                <c:pt idx="822">
                  <c:v>154.84909999999999</c:v>
                </c:pt>
                <c:pt idx="823">
                  <c:v>134.03749999999999</c:v>
                </c:pt>
                <c:pt idx="824">
                  <c:v>81.981700000000004</c:v>
                </c:pt>
                <c:pt idx="825">
                  <c:v>56.029400000000003</c:v>
                </c:pt>
                <c:pt idx="826">
                  <c:v>118.50060000000001</c:v>
                </c:pt>
                <c:pt idx="827">
                  <c:v>78.421899999999994</c:v>
                </c:pt>
                <c:pt idx="828">
                  <c:v>151.27979999999999</c:v>
                </c:pt>
                <c:pt idx="829">
                  <c:v>62.181899999999999</c:v>
                </c:pt>
                <c:pt idx="830">
                  <c:v>161.91640000000001</c:v>
                </c:pt>
                <c:pt idx="831">
                  <c:v>81.358500000000006</c:v>
                </c:pt>
                <c:pt idx="832">
                  <c:v>151.79400000000001</c:v>
                </c:pt>
                <c:pt idx="833">
                  <c:v>107.673</c:v>
                </c:pt>
                <c:pt idx="834">
                  <c:v>73.513999999999996</c:v>
                </c:pt>
                <c:pt idx="835">
                  <c:v>121.70659999999999</c:v>
                </c:pt>
                <c:pt idx="836">
                  <c:v>81.320599999999999</c:v>
                </c:pt>
                <c:pt idx="837">
                  <c:v>78.5184</c:v>
                </c:pt>
                <c:pt idx="838">
                  <c:v>111.8554</c:v>
                </c:pt>
                <c:pt idx="839">
                  <c:v>99.023600000000002</c:v>
                </c:pt>
                <c:pt idx="840">
                  <c:v>116.9169</c:v>
                </c:pt>
                <c:pt idx="841">
                  <c:v>89.402000000000001</c:v>
                </c:pt>
                <c:pt idx="842">
                  <c:v>119.5446</c:v>
                </c:pt>
                <c:pt idx="843">
                  <c:v>130.2328</c:v>
                </c:pt>
                <c:pt idx="844">
                  <c:v>51.962899999999998</c:v>
                </c:pt>
                <c:pt idx="845">
                  <c:v>66.620199999999997</c:v>
                </c:pt>
                <c:pt idx="846">
                  <c:v>142.24279999999999</c:v>
                </c:pt>
                <c:pt idx="847">
                  <c:v>65.282899999999998</c:v>
                </c:pt>
                <c:pt idx="848">
                  <c:v>75.661600000000007</c:v>
                </c:pt>
                <c:pt idx="849">
                  <c:v>91.665700000000001</c:v>
                </c:pt>
                <c:pt idx="850">
                  <c:v>116.5839</c:v>
                </c:pt>
                <c:pt idx="851">
                  <c:v>61.512700000000002</c:v>
                </c:pt>
                <c:pt idx="852">
                  <c:v>123.7816</c:v>
                </c:pt>
                <c:pt idx="853">
                  <c:v>98.635999999999996</c:v>
                </c:pt>
                <c:pt idx="854">
                  <c:v>69.776499999999999</c:v>
                </c:pt>
                <c:pt idx="855">
                  <c:v>100.1859</c:v>
                </c:pt>
                <c:pt idx="856">
                  <c:v>122.7608</c:v>
                </c:pt>
                <c:pt idx="857">
                  <c:v>123.18</c:v>
                </c:pt>
                <c:pt idx="858">
                  <c:v>108.7658</c:v>
                </c:pt>
                <c:pt idx="859">
                  <c:v>120.26300000000001</c:v>
                </c:pt>
                <c:pt idx="860">
                  <c:v>77.31</c:v>
                </c:pt>
                <c:pt idx="861">
                  <c:v>75.620400000000004</c:v>
                </c:pt>
                <c:pt idx="862">
                  <c:v>60.596200000000003</c:v>
                </c:pt>
                <c:pt idx="863">
                  <c:v>137.08000000000001</c:v>
                </c:pt>
                <c:pt idx="864">
                  <c:v>93.066800000000001</c:v>
                </c:pt>
                <c:pt idx="865">
                  <c:v>162.8477</c:v>
                </c:pt>
                <c:pt idx="866">
                  <c:v>118.7727</c:v>
                </c:pt>
                <c:pt idx="867">
                  <c:v>66.882499999999993</c:v>
                </c:pt>
                <c:pt idx="868">
                  <c:v>122.3254</c:v>
                </c:pt>
                <c:pt idx="869">
                  <c:v>99.913499999999999</c:v>
                </c:pt>
                <c:pt idx="870">
                  <c:v>128.03219999999999</c:v>
                </c:pt>
                <c:pt idx="871">
                  <c:v>104.5022</c:v>
                </c:pt>
                <c:pt idx="872">
                  <c:v>70.454099999999997</c:v>
                </c:pt>
                <c:pt idx="873">
                  <c:v>83.805400000000006</c:v>
                </c:pt>
                <c:pt idx="874">
                  <c:v>89.141400000000004</c:v>
                </c:pt>
                <c:pt idx="875">
                  <c:v>104.3921</c:v>
                </c:pt>
                <c:pt idx="876">
                  <c:v>108.81699999999999</c:v>
                </c:pt>
                <c:pt idx="877">
                  <c:v>64.534400000000005</c:v>
                </c:pt>
                <c:pt idx="878">
                  <c:v>185.8038</c:v>
                </c:pt>
                <c:pt idx="879">
                  <c:v>74.331999999999994</c:v>
                </c:pt>
                <c:pt idx="880">
                  <c:v>148.69990000000001</c:v>
                </c:pt>
                <c:pt idx="881">
                  <c:v>119.038</c:v>
                </c:pt>
                <c:pt idx="882">
                  <c:v>118.69670000000001</c:v>
                </c:pt>
                <c:pt idx="883">
                  <c:v>158.5273</c:v>
                </c:pt>
                <c:pt idx="884">
                  <c:v>74.382199999999997</c:v>
                </c:pt>
                <c:pt idx="885">
                  <c:v>118.12</c:v>
                </c:pt>
                <c:pt idx="886">
                  <c:v>138.89150000000001</c:v>
                </c:pt>
                <c:pt idx="887">
                  <c:v>84.892200000000003</c:v>
                </c:pt>
                <c:pt idx="888">
                  <c:v>62.195300000000003</c:v>
                </c:pt>
                <c:pt idx="889">
                  <c:v>104.3981</c:v>
                </c:pt>
                <c:pt idx="890">
                  <c:v>153.45590000000001</c:v>
                </c:pt>
                <c:pt idx="891">
                  <c:v>74.300799999999995</c:v>
                </c:pt>
                <c:pt idx="892">
                  <c:v>88.926900000000003</c:v>
                </c:pt>
                <c:pt idx="893">
                  <c:v>121.181</c:v>
                </c:pt>
                <c:pt idx="894">
                  <c:v>146.70269999999999</c:v>
                </c:pt>
                <c:pt idx="895">
                  <c:v>152.7473</c:v>
                </c:pt>
                <c:pt idx="896">
                  <c:v>114.6641</c:v>
                </c:pt>
                <c:pt idx="897">
                  <c:v>120.96850000000001</c:v>
                </c:pt>
                <c:pt idx="898">
                  <c:v>77.383700000000005</c:v>
                </c:pt>
                <c:pt idx="899">
                  <c:v>72.169399999999996</c:v>
                </c:pt>
                <c:pt idx="900">
                  <c:v>52.821599999999997</c:v>
                </c:pt>
                <c:pt idx="901">
                  <c:v>82.487200000000001</c:v>
                </c:pt>
                <c:pt idx="902">
                  <c:v>146.49969999999999</c:v>
                </c:pt>
                <c:pt idx="903">
                  <c:v>96.354399999999998</c:v>
                </c:pt>
                <c:pt idx="904">
                  <c:v>130.2201</c:v>
                </c:pt>
                <c:pt idx="905">
                  <c:v>104.19289999999999</c:v>
                </c:pt>
                <c:pt idx="906">
                  <c:v>100.72750000000001</c:v>
                </c:pt>
                <c:pt idx="907">
                  <c:v>115.3198</c:v>
                </c:pt>
                <c:pt idx="908">
                  <c:v>104.1737</c:v>
                </c:pt>
                <c:pt idx="909">
                  <c:v>179.8878</c:v>
                </c:pt>
                <c:pt idx="910">
                  <c:v>137.32259999999999</c:v>
                </c:pt>
                <c:pt idx="911">
                  <c:v>94.018000000000001</c:v>
                </c:pt>
                <c:pt idx="912">
                  <c:v>124.9956</c:v>
                </c:pt>
                <c:pt idx="913">
                  <c:v>101.46810000000001</c:v>
                </c:pt>
                <c:pt idx="914">
                  <c:v>97.845200000000006</c:v>
                </c:pt>
                <c:pt idx="915">
                  <c:v>69.666300000000007</c:v>
                </c:pt>
                <c:pt idx="916">
                  <c:v>95.304699999999997</c:v>
                </c:pt>
                <c:pt idx="917">
                  <c:v>97.598699999999994</c:v>
                </c:pt>
                <c:pt idx="918">
                  <c:v>176.56989999999999</c:v>
                </c:pt>
                <c:pt idx="919">
                  <c:v>103.89</c:v>
                </c:pt>
                <c:pt idx="920">
                  <c:v>197.58709999999999</c:v>
                </c:pt>
                <c:pt idx="921">
                  <c:v>99.808099999999996</c:v>
                </c:pt>
                <c:pt idx="922">
                  <c:v>81.118700000000004</c:v>
                </c:pt>
                <c:pt idx="923">
                  <c:v>85.519800000000004</c:v>
                </c:pt>
                <c:pt idx="924">
                  <c:v>107.79170000000001</c:v>
                </c:pt>
                <c:pt idx="925">
                  <c:v>82.121700000000004</c:v>
                </c:pt>
                <c:pt idx="926">
                  <c:v>67.229900000000001</c:v>
                </c:pt>
                <c:pt idx="927">
                  <c:v>102.8295</c:v>
                </c:pt>
                <c:pt idx="928">
                  <c:v>137.5299</c:v>
                </c:pt>
                <c:pt idx="929">
                  <c:v>50.768700000000003</c:v>
                </c:pt>
                <c:pt idx="930">
                  <c:v>70.602099999999993</c:v>
                </c:pt>
                <c:pt idx="931">
                  <c:v>102.9661</c:v>
                </c:pt>
                <c:pt idx="932">
                  <c:v>112.2186</c:v>
                </c:pt>
                <c:pt idx="933">
                  <c:v>126.7846</c:v>
                </c:pt>
                <c:pt idx="934">
                  <c:v>157.42529999999999</c:v>
                </c:pt>
                <c:pt idx="935">
                  <c:v>75.574200000000005</c:v>
                </c:pt>
                <c:pt idx="936">
                  <c:v>150.98599999999999</c:v>
                </c:pt>
                <c:pt idx="937">
                  <c:v>128.4</c:v>
                </c:pt>
                <c:pt idx="938">
                  <c:v>153.02809999999999</c:v>
                </c:pt>
                <c:pt idx="939">
                  <c:v>135.2413</c:v>
                </c:pt>
                <c:pt idx="940">
                  <c:v>78.995099999999994</c:v>
                </c:pt>
                <c:pt idx="941">
                  <c:v>85.127399999999994</c:v>
                </c:pt>
                <c:pt idx="942">
                  <c:v>124.5633</c:v>
                </c:pt>
                <c:pt idx="943">
                  <c:v>89.616600000000005</c:v>
                </c:pt>
                <c:pt idx="944">
                  <c:v>117.98869999999999</c:v>
                </c:pt>
                <c:pt idx="945">
                  <c:v>126.8189</c:v>
                </c:pt>
                <c:pt idx="946">
                  <c:v>116.04179999999999</c:v>
                </c:pt>
                <c:pt idx="947">
                  <c:v>99.831999999999994</c:v>
                </c:pt>
                <c:pt idx="948">
                  <c:v>116.476</c:v>
                </c:pt>
                <c:pt idx="949">
                  <c:v>118.6155</c:v>
                </c:pt>
                <c:pt idx="950">
                  <c:v>78.150800000000004</c:v>
                </c:pt>
                <c:pt idx="951">
                  <c:v>89.069199999999995</c:v>
                </c:pt>
                <c:pt idx="952">
                  <c:v>138.48259999999999</c:v>
                </c:pt>
                <c:pt idx="953">
                  <c:v>112.4663</c:v>
                </c:pt>
                <c:pt idx="954">
                  <c:v>93.466899999999995</c:v>
                </c:pt>
                <c:pt idx="955">
                  <c:v>73.219300000000004</c:v>
                </c:pt>
                <c:pt idx="956">
                  <c:v>119.3181</c:v>
                </c:pt>
                <c:pt idx="957">
                  <c:v>118.6354</c:v>
                </c:pt>
                <c:pt idx="958">
                  <c:v>74.773899999999998</c:v>
                </c:pt>
                <c:pt idx="959">
                  <c:v>89.015100000000004</c:v>
                </c:pt>
                <c:pt idx="960">
                  <c:v>132.1934</c:v>
                </c:pt>
                <c:pt idx="961">
                  <c:v>94.565200000000004</c:v>
                </c:pt>
                <c:pt idx="962">
                  <c:v>87.284099999999995</c:v>
                </c:pt>
                <c:pt idx="963">
                  <c:v>117.4525</c:v>
                </c:pt>
                <c:pt idx="964">
                  <c:v>77.0214</c:v>
                </c:pt>
                <c:pt idx="965">
                  <c:v>89.633499999999998</c:v>
                </c:pt>
                <c:pt idx="966">
                  <c:v>68.007999999999996</c:v>
                </c:pt>
                <c:pt idx="967">
                  <c:v>69.909099999999995</c:v>
                </c:pt>
                <c:pt idx="968">
                  <c:v>142.13990000000001</c:v>
                </c:pt>
                <c:pt idx="969">
                  <c:v>136.0489</c:v>
                </c:pt>
                <c:pt idx="970">
                  <c:v>89.445899999999995</c:v>
                </c:pt>
                <c:pt idx="971">
                  <c:v>104.1551</c:v>
                </c:pt>
                <c:pt idx="972">
                  <c:v>115.355</c:v>
                </c:pt>
                <c:pt idx="973">
                  <c:v>83.814700000000002</c:v>
                </c:pt>
                <c:pt idx="974">
                  <c:v>52.112299999999998</c:v>
                </c:pt>
                <c:pt idx="975">
                  <c:v>109.1104</c:v>
                </c:pt>
                <c:pt idx="976">
                  <c:v>170.2997</c:v>
                </c:pt>
                <c:pt idx="977">
                  <c:v>90.183999999999997</c:v>
                </c:pt>
                <c:pt idx="978">
                  <c:v>245.01480000000001</c:v>
                </c:pt>
                <c:pt idx="979">
                  <c:v>122.7174</c:v>
                </c:pt>
                <c:pt idx="980">
                  <c:v>113.1527</c:v>
                </c:pt>
                <c:pt idx="981">
                  <c:v>95.958399999999997</c:v>
                </c:pt>
                <c:pt idx="982">
                  <c:v>116.7822</c:v>
                </c:pt>
                <c:pt idx="983">
                  <c:v>101.96510000000001</c:v>
                </c:pt>
                <c:pt idx="984">
                  <c:v>52.4373</c:v>
                </c:pt>
                <c:pt idx="985">
                  <c:v>123.52160000000001</c:v>
                </c:pt>
                <c:pt idx="986">
                  <c:v>64.311999999999998</c:v>
                </c:pt>
                <c:pt idx="987">
                  <c:v>103.9025</c:v>
                </c:pt>
                <c:pt idx="988">
                  <c:v>114.37860000000001</c:v>
                </c:pt>
                <c:pt idx="989">
                  <c:v>106.4083</c:v>
                </c:pt>
                <c:pt idx="990">
                  <c:v>77.027299999999997</c:v>
                </c:pt>
                <c:pt idx="991">
                  <c:v>89.030500000000004</c:v>
                </c:pt>
                <c:pt idx="992">
                  <c:v>119.9422</c:v>
                </c:pt>
                <c:pt idx="993">
                  <c:v>145.71029999999999</c:v>
                </c:pt>
                <c:pt idx="994">
                  <c:v>67.784300000000002</c:v>
                </c:pt>
                <c:pt idx="995">
                  <c:v>104.3715</c:v>
                </c:pt>
                <c:pt idx="996">
                  <c:v>95.116299999999995</c:v>
                </c:pt>
                <c:pt idx="997">
                  <c:v>111.94629999999999</c:v>
                </c:pt>
                <c:pt idx="998">
                  <c:v>79.861199999999997</c:v>
                </c:pt>
                <c:pt idx="999">
                  <c:v>95.048000000000002</c:v>
                </c:pt>
              </c:numCache>
            </c:numRef>
          </c:xVal>
          <c:yVal>
            <c:numRef>
              <c:f>'Vanilla BS call option'!$S$2:$S$1001</c:f>
              <c:numCache>
                <c:formatCode>0.00</c:formatCode>
                <c:ptCount val="1000"/>
                <c:pt idx="0">
                  <c:v>-1.6129</c:v>
                </c:pt>
                <c:pt idx="1">
                  <c:v>1.8676999999999999</c:v>
                </c:pt>
                <c:pt idx="2">
                  <c:v>18.523</c:v>
                </c:pt>
                <c:pt idx="3">
                  <c:v>-0.2611</c:v>
                </c:pt>
                <c:pt idx="4">
                  <c:v>9.8305000000000007</c:v>
                </c:pt>
                <c:pt idx="5">
                  <c:v>-2.7239</c:v>
                </c:pt>
                <c:pt idx="6">
                  <c:v>40.654699999999998</c:v>
                </c:pt>
                <c:pt idx="7">
                  <c:v>1.1815</c:v>
                </c:pt>
                <c:pt idx="8">
                  <c:v>5.5862999999999996</c:v>
                </c:pt>
                <c:pt idx="9">
                  <c:v>-1.9331</c:v>
                </c:pt>
                <c:pt idx="10">
                  <c:v>6.3985000000000003</c:v>
                </c:pt>
                <c:pt idx="11">
                  <c:v>0.29260000000000003</c:v>
                </c:pt>
                <c:pt idx="12">
                  <c:v>15.136100000000001</c:v>
                </c:pt>
                <c:pt idx="13">
                  <c:v>0.35070000000000001</c:v>
                </c:pt>
                <c:pt idx="14">
                  <c:v>17.738499999999998</c:v>
                </c:pt>
                <c:pt idx="15">
                  <c:v>8.2500000000000004E-2</c:v>
                </c:pt>
                <c:pt idx="16">
                  <c:v>28.5806</c:v>
                </c:pt>
                <c:pt idx="17">
                  <c:v>-1.7758</c:v>
                </c:pt>
                <c:pt idx="18">
                  <c:v>45.853700000000003</c:v>
                </c:pt>
                <c:pt idx="19">
                  <c:v>3.0257000000000001</c:v>
                </c:pt>
                <c:pt idx="20">
                  <c:v>34.908700000000003</c:v>
                </c:pt>
                <c:pt idx="21">
                  <c:v>5.8181000000000003</c:v>
                </c:pt>
                <c:pt idx="22">
                  <c:v>58.771999999999998</c:v>
                </c:pt>
                <c:pt idx="23">
                  <c:v>1.5341</c:v>
                </c:pt>
                <c:pt idx="24">
                  <c:v>1.4793000000000001</c:v>
                </c:pt>
                <c:pt idx="25">
                  <c:v>-1.6700999999999999</c:v>
                </c:pt>
                <c:pt idx="26">
                  <c:v>21.2666</c:v>
                </c:pt>
                <c:pt idx="27">
                  <c:v>62.6068</c:v>
                </c:pt>
                <c:pt idx="28">
                  <c:v>16.052</c:v>
                </c:pt>
                <c:pt idx="29">
                  <c:v>49.863</c:v>
                </c:pt>
                <c:pt idx="30">
                  <c:v>34.198700000000002</c:v>
                </c:pt>
                <c:pt idx="31">
                  <c:v>2.3355999999999999</c:v>
                </c:pt>
                <c:pt idx="32">
                  <c:v>-0.21340000000000001</c:v>
                </c:pt>
                <c:pt idx="33">
                  <c:v>102.58759999999999</c:v>
                </c:pt>
                <c:pt idx="34">
                  <c:v>1.3942000000000001</c:v>
                </c:pt>
                <c:pt idx="35">
                  <c:v>17.548400000000001</c:v>
                </c:pt>
                <c:pt idx="36">
                  <c:v>2.4733999999999998</c:v>
                </c:pt>
                <c:pt idx="37">
                  <c:v>-4.8110999999999997</c:v>
                </c:pt>
                <c:pt idx="38">
                  <c:v>-3.0402999999999998</c:v>
                </c:pt>
                <c:pt idx="39">
                  <c:v>-0.1167</c:v>
                </c:pt>
                <c:pt idx="40">
                  <c:v>39.752299999999998</c:v>
                </c:pt>
                <c:pt idx="41">
                  <c:v>0.54069999999999996</c:v>
                </c:pt>
                <c:pt idx="42">
                  <c:v>0.59970000000000001</c:v>
                </c:pt>
                <c:pt idx="43">
                  <c:v>30.1508</c:v>
                </c:pt>
                <c:pt idx="44">
                  <c:v>0.95730000000000004</c:v>
                </c:pt>
                <c:pt idx="45">
                  <c:v>-0.12429999999999999</c:v>
                </c:pt>
                <c:pt idx="46">
                  <c:v>-1.3381000000000001</c:v>
                </c:pt>
                <c:pt idx="47">
                  <c:v>-1.5657000000000001</c:v>
                </c:pt>
                <c:pt idx="48">
                  <c:v>-0.76729999999999998</c:v>
                </c:pt>
                <c:pt idx="49">
                  <c:v>-2.6135000000000002</c:v>
                </c:pt>
                <c:pt idx="50">
                  <c:v>1.3113999999999999</c:v>
                </c:pt>
                <c:pt idx="51">
                  <c:v>84.613299999999995</c:v>
                </c:pt>
                <c:pt idx="52">
                  <c:v>20.9556</c:v>
                </c:pt>
                <c:pt idx="53">
                  <c:v>92.648899999999998</c:v>
                </c:pt>
                <c:pt idx="54">
                  <c:v>20.7971</c:v>
                </c:pt>
                <c:pt idx="55">
                  <c:v>1.0686</c:v>
                </c:pt>
                <c:pt idx="56">
                  <c:v>24.788499999999999</c:v>
                </c:pt>
                <c:pt idx="57">
                  <c:v>57.625900000000001</c:v>
                </c:pt>
                <c:pt idx="58">
                  <c:v>-0.77900000000000003</c:v>
                </c:pt>
                <c:pt idx="59">
                  <c:v>2.0044</c:v>
                </c:pt>
                <c:pt idx="60">
                  <c:v>29.736599999999999</c:v>
                </c:pt>
                <c:pt idx="61">
                  <c:v>-0.60409999999999997</c:v>
                </c:pt>
                <c:pt idx="62">
                  <c:v>37.046399999999998</c:v>
                </c:pt>
                <c:pt idx="63">
                  <c:v>64.613699999999994</c:v>
                </c:pt>
                <c:pt idx="64">
                  <c:v>14.8812</c:v>
                </c:pt>
                <c:pt idx="65">
                  <c:v>37.6907</c:v>
                </c:pt>
                <c:pt idx="66">
                  <c:v>20.911899999999999</c:v>
                </c:pt>
                <c:pt idx="67">
                  <c:v>5.7374999999999998</c:v>
                </c:pt>
                <c:pt idx="68">
                  <c:v>19.157499999999999</c:v>
                </c:pt>
                <c:pt idx="69">
                  <c:v>5.6893000000000002</c:v>
                </c:pt>
                <c:pt idx="70">
                  <c:v>0.17829999999999999</c:v>
                </c:pt>
                <c:pt idx="71">
                  <c:v>18.447700000000001</c:v>
                </c:pt>
                <c:pt idx="72">
                  <c:v>45.236699999999999</c:v>
                </c:pt>
                <c:pt idx="73">
                  <c:v>-3.5999999999999997E-2</c:v>
                </c:pt>
                <c:pt idx="74">
                  <c:v>9.6742000000000008</c:v>
                </c:pt>
                <c:pt idx="75">
                  <c:v>27.5519</c:v>
                </c:pt>
                <c:pt idx="76">
                  <c:v>0.4456</c:v>
                </c:pt>
                <c:pt idx="77">
                  <c:v>28.340599999999998</c:v>
                </c:pt>
                <c:pt idx="78">
                  <c:v>83.311099999999996</c:v>
                </c:pt>
                <c:pt idx="79">
                  <c:v>22.148599999999998</c:v>
                </c:pt>
                <c:pt idx="80">
                  <c:v>-0.83089999999999997</c:v>
                </c:pt>
                <c:pt idx="81">
                  <c:v>2.1844000000000001</c:v>
                </c:pt>
                <c:pt idx="82">
                  <c:v>8.9301999999999992</c:v>
                </c:pt>
                <c:pt idx="83">
                  <c:v>6.8232999999999997</c:v>
                </c:pt>
                <c:pt idx="84">
                  <c:v>9.3513000000000002</c:v>
                </c:pt>
                <c:pt idx="85">
                  <c:v>-1.7079</c:v>
                </c:pt>
                <c:pt idx="86">
                  <c:v>-0.95299999999999996</c:v>
                </c:pt>
                <c:pt idx="87">
                  <c:v>12.6898</c:v>
                </c:pt>
                <c:pt idx="88">
                  <c:v>28.7105</c:v>
                </c:pt>
                <c:pt idx="89">
                  <c:v>2.2065999999999999</c:v>
                </c:pt>
                <c:pt idx="90">
                  <c:v>0.97870000000000001</c:v>
                </c:pt>
                <c:pt idx="91">
                  <c:v>19.986000000000001</c:v>
                </c:pt>
                <c:pt idx="92">
                  <c:v>36.0822</c:v>
                </c:pt>
                <c:pt idx="93">
                  <c:v>11.299099999999999</c:v>
                </c:pt>
                <c:pt idx="94">
                  <c:v>-0.18440000000000001</c:v>
                </c:pt>
                <c:pt idx="95">
                  <c:v>-9.2499999999999999E-2</c:v>
                </c:pt>
                <c:pt idx="96">
                  <c:v>21.741</c:v>
                </c:pt>
                <c:pt idx="97">
                  <c:v>-1.3120000000000001</c:v>
                </c:pt>
                <c:pt idx="98">
                  <c:v>1.5862000000000001</c:v>
                </c:pt>
                <c:pt idx="99">
                  <c:v>2.4742000000000002</c:v>
                </c:pt>
                <c:pt idx="100">
                  <c:v>0.35859999999999997</c:v>
                </c:pt>
                <c:pt idx="101">
                  <c:v>93.911799999999999</c:v>
                </c:pt>
                <c:pt idx="102">
                  <c:v>25.133299999999998</c:v>
                </c:pt>
                <c:pt idx="103">
                  <c:v>25.903400000000001</c:v>
                </c:pt>
                <c:pt idx="104">
                  <c:v>22.459900000000001</c:v>
                </c:pt>
                <c:pt idx="105">
                  <c:v>7.1844999999999999</c:v>
                </c:pt>
                <c:pt idx="106">
                  <c:v>-0.73780000000000001</c:v>
                </c:pt>
                <c:pt idx="107">
                  <c:v>-0.92230000000000001</c:v>
                </c:pt>
                <c:pt idx="108">
                  <c:v>1.9900000000000001E-2</c:v>
                </c:pt>
                <c:pt idx="109">
                  <c:v>108.7516</c:v>
                </c:pt>
                <c:pt idx="110">
                  <c:v>33.865900000000003</c:v>
                </c:pt>
                <c:pt idx="111">
                  <c:v>12.5242</c:v>
                </c:pt>
                <c:pt idx="112">
                  <c:v>0.57330000000000003</c:v>
                </c:pt>
                <c:pt idx="113">
                  <c:v>-0.40389999999999998</c:v>
                </c:pt>
                <c:pt idx="114">
                  <c:v>9.6812000000000005</c:v>
                </c:pt>
                <c:pt idx="115">
                  <c:v>3.3658000000000001</c:v>
                </c:pt>
                <c:pt idx="116">
                  <c:v>-5.6680999999999999</c:v>
                </c:pt>
                <c:pt idx="117">
                  <c:v>-0.56089999999999995</c:v>
                </c:pt>
                <c:pt idx="118">
                  <c:v>4.9692999999999996</c:v>
                </c:pt>
                <c:pt idx="119">
                  <c:v>0.38879999999999998</c:v>
                </c:pt>
                <c:pt idx="120">
                  <c:v>-2.5095999999999998</c:v>
                </c:pt>
                <c:pt idx="121">
                  <c:v>37.234099999999998</c:v>
                </c:pt>
                <c:pt idx="122">
                  <c:v>12.963800000000001</c:v>
                </c:pt>
                <c:pt idx="123">
                  <c:v>51.532499999999999</c:v>
                </c:pt>
                <c:pt idx="124">
                  <c:v>9.4882000000000009</c:v>
                </c:pt>
                <c:pt idx="125">
                  <c:v>2.7404000000000002</c:v>
                </c:pt>
                <c:pt idx="126">
                  <c:v>11.950799999999999</c:v>
                </c:pt>
                <c:pt idx="127">
                  <c:v>31.998699999999999</c:v>
                </c:pt>
                <c:pt idx="128">
                  <c:v>0.96489999999999998</c:v>
                </c:pt>
                <c:pt idx="129">
                  <c:v>52.477200000000003</c:v>
                </c:pt>
                <c:pt idx="130">
                  <c:v>2.8014000000000001</c:v>
                </c:pt>
                <c:pt idx="131">
                  <c:v>0.70569999999999999</c:v>
                </c:pt>
                <c:pt idx="132">
                  <c:v>59.426900000000003</c:v>
                </c:pt>
                <c:pt idx="133">
                  <c:v>4.5148000000000001</c:v>
                </c:pt>
                <c:pt idx="134">
                  <c:v>-1.9995000000000001</c:v>
                </c:pt>
                <c:pt idx="135">
                  <c:v>1.2015</c:v>
                </c:pt>
                <c:pt idx="136">
                  <c:v>2.4885999999999999</c:v>
                </c:pt>
                <c:pt idx="137">
                  <c:v>6.0128000000000004</c:v>
                </c:pt>
                <c:pt idx="138">
                  <c:v>22.326699999999999</c:v>
                </c:pt>
                <c:pt idx="139">
                  <c:v>36.653700000000001</c:v>
                </c:pt>
                <c:pt idx="140">
                  <c:v>0.79320000000000002</c:v>
                </c:pt>
                <c:pt idx="141">
                  <c:v>24.6005</c:v>
                </c:pt>
                <c:pt idx="142">
                  <c:v>1.4672000000000001</c:v>
                </c:pt>
                <c:pt idx="143">
                  <c:v>6.2474999999999996</c:v>
                </c:pt>
                <c:pt idx="144">
                  <c:v>49.6004</c:v>
                </c:pt>
                <c:pt idx="145">
                  <c:v>76.886700000000005</c:v>
                </c:pt>
                <c:pt idx="146">
                  <c:v>9.2116000000000007</c:v>
                </c:pt>
                <c:pt idx="147">
                  <c:v>6.7110000000000003</c:v>
                </c:pt>
                <c:pt idx="148">
                  <c:v>71.665000000000006</c:v>
                </c:pt>
                <c:pt idx="149">
                  <c:v>-2.4531999999999998</c:v>
                </c:pt>
                <c:pt idx="150">
                  <c:v>-0.93220000000000003</c:v>
                </c:pt>
                <c:pt idx="151">
                  <c:v>0.68920000000000003</c:v>
                </c:pt>
                <c:pt idx="152">
                  <c:v>66.813000000000002</c:v>
                </c:pt>
                <c:pt idx="153">
                  <c:v>26.895099999999999</c:v>
                </c:pt>
                <c:pt idx="154">
                  <c:v>1.8249</c:v>
                </c:pt>
                <c:pt idx="155">
                  <c:v>-0.28570000000000001</c:v>
                </c:pt>
                <c:pt idx="156">
                  <c:v>64.210700000000003</c:v>
                </c:pt>
                <c:pt idx="157">
                  <c:v>8.6319999999999997</c:v>
                </c:pt>
                <c:pt idx="158">
                  <c:v>-2.2204999999999999</c:v>
                </c:pt>
                <c:pt idx="159">
                  <c:v>0.47520000000000001</c:v>
                </c:pt>
                <c:pt idx="160">
                  <c:v>1.1891</c:v>
                </c:pt>
                <c:pt idx="161">
                  <c:v>-0.70099999999999996</c:v>
                </c:pt>
                <c:pt idx="162">
                  <c:v>-0.80420000000000003</c:v>
                </c:pt>
                <c:pt idx="163">
                  <c:v>-3.2873999999999999</c:v>
                </c:pt>
                <c:pt idx="164">
                  <c:v>13.3553</c:v>
                </c:pt>
                <c:pt idx="165">
                  <c:v>3.0729000000000002</c:v>
                </c:pt>
                <c:pt idx="166">
                  <c:v>4.0780000000000003</c:v>
                </c:pt>
                <c:pt idx="167">
                  <c:v>0.99199999999999999</c:v>
                </c:pt>
                <c:pt idx="168">
                  <c:v>1.8552</c:v>
                </c:pt>
                <c:pt idx="169">
                  <c:v>16.797000000000001</c:v>
                </c:pt>
                <c:pt idx="170">
                  <c:v>4.4584999999999999</c:v>
                </c:pt>
                <c:pt idx="171">
                  <c:v>-0.8911</c:v>
                </c:pt>
                <c:pt idx="172">
                  <c:v>23.9238</c:v>
                </c:pt>
                <c:pt idx="173">
                  <c:v>71.929900000000004</c:v>
                </c:pt>
                <c:pt idx="174">
                  <c:v>69.956800000000001</c:v>
                </c:pt>
                <c:pt idx="175">
                  <c:v>20.9666</c:v>
                </c:pt>
                <c:pt idx="176">
                  <c:v>24.151299999999999</c:v>
                </c:pt>
                <c:pt idx="177">
                  <c:v>7.7854999999999999</c:v>
                </c:pt>
                <c:pt idx="178">
                  <c:v>20.508099999999999</c:v>
                </c:pt>
                <c:pt idx="179">
                  <c:v>0.9819</c:v>
                </c:pt>
                <c:pt idx="180">
                  <c:v>0.87460000000000004</c:v>
                </c:pt>
                <c:pt idx="181">
                  <c:v>17.441400000000002</c:v>
                </c:pt>
                <c:pt idx="182">
                  <c:v>1.5780000000000001</c:v>
                </c:pt>
                <c:pt idx="183">
                  <c:v>51.340499999999999</c:v>
                </c:pt>
                <c:pt idx="184">
                  <c:v>17.985700000000001</c:v>
                </c:pt>
                <c:pt idx="185">
                  <c:v>58.359000000000002</c:v>
                </c:pt>
                <c:pt idx="186">
                  <c:v>163.18770000000001</c:v>
                </c:pt>
                <c:pt idx="187">
                  <c:v>20.550799999999999</c:v>
                </c:pt>
                <c:pt idx="188">
                  <c:v>2.4965000000000002</c:v>
                </c:pt>
                <c:pt idx="189">
                  <c:v>-0.19939999999999999</c:v>
                </c:pt>
                <c:pt idx="190">
                  <c:v>-2.3231000000000002</c:v>
                </c:pt>
                <c:pt idx="191">
                  <c:v>31.818899999999999</c:v>
                </c:pt>
                <c:pt idx="192">
                  <c:v>-0.79410000000000003</c:v>
                </c:pt>
                <c:pt idx="193">
                  <c:v>104.3683</c:v>
                </c:pt>
                <c:pt idx="194">
                  <c:v>-6.6742999999999997</c:v>
                </c:pt>
                <c:pt idx="195">
                  <c:v>37.108800000000002</c:v>
                </c:pt>
                <c:pt idx="196">
                  <c:v>-0.56440000000000001</c:v>
                </c:pt>
                <c:pt idx="197">
                  <c:v>16.072500000000002</c:v>
                </c:pt>
                <c:pt idx="198">
                  <c:v>1.6672</c:v>
                </c:pt>
                <c:pt idx="199">
                  <c:v>42.286799999999999</c:v>
                </c:pt>
                <c:pt idx="200">
                  <c:v>18.1432</c:v>
                </c:pt>
                <c:pt idx="201">
                  <c:v>7.2986000000000004</c:v>
                </c:pt>
                <c:pt idx="202">
                  <c:v>31.6541</c:v>
                </c:pt>
                <c:pt idx="203">
                  <c:v>0.53769999999999996</c:v>
                </c:pt>
                <c:pt idx="204">
                  <c:v>-2.9731999999999998</c:v>
                </c:pt>
                <c:pt idx="205">
                  <c:v>-5.2698</c:v>
                </c:pt>
                <c:pt idx="206">
                  <c:v>-0.17230000000000001</c:v>
                </c:pt>
                <c:pt idx="207">
                  <c:v>27.8369</c:v>
                </c:pt>
                <c:pt idx="208">
                  <c:v>33.0884</c:v>
                </c:pt>
                <c:pt idx="209">
                  <c:v>17.495799999999999</c:v>
                </c:pt>
                <c:pt idx="210">
                  <c:v>6.5090000000000003</c:v>
                </c:pt>
                <c:pt idx="211">
                  <c:v>2.4771999999999998</c:v>
                </c:pt>
                <c:pt idx="212">
                  <c:v>6.9541000000000004</c:v>
                </c:pt>
                <c:pt idx="213">
                  <c:v>8.6469000000000005</c:v>
                </c:pt>
                <c:pt idx="214">
                  <c:v>32.5289</c:v>
                </c:pt>
                <c:pt idx="215">
                  <c:v>43.634700000000002</c:v>
                </c:pt>
                <c:pt idx="216">
                  <c:v>29.9117</c:v>
                </c:pt>
                <c:pt idx="217">
                  <c:v>5.8441999999999998</c:v>
                </c:pt>
                <c:pt idx="218">
                  <c:v>-0.3327</c:v>
                </c:pt>
                <c:pt idx="219">
                  <c:v>1.6494</c:v>
                </c:pt>
                <c:pt idx="220">
                  <c:v>1.8363</c:v>
                </c:pt>
                <c:pt idx="221">
                  <c:v>8.2406000000000006</c:v>
                </c:pt>
                <c:pt idx="222">
                  <c:v>-0.9395</c:v>
                </c:pt>
                <c:pt idx="223">
                  <c:v>47.990099999999998</c:v>
                </c:pt>
                <c:pt idx="224">
                  <c:v>59.6755</c:v>
                </c:pt>
                <c:pt idx="225">
                  <c:v>0.51859999999999995</c:v>
                </c:pt>
                <c:pt idx="226">
                  <c:v>7.6990999999999996</c:v>
                </c:pt>
                <c:pt idx="227">
                  <c:v>0.99660000000000004</c:v>
                </c:pt>
                <c:pt idx="228">
                  <c:v>0.45540000000000003</c:v>
                </c:pt>
                <c:pt idx="229">
                  <c:v>1.9956</c:v>
                </c:pt>
                <c:pt idx="230">
                  <c:v>11.0289</c:v>
                </c:pt>
                <c:pt idx="231">
                  <c:v>14.8118</c:v>
                </c:pt>
                <c:pt idx="232">
                  <c:v>24.429500000000001</c:v>
                </c:pt>
                <c:pt idx="233">
                  <c:v>-1.3309</c:v>
                </c:pt>
                <c:pt idx="234">
                  <c:v>1.5358000000000001</c:v>
                </c:pt>
                <c:pt idx="235">
                  <c:v>1.681</c:v>
                </c:pt>
                <c:pt idx="236">
                  <c:v>53.626600000000003</c:v>
                </c:pt>
                <c:pt idx="237">
                  <c:v>7.4230999999999998</c:v>
                </c:pt>
                <c:pt idx="238">
                  <c:v>0.93630000000000002</c:v>
                </c:pt>
                <c:pt idx="239">
                  <c:v>1.7073</c:v>
                </c:pt>
                <c:pt idx="240">
                  <c:v>4.8430999999999997</c:v>
                </c:pt>
                <c:pt idx="241">
                  <c:v>25.951599999999999</c:v>
                </c:pt>
                <c:pt idx="242">
                  <c:v>16.9344</c:v>
                </c:pt>
                <c:pt idx="243">
                  <c:v>145.3193</c:v>
                </c:pt>
                <c:pt idx="244">
                  <c:v>63.081600000000002</c:v>
                </c:pt>
                <c:pt idx="245">
                  <c:v>22.563099999999999</c:v>
                </c:pt>
                <c:pt idx="246">
                  <c:v>4.5727000000000002</c:v>
                </c:pt>
                <c:pt idx="247">
                  <c:v>10.6533</c:v>
                </c:pt>
                <c:pt idx="248">
                  <c:v>0.93640000000000001</c:v>
                </c:pt>
                <c:pt idx="249">
                  <c:v>4.5625</c:v>
                </c:pt>
                <c:pt idx="250">
                  <c:v>19.029900000000001</c:v>
                </c:pt>
                <c:pt idx="251">
                  <c:v>0.55459999999999998</c:v>
                </c:pt>
                <c:pt idx="252">
                  <c:v>1.7583</c:v>
                </c:pt>
                <c:pt idx="253">
                  <c:v>7.4458000000000002</c:v>
                </c:pt>
                <c:pt idx="254">
                  <c:v>-2.2504</c:v>
                </c:pt>
                <c:pt idx="255">
                  <c:v>46.084800000000001</c:v>
                </c:pt>
                <c:pt idx="256">
                  <c:v>-0.86919999999999997</c:v>
                </c:pt>
                <c:pt idx="257">
                  <c:v>1.8762000000000001</c:v>
                </c:pt>
                <c:pt idx="258">
                  <c:v>4.2869999999999999</c:v>
                </c:pt>
                <c:pt idx="259">
                  <c:v>49.997799999999998</c:v>
                </c:pt>
                <c:pt idx="260">
                  <c:v>-2.5644999999999998</c:v>
                </c:pt>
                <c:pt idx="261">
                  <c:v>3.956</c:v>
                </c:pt>
                <c:pt idx="262">
                  <c:v>0.6179</c:v>
                </c:pt>
                <c:pt idx="263">
                  <c:v>-0.315</c:v>
                </c:pt>
                <c:pt idx="264">
                  <c:v>58.664200000000001</c:v>
                </c:pt>
                <c:pt idx="265">
                  <c:v>0.32019999999999998</c:v>
                </c:pt>
                <c:pt idx="266">
                  <c:v>33.272599999999997</c:v>
                </c:pt>
                <c:pt idx="267">
                  <c:v>-0.86060000000000003</c:v>
                </c:pt>
                <c:pt idx="268">
                  <c:v>2.2501000000000002</c:v>
                </c:pt>
                <c:pt idx="269">
                  <c:v>-0.17560000000000001</c:v>
                </c:pt>
                <c:pt idx="270">
                  <c:v>43.9694</c:v>
                </c:pt>
                <c:pt idx="271">
                  <c:v>54.909399999999998</c:v>
                </c:pt>
                <c:pt idx="272">
                  <c:v>15.6755</c:v>
                </c:pt>
                <c:pt idx="273">
                  <c:v>13.5731</c:v>
                </c:pt>
                <c:pt idx="274">
                  <c:v>41.155000000000001</c:v>
                </c:pt>
                <c:pt idx="275">
                  <c:v>3.7187000000000001</c:v>
                </c:pt>
                <c:pt idx="276">
                  <c:v>14.510199999999999</c:v>
                </c:pt>
                <c:pt idx="277">
                  <c:v>9.9385999999999992</c:v>
                </c:pt>
                <c:pt idx="278">
                  <c:v>63.823900000000002</c:v>
                </c:pt>
                <c:pt idx="279">
                  <c:v>45.356900000000003</c:v>
                </c:pt>
                <c:pt idx="280">
                  <c:v>57.868400000000001</c:v>
                </c:pt>
                <c:pt idx="281">
                  <c:v>15.230600000000001</c:v>
                </c:pt>
                <c:pt idx="282">
                  <c:v>4.4470999999999998</c:v>
                </c:pt>
                <c:pt idx="283">
                  <c:v>5.0039999999999996</c:v>
                </c:pt>
                <c:pt idx="284">
                  <c:v>34.757100000000001</c:v>
                </c:pt>
                <c:pt idx="285">
                  <c:v>4.9310999999999998</c:v>
                </c:pt>
                <c:pt idx="286">
                  <c:v>-0.74890000000000001</c:v>
                </c:pt>
                <c:pt idx="287">
                  <c:v>40.049799999999998</c:v>
                </c:pt>
                <c:pt idx="288">
                  <c:v>4.3609</c:v>
                </c:pt>
                <c:pt idx="289">
                  <c:v>15.7972</c:v>
                </c:pt>
                <c:pt idx="290">
                  <c:v>-2.7223000000000002</c:v>
                </c:pt>
                <c:pt idx="291">
                  <c:v>10.8375</c:v>
                </c:pt>
                <c:pt idx="292">
                  <c:v>4.9404000000000003</c:v>
                </c:pt>
                <c:pt idx="293">
                  <c:v>2.1798999999999999</c:v>
                </c:pt>
                <c:pt idx="294">
                  <c:v>37.409999999999997</c:v>
                </c:pt>
                <c:pt idx="295">
                  <c:v>22.173400000000001</c:v>
                </c:pt>
                <c:pt idx="296">
                  <c:v>1.0863</c:v>
                </c:pt>
                <c:pt idx="297">
                  <c:v>2.4693000000000001</c:v>
                </c:pt>
                <c:pt idx="298">
                  <c:v>18.967400000000001</c:v>
                </c:pt>
                <c:pt idx="299">
                  <c:v>38.551400000000001</c:v>
                </c:pt>
                <c:pt idx="300">
                  <c:v>21.7958</c:v>
                </c:pt>
                <c:pt idx="301">
                  <c:v>1.6369</c:v>
                </c:pt>
                <c:pt idx="302">
                  <c:v>20.871099999999998</c:v>
                </c:pt>
                <c:pt idx="303">
                  <c:v>19.974599999999999</c:v>
                </c:pt>
                <c:pt idx="304">
                  <c:v>16.482700000000001</c:v>
                </c:pt>
                <c:pt idx="305">
                  <c:v>44.196599999999997</c:v>
                </c:pt>
                <c:pt idx="306">
                  <c:v>0.99390000000000001</c:v>
                </c:pt>
                <c:pt idx="307">
                  <c:v>4.9058999999999999</c:v>
                </c:pt>
                <c:pt idx="308">
                  <c:v>51.456600000000002</c:v>
                </c:pt>
                <c:pt idx="309">
                  <c:v>11.5731</c:v>
                </c:pt>
                <c:pt idx="310">
                  <c:v>28.359000000000002</c:v>
                </c:pt>
                <c:pt idx="311">
                  <c:v>-2.4302999999999999</c:v>
                </c:pt>
                <c:pt idx="312">
                  <c:v>-2.0424000000000002</c:v>
                </c:pt>
                <c:pt idx="313">
                  <c:v>-0.61799999999999999</c:v>
                </c:pt>
                <c:pt idx="314">
                  <c:v>-0.21310000000000001</c:v>
                </c:pt>
                <c:pt idx="315">
                  <c:v>8.9208999999999996</c:v>
                </c:pt>
                <c:pt idx="316">
                  <c:v>54.161799999999999</c:v>
                </c:pt>
                <c:pt idx="317">
                  <c:v>42.584099999999999</c:v>
                </c:pt>
                <c:pt idx="318">
                  <c:v>-1.4211</c:v>
                </c:pt>
                <c:pt idx="319">
                  <c:v>14.2423</c:v>
                </c:pt>
                <c:pt idx="320">
                  <c:v>33.366799999999998</c:v>
                </c:pt>
                <c:pt idx="321">
                  <c:v>-3.1025</c:v>
                </c:pt>
                <c:pt idx="322">
                  <c:v>8.0383999999999993</c:v>
                </c:pt>
                <c:pt idx="323">
                  <c:v>4.7454999999999998</c:v>
                </c:pt>
                <c:pt idx="324">
                  <c:v>-2.3186</c:v>
                </c:pt>
                <c:pt idx="325">
                  <c:v>-0.41710000000000003</c:v>
                </c:pt>
                <c:pt idx="326">
                  <c:v>-1.9738</c:v>
                </c:pt>
                <c:pt idx="327">
                  <c:v>29.359000000000002</c:v>
                </c:pt>
                <c:pt idx="328">
                  <c:v>32.661700000000003</c:v>
                </c:pt>
                <c:pt idx="329">
                  <c:v>2.5707</c:v>
                </c:pt>
                <c:pt idx="330">
                  <c:v>13.2613</c:v>
                </c:pt>
                <c:pt idx="331">
                  <c:v>-3.8934000000000002</c:v>
                </c:pt>
                <c:pt idx="332">
                  <c:v>103.785</c:v>
                </c:pt>
                <c:pt idx="333">
                  <c:v>11.6343</c:v>
                </c:pt>
                <c:pt idx="334">
                  <c:v>-4.6894</c:v>
                </c:pt>
                <c:pt idx="335">
                  <c:v>10.6599</c:v>
                </c:pt>
                <c:pt idx="336">
                  <c:v>0.73509999999999998</c:v>
                </c:pt>
                <c:pt idx="337">
                  <c:v>20.3977</c:v>
                </c:pt>
                <c:pt idx="338">
                  <c:v>10.06</c:v>
                </c:pt>
                <c:pt idx="339">
                  <c:v>35.243000000000002</c:v>
                </c:pt>
                <c:pt idx="340">
                  <c:v>5.8209</c:v>
                </c:pt>
                <c:pt idx="341">
                  <c:v>4.7832999999999997</c:v>
                </c:pt>
                <c:pt idx="342">
                  <c:v>1.3665</c:v>
                </c:pt>
                <c:pt idx="343">
                  <c:v>-0.4919</c:v>
                </c:pt>
                <c:pt idx="344">
                  <c:v>61.4724</c:v>
                </c:pt>
                <c:pt idx="345">
                  <c:v>8.8705999999999996</c:v>
                </c:pt>
                <c:pt idx="346">
                  <c:v>35.248399999999997</c:v>
                </c:pt>
                <c:pt idx="347">
                  <c:v>1.3347</c:v>
                </c:pt>
                <c:pt idx="348">
                  <c:v>-2.7231999999999998</c:v>
                </c:pt>
                <c:pt idx="349">
                  <c:v>34.694200000000002</c:v>
                </c:pt>
                <c:pt idx="350">
                  <c:v>4.2352999999999996</c:v>
                </c:pt>
                <c:pt idx="351">
                  <c:v>7.9399999999999998E-2</c:v>
                </c:pt>
                <c:pt idx="352">
                  <c:v>36.433</c:v>
                </c:pt>
                <c:pt idx="353">
                  <c:v>11.296200000000001</c:v>
                </c:pt>
                <c:pt idx="354">
                  <c:v>-1.518</c:v>
                </c:pt>
                <c:pt idx="355">
                  <c:v>6.0674000000000001</c:v>
                </c:pt>
                <c:pt idx="356">
                  <c:v>10.3903</c:v>
                </c:pt>
                <c:pt idx="357">
                  <c:v>0.81530000000000002</c:v>
                </c:pt>
                <c:pt idx="358">
                  <c:v>-0.86760000000000004</c:v>
                </c:pt>
                <c:pt idx="359">
                  <c:v>19.6313</c:v>
                </c:pt>
                <c:pt idx="360">
                  <c:v>13.169700000000001</c:v>
                </c:pt>
                <c:pt idx="361">
                  <c:v>-7.46E-2</c:v>
                </c:pt>
                <c:pt idx="362">
                  <c:v>23.886600000000001</c:v>
                </c:pt>
                <c:pt idx="363">
                  <c:v>0.57779999999999998</c:v>
                </c:pt>
                <c:pt idx="364">
                  <c:v>2.9939</c:v>
                </c:pt>
                <c:pt idx="365">
                  <c:v>0.86319999999999997</c:v>
                </c:pt>
                <c:pt idx="366">
                  <c:v>46.597499999999997</c:v>
                </c:pt>
                <c:pt idx="367">
                  <c:v>15.056800000000001</c:v>
                </c:pt>
                <c:pt idx="368">
                  <c:v>6.5465</c:v>
                </c:pt>
                <c:pt idx="369">
                  <c:v>10.1686</c:v>
                </c:pt>
                <c:pt idx="370">
                  <c:v>8.2814999999999994</c:v>
                </c:pt>
                <c:pt idx="371">
                  <c:v>-2.5289999999999999</c:v>
                </c:pt>
                <c:pt idx="372">
                  <c:v>0.62729999999999997</c:v>
                </c:pt>
                <c:pt idx="373">
                  <c:v>-4.9599999999999998E-2</c:v>
                </c:pt>
                <c:pt idx="374">
                  <c:v>15.3148</c:v>
                </c:pt>
                <c:pt idx="375">
                  <c:v>42.2194</c:v>
                </c:pt>
                <c:pt idx="376">
                  <c:v>1.4201999999999999</c:v>
                </c:pt>
                <c:pt idx="377">
                  <c:v>1.46</c:v>
                </c:pt>
                <c:pt idx="378">
                  <c:v>-1.9963</c:v>
                </c:pt>
                <c:pt idx="379">
                  <c:v>76.610200000000006</c:v>
                </c:pt>
                <c:pt idx="380">
                  <c:v>8.1318000000000001</c:v>
                </c:pt>
                <c:pt idx="381">
                  <c:v>0.69950000000000001</c:v>
                </c:pt>
                <c:pt idx="382">
                  <c:v>6.4799999999999996E-2</c:v>
                </c:pt>
                <c:pt idx="383">
                  <c:v>-0.66600000000000004</c:v>
                </c:pt>
                <c:pt idx="384">
                  <c:v>1.8304</c:v>
                </c:pt>
                <c:pt idx="385">
                  <c:v>-1.6205000000000001</c:v>
                </c:pt>
                <c:pt idx="386">
                  <c:v>24.7471</c:v>
                </c:pt>
                <c:pt idx="387">
                  <c:v>30.9635</c:v>
                </c:pt>
                <c:pt idx="388">
                  <c:v>-1.1197999999999999</c:v>
                </c:pt>
                <c:pt idx="389">
                  <c:v>0.45340000000000003</c:v>
                </c:pt>
                <c:pt idx="390">
                  <c:v>6.0496999999999996</c:v>
                </c:pt>
                <c:pt idx="391">
                  <c:v>16.429400000000001</c:v>
                </c:pt>
                <c:pt idx="392">
                  <c:v>-1.8696999999999999</c:v>
                </c:pt>
                <c:pt idx="393">
                  <c:v>0.76349999999999996</c:v>
                </c:pt>
                <c:pt idx="394">
                  <c:v>49.44</c:v>
                </c:pt>
                <c:pt idx="395">
                  <c:v>10.021800000000001</c:v>
                </c:pt>
                <c:pt idx="396">
                  <c:v>34.820599999999999</c:v>
                </c:pt>
                <c:pt idx="397">
                  <c:v>19.044699999999999</c:v>
                </c:pt>
                <c:pt idx="398">
                  <c:v>17.800599999999999</c:v>
                </c:pt>
                <c:pt idx="399">
                  <c:v>112.58499999999999</c:v>
                </c:pt>
                <c:pt idx="400">
                  <c:v>25.495100000000001</c:v>
                </c:pt>
                <c:pt idx="401">
                  <c:v>10.2675</c:v>
                </c:pt>
                <c:pt idx="402">
                  <c:v>14.6182</c:v>
                </c:pt>
                <c:pt idx="403">
                  <c:v>0.86309999999999998</c:v>
                </c:pt>
                <c:pt idx="404">
                  <c:v>2.7927</c:v>
                </c:pt>
                <c:pt idx="405">
                  <c:v>33.493099999999998</c:v>
                </c:pt>
                <c:pt idx="406">
                  <c:v>2.0629</c:v>
                </c:pt>
                <c:pt idx="407">
                  <c:v>30.053699999999999</c:v>
                </c:pt>
                <c:pt idx="408">
                  <c:v>0.10879999999999999</c:v>
                </c:pt>
                <c:pt idx="409">
                  <c:v>-1.6293</c:v>
                </c:pt>
                <c:pt idx="410">
                  <c:v>14.926600000000001</c:v>
                </c:pt>
                <c:pt idx="411">
                  <c:v>10.5741</c:v>
                </c:pt>
                <c:pt idx="412">
                  <c:v>26.7135</c:v>
                </c:pt>
                <c:pt idx="413">
                  <c:v>0.35899999999999999</c:v>
                </c:pt>
                <c:pt idx="414">
                  <c:v>18.0976</c:v>
                </c:pt>
                <c:pt idx="415">
                  <c:v>3.6406000000000001</c:v>
                </c:pt>
                <c:pt idx="416">
                  <c:v>1.1145</c:v>
                </c:pt>
                <c:pt idx="417">
                  <c:v>2.8894000000000002</c:v>
                </c:pt>
                <c:pt idx="418">
                  <c:v>-2.3969999999999998</c:v>
                </c:pt>
                <c:pt idx="419">
                  <c:v>28.889700000000001</c:v>
                </c:pt>
                <c:pt idx="420">
                  <c:v>48.449300000000001</c:v>
                </c:pt>
                <c:pt idx="421">
                  <c:v>0.64249999999999996</c:v>
                </c:pt>
                <c:pt idx="422">
                  <c:v>2.7864</c:v>
                </c:pt>
                <c:pt idx="423">
                  <c:v>5.1966000000000001</c:v>
                </c:pt>
                <c:pt idx="424">
                  <c:v>0.48799999999999999</c:v>
                </c:pt>
                <c:pt idx="425">
                  <c:v>-4.6692999999999998</c:v>
                </c:pt>
                <c:pt idx="426">
                  <c:v>-0.71230000000000004</c:v>
                </c:pt>
                <c:pt idx="427">
                  <c:v>18.7348</c:v>
                </c:pt>
                <c:pt idx="428">
                  <c:v>0.89429999999999998</c:v>
                </c:pt>
                <c:pt idx="429">
                  <c:v>16.392700000000001</c:v>
                </c:pt>
                <c:pt idx="430">
                  <c:v>17.093399999999999</c:v>
                </c:pt>
                <c:pt idx="431">
                  <c:v>3.1886000000000001</c:v>
                </c:pt>
                <c:pt idx="432">
                  <c:v>-2.2115</c:v>
                </c:pt>
                <c:pt idx="433">
                  <c:v>0.79959999999999998</c:v>
                </c:pt>
                <c:pt idx="434">
                  <c:v>-1.4055</c:v>
                </c:pt>
                <c:pt idx="435">
                  <c:v>-2.9081000000000001</c:v>
                </c:pt>
                <c:pt idx="436">
                  <c:v>62.373600000000003</c:v>
                </c:pt>
                <c:pt idx="437">
                  <c:v>32.902900000000002</c:v>
                </c:pt>
                <c:pt idx="438">
                  <c:v>1.2384999999999999</c:v>
                </c:pt>
                <c:pt idx="439">
                  <c:v>-1.6973</c:v>
                </c:pt>
                <c:pt idx="440">
                  <c:v>3.9744999999999999</c:v>
                </c:pt>
                <c:pt idx="441">
                  <c:v>60.626300000000001</c:v>
                </c:pt>
                <c:pt idx="442">
                  <c:v>41.688400000000001</c:v>
                </c:pt>
                <c:pt idx="443">
                  <c:v>27.128599999999999</c:v>
                </c:pt>
                <c:pt idx="444">
                  <c:v>1.7435</c:v>
                </c:pt>
                <c:pt idx="445">
                  <c:v>19.629899999999999</c:v>
                </c:pt>
                <c:pt idx="446">
                  <c:v>50.693100000000001</c:v>
                </c:pt>
                <c:pt idx="447">
                  <c:v>26.5367</c:v>
                </c:pt>
                <c:pt idx="448">
                  <c:v>72.506799999999998</c:v>
                </c:pt>
                <c:pt idx="449">
                  <c:v>5.5735000000000001</c:v>
                </c:pt>
                <c:pt idx="450">
                  <c:v>0.12230000000000001</c:v>
                </c:pt>
                <c:pt idx="451">
                  <c:v>0.93569999999999998</c:v>
                </c:pt>
                <c:pt idx="452">
                  <c:v>0.50539999999999996</c:v>
                </c:pt>
                <c:pt idx="453">
                  <c:v>8.2194000000000003</c:v>
                </c:pt>
                <c:pt idx="454">
                  <c:v>-5.8599999999999999E-2</c:v>
                </c:pt>
                <c:pt idx="455">
                  <c:v>5.7153</c:v>
                </c:pt>
                <c:pt idx="456">
                  <c:v>-5.8599999999999999E-2</c:v>
                </c:pt>
                <c:pt idx="457">
                  <c:v>-1.1839999999999999</c:v>
                </c:pt>
                <c:pt idx="458">
                  <c:v>62.648600000000002</c:v>
                </c:pt>
                <c:pt idx="459">
                  <c:v>27.107600000000001</c:v>
                </c:pt>
                <c:pt idx="460">
                  <c:v>-0.46650000000000003</c:v>
                </c:pt>
                <c:pt idx="461">
                  <c:v>7.2495000000000003</c:v>
                </c:pt>
                <c:pt idx="462">
                  <c:v>12.6267</c:v>
                </c:pt>
                <c:pt idx="463">
                  <c:v>14.464499999999999</c:v>
                </c:pt>
                <c:pt idx="464">
                  <c:v>-0.84360000000000002</c:v>
                </c:pt>
                <c:pt idx="465">
                  <c:v>0.71419999999999995</c:v>
                </c:pt>
                <c:pt idx="466">
                  <c:v>-2.1204000000000001</c:v>
                </c:pt>
                <c:pt idx="467">
                  <c:v>-0.54459999999999997</c:v>
                </c:pt>
                <c:pt idx="468">
                  <c:v>-1.3615999999999999</c:v>
                </c:pt>
                <c:pt idx="469">
                  <c:v>6.8209999999999997</c:v>
                </c:pt>
                <c:pt idx="470">
                  <c:v>1.2314000000000001</c:v>
                </c:pt>
                <c:pt idx="471">
                  <c:v>-1.7241</c:v>
                </c:pt>
                <c:pt idx="472">
                  <c:v>42.9101</c:v>
                </c:pt>
                <c:pt idx="473">
                  <c:v>4.5132000000000003</c:v>
                </c:pt>
                <c:pt idx="474">
                  <c:v>11.9207</c:v>
                </c:pt>
                <c:pt idx="475">
                  <c:v>0.42099999999999999</c:v>
                </c:pt>
                <c:pt idx="476">
                  <c:v>23.268599999999999</c:v>
                </c:pt>
                <c:pt idx="477">
                  <c:v>12.921099999999999</c:v>
                </c:pt>
                <c:pt idx="478">
                  <c:v>-0.91559999999999997</c:v>
                </c:pt>
                <c:pt idx="479">
                  <c:v>9.6600000000000005E-2</c:v>
                </c:pt>
                <c:pt idx="480">
                  <c:v>-4.1799999999999997E-2</c:v>
                </c:pt>
                <c:pt idx="481">
                  <c:v>54.7288</c:v>
                </c:pt>
                <c:pt idx="482">
                  <c:v>1.9184000000000001</c:v>
                </c:pt>
                <c:pt idx="483">
                  <c:v>44.202199999999998</c:v>
                </c:pt>
                <c:pt idx="484">
                  <c:v>13.8119</c:v>
                </c:pt>
                <c:pt idx="485">
                  <c:v>41.214100000000002</c:v>
                </c:pt>
                <c:pt idx="486">
                  <c:v>-1.7504</c:v>
                </c:pt>
                <c:pt idx="487">
                  <c:v>45.750300000000003</c:v>
                </c:pt>
                <c:pt idx="488">
                  <c:v>59.412700000000001</c:v>
                </c:pt>
                <c:pt idx="489">
                  <c:v>43.615200000000002</c:v>
                </c:pt>
                <c:pt idx="490">
                  <c:v>6.3701999999999996</c:v>
                </c:pt>
                <c:pt idx="491">
                  <c:v>21.376000000000001</c:v>
                </c:pt>
                <c:pt idx="492">
                  <c:v>100.0686</c:v>
                </c:pt>
                <c:pt idx="493">
                  <c:v>-0.62849999999999995</c:v>
                </c:pt>
                <c:pt idx="494">
                  <c:v>8.1602999999999994</c:v>
                </c:pt>
                <c:pt idx="495">
                  <c:v>9.8529999999999998</c:v>
                </c:pt>
                <c:pt idx="496">
                  <c:v>17.226299999999998</c:v>
                </c:pt>
                <c:pt idx="497">
                  <c:v>18.608000000000001</c:v>
                </c:pt>
                <c:pt idx="498">
                  <c:v>22.44</c:v>
                </c:pt>
                <c:pt idx="499">
                  <c:v>12.6572</c:v>
                </c:pt>
                <c:pt idx="500">
                  <c:v>5.6501000000000001</c:v>
                </c:pt>
                <c:pt idx="501">
                  <c:v>17.3551</c:v>
                </c:pt>
                <c:pt idx="502">
                  <c:v>59.645000000000003</c:v>
                </c:pt>
                <c:pt idx="503">
                  <c:v>-1.4717</c:v>
                </c:pt>
                <c:pt idx="504">
                  <c:v>66.064599999999999</c:v>
                </c:pt>
                <c:pt idx="505">
                  <c:v>1.4722999999999999</c:v>
                </c:pt>
                <c:pt idx="506">
                  <c:v>20.319800000000001</c:v>
                </c:pt>
                <c:pt idx="507">
                  <c:v>1.0075000000000001</c:v>
                </c:pt>
                <c:pt idx="508">
                  <c:v>12.898199999999999</c:v>
                </c:pt>
                <c:pt idx="509">
                  <c:v>2.7351000000000001</c:v>
                </c:pt>
                <c:pt idx="510">
                  <c:v>6.2047999999999996</c:v>
                </c:pt>
                <c:pt idx="511">
                  <c:v>-8.7499999999999994E-2</c:v>
                </c:pt>
                <c:pt idx="512">
                  <c:v>12.612</c:v>
                </c:pt>
                <c:pt idx="513">
                  <c:v>102.01519999999999</c:v>
                </c:pt>
                <c:pt idx="514">
                  <c:v>1.4112</c:v>
                </c:pt>
                <c:pt idx="515">
                  <c:v>0.94810000000000005</c:v>
                </c:pt>
                <c:pt idx="516">
                  <c:v>3.7463000000000002</c:v>
                </c:pt>
                <c:pt idx="517">
                  <c:v>20.895199999999999</c:v>
                </c:pt>
                <c:pt idx="518">
                  <c:v>-8.6499999999999994E-2</c:v>
                </c:pt>
                <c:pt idx="519">
                  <c:v>-0.93010000000000004</c:v>
                </c:pt>
                <c:pt idx="520">
                  <c:v>11.866099999999999</c:v>
                </c:pt>
                <c:pt idx="521">
                  <c:v>91.2483</c:v>
                </c:pt>
                <c:pt idx="522">
                  <c:v>38.207299999999996</c:v>
                </c:pt>
                <c:pt idx="523">
                  <c:v>10.504</c:v>
                </c:pt>
                <c:pt idx="524">
                  <c:v>8.6719000000000008</c:v>
                </c:pt>
                <c:pt idx="525">
                  <c:v>-0.62060000000000004</c:v>
                </c:pt>
                <c:pt idx="526">
                  <c:v>13.4956</c:v>
                </c:pt>
                <c:pt idx="527">
                  <c:v>0.16109999999999999</c:v>
                </c:pt>
                <c:pt idx="528">
                  <c:v>0.65169999999999995</c:v>
                </c:pt>
                <c:pt idx="529">
                  <c:v>3.4354</c:v>
                </c:pt>
                <c:pt idx="530">
                  <c:v>2.5628000000000002</c:v>
                </c:pt>
                <c:pt idx="531">
                  <c:v>16.7105</c:v>
                </c:pt>
                <c:pt idx="532">
                  <c:v>54.740099999999998</c:v>
                </c:pt>
                <c:pt idx="533">
                  <c:v>63.629600000000003</c:v>
                </c:pt>
                <c:pt idx="534">
                  <c:v>-1.7881</c:v>
                </c:pt>
                <c:pt idx="535">
                  <c:v>1.0305</c:v>
                </c:pt>
                <c:pt idx="536">
                  <c:v>-2.0499999999999998</c:v>
                </c:pt>
                <c:pt idx="537">
                  <c:v>-0.41160000000000002</c:v>
                </c:pt>
                <c:pt idx="538">
                  <c:v>22.792400000000001</c:v>
                </c:pt>
                <c:pt idx="539">
                  <c:v>33.158200000000001</c:v>
                </c:pt>
                <c:pt idx="540">
                  <c:v>47.388500000000001</c:v>
                </c:pt>
                <c:pt idx="541">
                  <c:v>2.5215000000000001</c:v>
                </c:pt>
                <c:pt idx="542">
                  <c:v>11.508599999999999</c:v>
                </c:pt>
                <c:pt idx="543">
                  <c:v>5.5269000000000004</c:v>
                </c:pt>
                <c:pt idx="544">
                  <c:v>7.4946999999999999</c:v>
                </c:pt>
                <c:pt idx="545">
                  <c:v>3.0007999999999999</c:v>
                </c:pt>
                <c:pt idx="546">
                  <c:v>-3.36</c:v>
                </c:pt>
                <c:pt idx="547">
                  <c:v>0.37640000000000001</c:v>
                </c:pt>
                <c:pt idx="548">
                  <c:v>12.5036</c:v>
                </c:pt>
                <c:pt idx="549">
                  <c:v>5.5928000000000004</c:v>
                </c:pt>
                <c:pt idx="550">
                  <c:v>7.1847000000000003</c:v>
                </c:pt>
                <c:pt idx="551">
                  <c:v>29.2987</c:v>
                </c:pt>
                <c:pt idx="552">
                  <c:v>30.653300000000002</c:v>
                </c:pt>
                <c:pt idx="553">
                  <c:v>22.5243</c:v>
                </c:pt>
                <c:pt idx="554">
                  <c:v>1.8483000000000001</c:v>
                </c:pt>
                <c:pt idx="555">
                  <c:v>-1.9330000000000001</c:v>
                </c:pt>
                <c:pt idx="556">
                  <c:v>37.167099999999998</c:v>
                </c:pt>
                <c:pt idx="557">
                  <c:v>0.53979999999999995</c:v>
                </c:pt>
                <c:pt idx="558">
                  <c:v>11.323700000000001</c:v>
                </c:pt>
                <c:pt idx="559">
                  <c:v>-1.1980999999999999</c:v>
                </c:pt>
                <c:pt idx="560">
                  <c:v>-0.97130000000000005</c:v>
                </c:pt>
                <c:pt idx="561">
                  <c:v>5.5659999999999998</c:v>
                </c:pt>
                <c:pt idx="562">
                  <c:v>38.171500000000002</c:v>
                </c:pt>
                <c:pt idx="563">
                  <c:v>2.7699999999999999E-2</c:v>
                </c:pt>
                <c:pt idx="564">
                  <c:v>3.5407000000000002</c:v>
                </c:pt>
                <c:pt idx="565">
                  <c:v>55.207999999999998</c:v>
                </c:pt>
                <c:pt idx="566">
                  <c:v>-1.5109999999999999</c:v>
                </c:pt>
                <c:pt idx="567">
                  <c:v>15.3142</c:v>
                </c:pt>
                <c:pt idx="568">
                  <c:v>-1.0457000000000001</c:v>
                </c:pt>
                <c:pt idx="569">
                  <c:v>12.330500000000001</c:v>
                </c:pt>
                <c:pt idx="570">
                  <c:v>34.132800000000003</c:v>
                </c:pt>
                <c:pt idx="571">
                  <c:v>68.091700000000003</c:v>
                </c:pt>
                <c:pt idx="572">
                  <c:v>6.4150999999999998</c:v>
                </c:pt>
                <c:pt idx="573">
                  <c:v>71.936700000000002</c:v>
                </c:pt>
                <c:pt idx="574">
                  <c:v>2.8736999999999999</c:v>
                </c:pt>
                <c:pt idx="575">
                  <c:v>3.7826</c:v>
                </c:pt>
                <c:pt idx="576">
                  <c:v>16.381799999999998</c:v>
                </c:pt>
                <c:pt idx="577">
                  <c:v>1.9374</c:v>
                </c:pt>
                <c:pt idx="578">
                  <c:v>2.7309999999999999</c:v>
                </c:pt>
                <c:pt idx="579">
                  <c:v>-2.6602999999999999</c:v>
                </c:pt>
                <c:pt idx="580">
                  <c:v>5.3552999999999997</c:v>
                </c:pt>
                <c:pt idx="581">
                  <c:v>1.8529</c:v>
                </c:pt>
                <c:pt idx="582">
                  <c:v>2.7229000000000001</c:v>
                </c:pt>
                <c:pt idx="583">
                  <c:v>2.9270999999999998</c:v>
                </c:pt>
                <c:pt idx="584">
                  <c:v>7.5819000000000001</c:v>
                </c:pt>
                <c:pt idx="585">
                  <c:v>15.9754</c:v>
                </c:pt>
                <c:pt idx="586">
                  <c:v>2.8656000000000001</c:v>
                </c:pt>
                <c:pt idx="587">
                  <c:v>24.864699999999999</c:v>
                </c:pt>
                <c:pt idx="588">
                  <c:v>-4.6231999999999998</c:v>
                </c:pt>
                <c:pt idx="589">
                  <c:v>0.39040000000000002</c:v>
                </c:pt>
                <c:pt idx="590">
                  <c:v>0.48220000000000002</c:v>
                </c:pt>
                <c:pt idx="591">
                  <c:v>2.786</c:v>
                </c:pt>
                <c:pt idx="592">
                  <c:v>0.35830000000000001</c:v>
                </c:pt>
                <c:pt idx="593">
                  <c:v>20.860199999999999</c:v>
                </c:pt>
                <c:pt idx="594">
                  <c:v>19.732500000000002</c:v>
                </c:pt>
                <c:pt idx="595">
                  <c:v>13.276899999999999</c:v>
                </c:pt>
                <c:pt idx="596">
                  <c:v>1.2178</c:v>
                </c:pt>
                <c:pt idx="597">
                  <c:v>19.0639</c:v>
                </c:pt>
                <c:pt idx="598">
                  <c:v>-1.74</c:v>
                </c:pt>
                <c:pt idx="599">
                  <c:v>12.2319</c:v>
                </c:pt>
                <c:pt idx="600">
                  <c:v>22.275700000000001</c:v>
                </c:pt>
                <c:pt idx="601">
                  <c:v>42.734699999999997</c:v>
                </c:pt>
                <c:pt idx="602">
                  <c:v>6.6341000000000001</c:v>
                </c:pt>
                <c:pt idx="603">
                  <c:v>29.036899999999999</c:v>
                </c:pt>
                <c:pt idx="604">
                  <c:v>26.4053</c:v>
                </c:pt>
                <c:pt idx="605">
                  <c:v>16.6982</c:v>
                </c:pt>
                <c:pt idx="606">
                  <c:v>0.1124</c:v>
                </c:pt>
                <c:pt idx="607">
                  <c:v>-1.619</c:v>
                </c:pt>
                <c:pt idx="608">
                  <c:v>1.337</c:v>
                </c:pt>
                <c:pt idx="609">
                  <c:v>2.9392999999999998</c:v>
                </c:pt>
                <c:pt idx="610">
                  <c:v>-0.51580000000000004</c:v>
                </c:pt>
                <c:pt idx="611">
                  <c:v>0.57840000000000003</c:v>
                </c:pt>
                <c:pt idx="612">
                  <c:v>0.96360000000000001</c:v>
                </c:pt>
                <c:pt idx="613">
                  <c:v>20.483899999999998</c:v>
                </c:pt>
                <c:pt idx="614">
                  <c:v>1.7857000000000001</c:v>
                </c:pt>
                <c:pt idx="615">
                  <c:v>-0.45729999999999998</c:v>
                </c:pt>
                <c:pt idx="616">
                  <c:v>-1.3777999999999999</c:v>
                </c:pt>
                <c:pt idx="617">
                  <c:v>79.936000000000007</c:v>
                </c:pt>
                <c:pt idx="618">
                  <c:v>1.8815999999999999</c:v>
                </c:pt>
                <c:pt idx="619">
                  <c:v>34.280999999999999</c:v>
                </c:pt>
                <c:pt idx="620">
                  <c:v>8.5444999999999993</c:v>
                </c:pt>
                <c:pt idx="621">
                  <c:v>-1.4216</c:v>
                </c:pt>
                <c:pt idx="622">
                  <c:v>24.155799999999999</c:v>
                </c:pt>
                <c:pt idx="623">
                  <c:v>27.1952</c:v>
                </c:pt>
                <c:pt idx="624">
                  <c:v>-2.4323000000000001</c:v>
                </c:pt>
                <c:pt idx="625">
                  <c:v>4.1195000000000004</c:v>
                </c:pt>
                <c:pt idx="626">
                  <c:v>37.126399999999997</c:v>
                </c:pt>
                <c:pt idx="627">
                  <c:v>42.862099999999998</c:v>
                </c:pt>
                <c:pt idx="628">
                  <c:v>5.7957999999999998</c:v>
                </c:pt>
                <c:pt idx="629">
                  <c:v>0.53820000000000001</c:v>
                </c:pt>
                <c:pt idx="630">
                  <c:v>1.7704</c:v>
                </c:pt>
                <c:pt idx="631">
                  <c:v>6.5141999999999998</c:v>
                </c:pt>
                <c:pt idx="632">
                  <c:v>24.825299999999999</c:v>
                </c:pt>
                <c:pt idx="633">
                  <c:v>1.5829</c:v>
                </c:pt>
                <c:pt idx="634">
                  <c:v>-0.21249999999999999</c:v>
                </c:pt>
                <c:pt idx="635">
                  <c:v>-0.72719999999999996</c:v>
                </c:pt>
                <c:pt idx="636">
                  <c:v>3.0497000000000001</c:v>
                </c:pt>
                <c:pt idx="637">
                  <c:v>10.716799999999999</c:v>
                </c:pt>
                <c:pt idx="638">
                  <c:v>2.2557999999999998</c:v>
                </c:pt>
                <c:pt idx="639">
                  <c:v>-0.75880000000000003</c:v>
                </c:pt>
                <c:pt idx="640">
                  <c:v>-2.0185</c:v>
                </c:pt>
                <c:pt idx="641">
                  <c:v>0.27100000000000002</c:v>
                </c:pt>
                <c:pt idx="642">
                  <c:v>-1.4648000000000001</c:v>
                </c:pt>
                <c:pt idx="643">
                  <c:v>-0.34970000000000001</c:v>
                </c:pt>
                <c:pt idx="644">
                  <c:v>-0.30530000000000002</c:v>
                </c:pt>
                <c:pt idx="645">
                  <c:v>-0.65620000000000001</c:v>
                </c:pt>
                <c:pt idx="646">
                  <c:v>4.1210000000000004</c:v>
                </c:pt>
                <c:pt idx="647">
                  <c:v>39.572499999999998</c:v>
                </c:pt>
                <c:pt idx="648">
                  <c:v>23.028600000000001</c:v>
                </c:pt>
                <c:pt idx="649">
                  <c:v>3.9152</c:v>
                </c:pt>
                <c:pt idx="650">
                  <c:v>1.6597999999999999</c:v>
                </c:pt>
                <c:pt idx="651">
                  <c:v>0.3715</c:v>
                </c:pt>
                <c:pt idx="652">
                  <c:v>20.5854</c:v>
                </c:pt>
                <c:pt idx="653">
                  <c:v>0.1004</c:v>
                </c:pt>
                <c:pt idx="654">
                  <c:v>16.2302</c:v>
                </c:pt>
                <c:pt idx="655">
                  <c:v>0.80730000000000002</c:v>
                </c:pt>
                <c:pt idx="656">
                  <c:v>3.3973</c:v>
                </c:pt>
                <c:pt idx="657">
                  <c:v>7.1228999999999996</c:v>
                </c:pt>
                <c:pt idx="658">
                  <c:v>-5.7759</c:v>
                </c:pt>
                <c:pt idx="659">
                  <c:v>-0.33789999999999998</c:v>
                </c:pt>
                <c:pt idx="660">
                  <c:v>7.4237000000000002</c:v>
                </c:pt>
                <c:pt idx="661">
                  <c:v>2.6602999999999999</c:v>
                </c:pt>
                <c:pt idx="662">
                  <c:v>2.7282999999999999</c:v>
                </c:pt>
                <c:pt idx="663">
                  <c:v>2.9552999999999998</c:v>
                </c:pt>
                <c:pt idx="664">
                  <c:v>6.1660000000000004</c:v>
                </c:pt>
                <c:pt idx="665">
                  <c:v>3.5771000000000002</c:v>
                </c:pt>
                <c:pt idx="666">
                  <c:v>0.59530000000000005</c:v>
                </c:pt>
                <c:pt idx="667">
                  <c:v>-2.4474999999999998</c:v>
                </c:pt>
                <c:pt idx="668">
                  <c:v>37.391500000000001</c:v>
                </c:pt>
                <c:pt idx="669">
                  <c:v>-0.66290000000000004</c:v>
                </c:pt>
                <c:pt idx="670">
                  <c:v>7.0034999999999998</c:v>
                </c:pt>
                <c:pt idx="671">
                  <c:v>71.509600000000006</c:v>
                </c:pt>
                <c:pt idx="672">
                  <c:v>-0.65490000000000004</c:v>
                </c:pt>
                <c:pt idx="673">
                  <c:v>0.42870000000000003</c:v>
                </c:pt>
                <c:pt idx="674">
                  <c:v>14.7737</c:v>
                </c:pt>
                <c:pt idx="675">
                  <c:v>2.3755999999999999</c:v>
                </c:pt>
                <c:pt idx="676">
                  <c:v>2.3753000000000002</c:v>
                </c:pt>
                <c:pt idx="677">
                  <c:v>-0.87770000000000004</c:v>
                </c:pt>
                <c:pt idx="678">
                  <c:v>0.2114</c:v>
                </c:pt>
                <c:pt idx="679">
                  <c:v>51.297800000000002</c:v>
                </c:pt>
                <c:pt idx="680">
                  <c:v>-2.3111999999999999</c:v>
                </c:pt>
                <c:pt idx="681">
                  <c:v>1.4671000000000001</c:v>
                </c:pt>
                <c:pt idx="682">
                  <c:v>17.375399999999999</c:v>
                </c:pt>
                <c:pt idx="683">
                  <c:v>28.0322</c:v>
                </c:pt>
                <c:pt idx="684">
                  <c:v>4.5686999999999998</c:v>
                </c:pt>
                <c:pt idx="685">
                  <c:v>29.922000000000001</c:v>
                </c:pt>
                <c:pt idx="686">
                  <c:v>-0.79210000000000003</c:v>
                </c:pt>
                <c:pt idx="687">
                  <c:v>0.7218</c:v>
                </c:pt>
                <c:pt idx="688">
                  <c:v>0.64759999999999995</c:v>
                </c:pt>
                <c:pt idx="689">
                  <c:v>6.1097000000000001</c:v>
                </c:pt>
                <c:pt idx="690">
                  <c:v>-1.7977000000000001</c:v>
                </c:pt>
                <c:pt idx="691">
                  <c:v>18.8003</c:v>
                </c:pt>
                <c:pt idx="692">
                  <c:v>-1.8922000000000001</c:v>
                </c:pt>
                <c:pt idx="693">
                  <c:v>-6.7582000000000004</c:v>
                </c:pt>
                <c:pt idx="694">
                  <c:v>21.360399999999998</c:v>
                </c:pt>
                <c:pt idx="695">
                  <c:v>28.191400000000002</c:v>
                </c:pt>
                <c:pt idx="696">
                  <c:v>-1.4457</c:v>
                </c:pt>
                <c:pt idx="697">
                  <c:v>1.4359</c:v>
                </c:pt>
                <c:pt idx="698">
                  <c:v>4.8056000000000001</c:v>
                </c:pt>
                <c:pt idx="699">
                  <c:v>55.216999999999999</c:v>
                </c:pt>
                <c:pt idx="700">
                  <c:v>60.2928</c:v>
                </c:pt>
                <c:pt idx="701">
                  <c:v>2.0207999999999999</c:v>
                </c:pt>
                <c:pt idx="702">
                  <c:v>39.357799999999997</c:v>
                </c:pt>
                <c:pt idx="703">
                  <c:v>-3.3942000000000001</c:v>
                </c:pt>
                <c:pt idx="704">
                  <c:v>2.9596</c:v>
                </c:pt>
                <c:pt idx="705">
                  <c:v>48.488199999999999</c:v>
                </c:pt>
                <c:pt idx="706">
                  <c:v>-5.1999999999999998E-3</c:v>
                </c:pt>
                <c:pt idx="707">
                  <c:v>1.2663</c:v>
                </c:pt>
                <c:pt idx="708">
                  <c:v>12.3987</c:v>
                </c:pt>
                <c:pt idx="709">
                  <c:v>-0.1341</c:v>
                </c:pt>
                <c:pt idx="710">
                  <c:v>0.99990000000000001</c:v>
                </c:pt>
                <c:pt idx="711">
                  <c:v>4.7731000000000003</c:v>
                </c:pt>
                <c:pt idx="712">
                  <c:v>8.1171000000000006</c:v>
                </c:pt>
                <c:pt idx="713">
                  <c:v>0.80189999999999995</c:v>
                </c:pt>
                <c:pt idx="714">
                  <c:v>2.0158</c:v>
                </c:pt>
                <c:pt idx="715">
                  <c:v>28.763999999999999</c:v>
                </c:pt>
                <c:pt idx="716">
                  <c:v>33.624299999999998</c:v>
                </c:pt>
                <c:pt idx="717">
                  <c:v>4.8634000000000004</c:v>
                </c:pt>
                <c:pt idx="718">
                  <c:v>25.550799999999999</c:v>
                </c:pt>
                <c:pt idx="719">
                  <c:v>15.7342</c:v>
                </c:pt>
                <c:pt idx="720">
                  <c:v>15.664199999999999</c:v>
                </c:pt>
                <c:pt idx="721">
                  <c:v>4.0778999999999996</c:v>
                </c:pt>
                <c:pt idx="722">
                  <c:v>-0.8669</c:v>
                </c:pt>
                <c:pt idx="723">
                  <c:v>8.6471999999999998</c:v>
                </c:pt>
                <c:pt idx="724">
                  <c:v>1.7910999999999999</c:v>
                </c:pt>
                <c:pt idx="725">
                  <c:v>24.755800000000001</c:v>
                </c:pt>
                <c:pt idx="726">
                  <c:v>0.44090000000000001</c:v>
                </c:pt>
                <c:pt idx="727">
                  <c:v>-0.68820000000000003</c:v>
                </c:pt>
                <c:pt idx="728">
                  <c:v>1.4719</c:v>
                </c:pt>
                <c:pt idx="729">
                  <c:v>3.5474000000000001</c:v>
                </c:pt>
                <c:pt idx="730">
                  <c:v>49.084800000000001</c:v>
                </c:pt>
                <c:pt idx="731">
                  <c:v>0.4007</c:v>
                </c:pt>
                <c:pt idx="732">
                  <c:v>13.8621</c:v>
                </c:pt>
                <c:pt idx="733">
                  <c:v>5.5260999999999996</c:v>
                </c:pt>
                <c:pt idx="734">
                  <c:v>7.8326000000000002</c:v>
                </c:pt>
                <c:pt idx="735">
                  <c:v>1.9762</c:v>
                </c:pt>
                <c:pt idx="736">
                  <c:v>3.8100000000000002E-2</c:v>
                </c:pt>
                <c:pt idx="737">
                  <c:v>2.2519</c:v>
                </c:pt>
                <c:pt idx="738">
                  <c:v>2.9801000000000002</c:v>
                </c:pt>
                <c:pt idx="739">
                  <c:v>-1.6166</c:v>
                </c:pt>
                <c:pt idx="740">
                  <c:v>23.845800000000001</c:v>
                </c:pt>
                <c:pt idx="741">
                  <c:v>9.1707999999999998</c:v>
                </c:pt>
                <c:pt idx="742">
                  <c:v>-7.8E-2</c:v>
                </c:pt>
                <c:pt idx="743">
                  <c:v>-1.3347</c:v>
                </c:pt>
                <c:pt idx="744">
                  <c:v>2.0621999999999998</c:v>
                </c:pt>
                <c:pt idx="745">
                  <c:v>0.2792</c:v>
                </c:pt>
                <c:pt idx="746">
                  <c:v>-0.80559999999999998</c:v>
                </c:pt>
                <c:pt idx="747">
                  <c:v>-4.7526999999999999</c:v>
                </c:pt>
                <c:pt idx="748">
                  <c:v>-0.89229999999999998</c:v>
                </c:pt>
                <c:pt idx="749">
                  <c:v>5.5801999999999996</c:v>
                </c:pt>
                <c:pt idx="750">
                  <c:v>-1.921</c:v>
                </c:pt>
                <c:pt idx="751">
                  <c:v>2.5396999999999998</c:v>
                </c:pt>
                <c:pt idx="752">
                  <c:v>28.273099999999999</c:v>
                </c:pt>
                <c:pt idx="753">
                  <c:v>-2.8083999999999998</c:v>
                </c:pt>
                <c:pt idx="754">
                  <c:v>-0.22739999999999999</c:v>
                </c:pt>
                <c:pt idx="755">
                  <c:v>36.761800000000001</c:v>
                </c:pt>
                <c:pt idx="756">
                  <c:v>-1.0884</c:v>
                </c:pt>
                <c:pt idx="757">
                  <c:v>4.0606</c:v>
                </c:pt>
                <c:pt idx="758">
                  <c:v>17.969899999999999</c:v>
                </c:pt>
                <c:pt idx="759">
                  <c:v>2.2216</c:v>
                </c:pt>
                <c:pt idx="760">
                  <c:v>-1.3878999999999999</c:v>
                </c:pt>
                <c:pt idx="761">
                  <c:v>-1.7221</c:v>
                </c:pt>
                <c:pt idx="762">
                  <c:v>2.5323000000000002</c:v>
                </c:pt>
                <c:pt idx="763">
                  <c:v>-2.01E-2</c:v>
                </c:pt>
                <c:pt idx="764">
                  <c:v>100.877</c:v>
                </c:pt>
                <c:pt idx="765">
                  <c:v>-0.1507</c:v>
                </c:pt>
                <c:pt idx="766">
                  <c:v>-0.42830000000000001</c:v>
                </c:pt>
                <c:pt idx="767">
                  <c:v>29.355899999999998</c:v>
                </c:pt>
                <c:pt idx="768">
                  <c:v>30.043900000000001</c:v>
                </c:pt>
                <c:pt idx="769">
                  <c:v>-2.6613000000000002</c:v>
                </c:pt>
                <c:pt idx="770">
                  <c:v>0.1053</c:v>
                </c:pt>
                <c:pt idx="771">
                  <c:v>1.9555</c:v>
                </c:pt>
                <c:pt idx="772">
                  <c:v>24.237500000000001</c:v>
                </c:pt>
                <c:pt idx="773">
                  <c:v>4.6759000000000004</c:v>
                </c:pt>
                <c:pt idx="774">
                  <c:v>49.129800000000003</c:v>
                </c:pt>
                <c:pt idx="775">
                  <c:v>-1.6997</c:v>
                </c:pt>
                <c:pt idx="776">
                  <c:v>54.247300000000003</c:v>
                </c:pt>
                <c:pt idx="777">
                  <c:v>2.1391</c:v>
                </c:pt>
                <c:pt idx="778">
                  <c:v>-0.83130000000000004</c:v>
                </c:pt>
                <c:pt idx="779">
                  <c:v>71.421999999999997</c:v>
                </c:pt>
                <c:pt idx="780">
                  <c:v>-0.93020000000000003</c:v>
                </c:pt>
                <c:pt idx="781">
                  <c:v>-0.51170000000000004</c:v>
                </c:pt>
                <c:pt idx="782">
                  <c:v>-0.1118</c:v>
                </c:pt>
                <c:pt idx="783">
                  <c:v>8.6803000000000008</c:v>
                </c:pt>
                <c:pt idx="784">
                  <c:v>-0.1762</c:v>
                </c:pt>
                <c:pt idx="785">
                  <c:v>29.171600000000002</c:v>
                </c:pt>
                <c:pt idx="786">
                  <c:v>-2.7241</c:v>
                </c:pt>
                <c:pt idx="787">
                  <c:v>25.1128</c:v>
                </c:pt>
                <c:pt idx="788">
                  <c:v>8.9024000000000001</c:v>
                </c:pt>
                <c:pt idx="789">
                  <c:v>7.5857000000000001</c:v>
                </c:pt>
                <c:pt idx="790">
                  <c:v>17.0779</c:v>
                </c:pt>
                <c:pt idx="791">
                  <c:v>20.2849</c:v>
                </c:pt>
                <c:pt idx="792">
                  <c:v>6.0597000000000003</c:v>
                </c:pt>
                <c:pt idx="793">
                  <c:v>0.57599999999999996</c:v>
                </c:pt>
                <c:pt idx="794">
                  <c:v>-3.6657000000000002</c:v>
                </c:pt>
                <c:pt idx="795">
                  <c:v>3.2402000000000002</c:v>
                </c:pt>
                <c:pt idx="796">
                  <c:v>1.0996999999999999</c:v>
                </c:pt>
                <c:pt idx="797">
                  <c:v>3.2818999999999998</c:v>
                </c:pt>
                <c:pt idx="798">
                  <c:v>26.657800000000002</c:v>
                </c:pt>
                <c:pt idx="799">
                  <c:v>-0.17549999999999999</c:v>
                </c:pt>
                <c:pt idx="800">
                  <c:v>1.2867</c:v>
                </c:pt>
                <c:pt idx="801">
                  <c:v>-0.4965</c:v>
                </c:pt>
                <c:pt idx="802">
                  <c:v>9.2739999999999991</c:v>
                </c:pt>
                <c:pt idx="803">
                  <c:v>1.9281999999999999</c:v>
                </c:pt>
                <c:pt idx="804">
                  <c:v>4.3129999999999997</c:v>
                </c:pt>
                <c:pt idx="805">
                  <c:v>0.2475</c:v>
                </c:pt>
                <c:pt idx="806">
                  <c:v>-1.6083000000000001</c:v>
                </c:pt>
                <c:pt idx="807">
                  <c:v>2.0808</c:v>
                </c:pt>
                <c:pt idx="808">
                  <c:v>-0.21809999999999999</c:v>
                </c:pt>
                <c:pt idx="809">
                  <c:v>53.261099999999999</c:v>
                </c:pt>
                <c:pt idx="810">
                  <c:v>1.4360999999999999</c:v>
                </c:pt>
                <c:pt idx="811">
                  <c:v>38.965000000000003</c:v>
                </c:pt>
                <c:pt idx="812">
                  <c:v>0.2752</c:v>
                </c:pt>
                <c:pt idx="813">
                  <c:v>-3.6198999999999999</c:v>
                </c:pt>
                <c:pt idx="814">
                  <c:v>-0.60560000000000003</c:v>
                </c:pt>
                <c:pt idx="815">
                  <c:v>1.6578999999999999</c:v>
                </c:pt>
                <c:pt idx="816">
                  <c:v>1.1137999999999999</c:v>
                </c:pt>
                <c:pt idx="817">
                  <c:v>78.444599999999994</c:v>
                </c:pt>
                <c:pt idx="818">
                  <c:v>46.96</c:v>
                </c:pt>
                <c:pt idx="819">
                  <c:v>1.6209</c:v>
                </c:pt>
                <c:pt idx="820">
                  <c:v>-1.0753999999999999</c:v>
                </c:pt>
                <c:pt idx="821">
                  <c:v>1.1257999999999999</c:v>
                </c:pt>
                <c:pt idx="822">
                  <c:v>54.097000000000001</c:v>
                </c:pt>
                <c:pt idx="823">
                  <c:v>34.509700000000002</c:v>
                </c:pt>
                <c:pt idx="824">
                  <c:v>0.16039999999999999</c:v>
                </c:pt>
                <c:pt idx="825">
                  <c:v>1.3801000000000001</c:v>
                </c:pt>
                <c:pt idx="826">
                  <c:v>19.3566</c:v>
                </c:pt>
                <c:pt idx="827">
                  <c:v>-2.9064999999999999</c:v>
                </c:pt>
                <c:pt idx="828">
                  <c:v>52.7301</c:v>
                </c:pt>
                <c:pt idx="829">
                  <c:v>-4.5438000000000001</c:v>
                </c:pt>
                <c:pt idx="830">
                  <c:v>62.168599999999998</c:v>
                </c:pt>
                <c:pt idx="831">
                  <c:v>0.80200000000000005</c:v>
                </c:pt>
                <c:pt idx="832">
                  <c:v>51.380800000000001</c:v>
                </c:pt>
                <c:pt idx="833">
                  <c:v>7.5660999999999996</c:v>
                </c:pt>
                <c:pt idx="834">
                  <c:v>1.6927000000000001</c:v>
                </c:pt>
                <c:pt idx="835">
                  <c:v>22.718800000000002</c:v>
                </c:pt>
                <c:pt idx="836">
                  <c:v>0.29060000000000002</c:v>
                </c:pt>
                <c:pt idx="837">
                  <c:v>-1.4285000000000001</c:v>
                </c:pt>
                <c:pt idx="838">
                  <c:v>13.607699999999999</c:v>
                </c:pt>
                <c:pt idx="839">
                  <c:v>3.6987000000000001</c:v>
                </c:pt>
                <c:pt idx="840">
                  <c:v>16.2865</c:v>
                </c:pt>
                <c:pt idx="841">
                  <c:v>-1.3431</c:v>
                </c:pt>
                <c:pt idx="842">
                  <c:v>19.331800000000001</c:v>
                </c:pt>
                <c:pt idx="843">
                  <c:v>30.3445</c:v>
                </c:pt>
                <c:pt idx="844">
                  <c:v>-1.5350999999999999</c:v>
                </c:pt>
                <c:pt idx="845">
                  <c:v>0.58850000000000002</c:v>
                </c:pt>
                <c:pt idx="846">
                  <c:v>41.511800000000001</c:v>
                </c:pt>
                <c:pt idx="847">
                  <c:v>0.1138</c:v>
                </c:pt>
                <c:pt idx="848">
                  <c:v>-4.1867000000000001</c:v>
                </c:pt>
                <c:pt idx="849">
                  <c:v>3.7473999999999998</c:v>
                </c:pt>
                <c:pt idx="850">
                  <c:v>15.2934</c:v>
                </c:pt>
                <c:pt idx="851">
                  <c:v>-0.18390000000000001</c:v>
                </c:pt>
                <c:pt idx="852">
                  <c:v>23.5182</c:v>
                </c:pt>
                <c:pt idx="853">
                  <c:v>1.2849999999999999</c:v>
                </c:pt>
                <c:pt idx="854">
                  <c:v>0.60560000000000003</c:v>
                </c:pt>
                <c:pt idx="855">
                  <c:v>1.4489000000000001</c:v>
                </c:pt>
                <c:pt idx="856">
                  <c:v>18.037800000000001</c:v>
                </c:pt>
                <c:pt idx="857">
                  <c:v>25.272300000000001</c:v>
                </c:pt>
                <c:pt idx="858">
                  <c:v>9.8839000000000006</c:v>
                </c:pt>
                <c:pt idx="859">
                  <c:v>23.179099999999998</c:v>
                </c:pt>
                <c:pt idx="860">
                  <c:v>-1.9346000000000001</c:v>
                </c:pt>
                <c:pt idx="861">
                  <c:v>1.3653</c:v>
                </c:pt>
                <c:pt idx="862">
                  <c:v>-0.30209999999999998</c:v>
                </c:pt>
                <c:pt idx="863">
                  <c:v>34.5518</c:v>
                </c:pt>
                <c:pt idx="864">
                  <c:v>-2.944</c:v>
                </c:pt>
                <c:pt idx="865">
                  <c:v>58.337000000000003</c:v>
                </c:pt>
                <c:pt idx="866">
                  <c:v>20.878799999999998</c:v>
                </c:pt>
                <c:pt idx="867">
                  <c:v>-2.1030000000000002</c:v>
                </c:pt>
                <c:pt idx="868">
                  <c:v>21.163499999999999</c:v>
                </c:pt>
                <c:pt idx="869">
                  <c:v>4.1329000000000002</c:v>
                </c:pt>
                <c:pt idx="870">
                  <c:v>28.968599999999999</c:v>
                </c:pt>
                <c:pt idx="871">
                  <c:v>4.4318999999999997</c:v>
                </c:pt>
                <c:pt idx="872">
                  <c:v>-1.0721000000000001</c:v>
                </c:pt>
                <c:pt idx="873">
                  <c:v>-5.16E-2</c:v>
                </c:pt>
                <c:pt idx="874">
                  <c:v>0.58699999999999997</c:v>
                </c:pt>
                <c:pt idx="875">
                  <c:v>7.1407999999999996</c:v>
                </c:pt>
                <c:pt idx="876">
                  <c:v>7.0774999999999997</c:v>
                </c:pt>
                <c:pt idx="877">
                  <c:v>-0.18729999999999999</c:v>
                </c:pt>
                <c:pt idx="878">
                  <c:v>87.449100000000001</c:v>
                </c:pt>
                <c:pt idx="879">
                  <c:v>-0.42280000000000001</c:v>
                </c:pt>
                <c:pt idx="880">
                  <c:v>49.081299999999999</c:v>
                </c:pt>
                <c:pt idx="881">
                  <c:v>17.0764</c:v>
                </c:pt>
                <c:pt idx="882">
                  <c:v>19.2666</c:v>
                </c:pt>
                <c:pt idx="883">
                  <c:v>59.520200000000003</c:v>
                </c:pt>
                <c:pt idx="884">
                  <c:v>-1.5693999999999999</c:v>
                </c:pt>
                <c:pt idx="885">
                  <c:v>17.427499999999998</c:v>
                </c:pt>
                <c:pt idx="886">
                  <c:v>37.191899999999997</c:v>
                </c:pt>
                <c:pt idx="887">
                  <c:v>1.9389000000000001</c:v>
                </c:pt>
                <c:pt idx="888">
                  <c:v>-3.3761999999999999</c:v>
                </c:pt>
                <c:pt idx="889">
                  <c:v>6.8765999999999998</c:v>
                </c:pt>
                <c:pt idx="890">
                  <c:v>51.243400000000001</c:v>
                </c:pt>
                <c:pt idx="891">
                  <c:v>1.5649</c:v>
                </c:pt>
                <c:pt idx="892">
                  <c:v>1.7798</c:v>
                </c:pt>
                <c:pt idx="893">
                  <c:v>21.428000000000001</c:v>
                </c:pt>
                <c:pt idx="894">
                  <c:v>48.379300000000001</c:v>
                </c:pt>
                <c:pt idx="895">
                  <c:v>55.143500000000003</c:v>
                </c:pt>
                <c:pt idx="896">
                  <c:v>9.1961999999999993</c:v>
                </c:pt>
                <c:pt idx="897">
                  <c:v>19.688099999999999</c:v>
                </c:pt>
                <c:pt idx="898">
                  <c:v>-2.6128</c:v>
                </c:pt>
                <c:pt idx="899">
                  <c:v>0.10100000000000001</c:v>
                </c:pt>
                <c:pt idx="900">
                  <c:v>-2.5205000000000002</c:v>
                </c:pt>
                <c:pt idx="901">
                  <c:v>2.6297000000000001</c:v>
                </c:pt>
                <c:pt idx="902">
                  <c:v>45.4343</c:v>
                </c:pt>
                <c:pt idx="903">
                  <c:v>-3.62</c:v>
                </c:pt>
                <c:pt idx="904">
                  <c:v>30.6251</c:v>
                </c:pt>
                <c:pt idx="905">
                  <c:v>7.3011999999999997</c:v>
                </c:pt>
                <c:pt idx="906">
                  <c:v>4.0442</c:v>
                </c:pt>
                <c:pt idx="907">
                  <c:v>10.3926</c:v>
                </c:pt>
                <c:pt idx="908">
                  <c:v>3.7542</c:v>
                </c:pt>
                <c:pt idx="909">
                  <c:v>79.943600000000004</c:v>
                </c:pt>
                <c:pt idx="910">
                  <c:v>33.875300000000003</c:v>
                </c:pt>
                <c:pt idx="911">
                  <c:v>-2.206</c:v>
                </c:pt>
                <c:pt idx="912">
                  <c:v>23.930499999999999</c:v>
                </c:pt>
                <c:pt idx="913">
                  <c:v>4.4652000000000003</c:v>
                </c:pt>
                <c:pt idx="914">
                  <c:v>3.9685999999999999</c:v>
                </c:pt>
                <c:pt idx="915">
                  <c:v>-0.29620000000000002</c:v>
                </c:pt>
                <c:pt idx="916">
                  <c:v>-1.6595</c:v>
                </c:pt>
                <c:pt idx="917">
                  <c:v>4.0334000000000003</c:v>
                </c:pt>
                <c:pt idx="918">
                  <c:v>76.259699999999995</c:v>
                </c:pt>
                <c:pt idx="919">
                  <c:v>8.4181000000000008</c:v>
                </c:pt>
                <c:pt idx="920">
                  <c:v>96.294899999999998</c:v>
                </c:pt>
                <c:pt idx="921">
                  <c:v>2.3532999999999999</c:v>
                </c:pt>
                <c:pt idx="922">
                  <c:v>1.6231</c:v>
                </c:pt>
                <c:pt idx="923">
                  <c:v>-2.8025000000000002</c:v>
                </c:pt>
                <c:pt idx="924">
                  <c:v>9.5675000000000008</c:v>
                </c:pt>
                <c:pt idx="925">
                  <c:v>1.1996</c:v>
                </c:pt>
                <c:pt idx="926">
                  <c:v>-0.79969999999999997</c:v>
                </c:pt>
                <c:pt idx="927">
                  <c:v>3.4710999999999999</c:v>
                </c:pt>
                <c:pt idx="928">
                  <c:v>35.908000000000001</c:v>
                </c:pt>
                <c:pt idx="929">
                  <c:v>0.39750000000000002</c:v>
                </c:pt>
                <c:pt idx="930">
                  <c:v>-0.56479999999999997</c:v>
                </c:pt>
                <c:pt idx="931">
                  <c:v>4.5776000000000003</c:v>
                </c:pt>
                <c:pt idx="932">
                  <c:v>9.0740999999999996</c:v>
                </c:pt>
                <c:pt idx="933">
                  <c:v>29.681699999999999</c:v>
                </c:pt>
                <c:pt idx="934">
                  <c:v>56.500999999999998</c:v>
                </c:pt>
                <c:pt idx="935">
                  <c:v>-2.4676999999999998</c:v>
                </c:pt>
                <c:pt idx="936">
                  <c:v>50.372</c:v>
                </c:pt>
                <c:pt idx="937">
                  <c:v>26.613399999999999</c:v>
                </c:pt>
                <c:pt idx="938">
                  <c:v>51.410899999999998</c:v>
                </c:pt>
                <c:pt idx="939">
                  <c:v>27.1616</c:v>
                </c:pt>
                <c:pt idx="940">
                  <c:v>-0.62119999999999997</c:v>
                </c:pt>
                <c:pt idx="941">
                  <c:v>-0.3644</c:v>
                </c:pt>
                <c:pt idx="942">
                  <c:v>24.656500000000001</c:v>
                </c:pt>
                <c:pt idx="943">
                  <c:v>0.20039999999999999</c:v>
                </c:pt>
                <c:pt idx="944">
                  <c:v>18.224399999999999</c:v>
                </c:pt>
                <c:pt idx="945">
                  <c:v>26.723400000000002</c:v>
                </c:pt>
                <c:pt idx="946">
                  <c:v>15.533300000000001</c:v>
                </c:pt>
                <c:pt idx="947">
                  <c:v>6.4290000000000003</c:v>
                </c:pt>
                <c:pt idx="948">
                  <c:v>15.215199999999999</c:v>
                </c:pt>
                <c:pt idx="949">
                  <c:v>17.756699999999999</c:v>
                </c:pt>
                <c:pt idx="950">
                  <c:v>1.0679000000000001</c:v>
                </c:pt>
                <c:pt idx="951">
                  <c:v>3.3043999999999998</c:v>
                </c:pt>
                <c:pt idx="952">
                  <c:v>34.802799999999998</c:v>
                </c:pt>
                <c:pt idx="953">
                  <c:v>6.12</c:v>
                </c:pt>
                <c:pt idx="954">
                  <c:v>3.3422999999999998</c:v>
                </c:pt>
                <c:pt idx="955">
                  <c:v>-1.4300999999999999</c:v>
                </c:pt>
                <c:pt idx="956">
                  <c:v>19.549900000000001</c:v>
                </c:pt>
                <c:pt idx="957">
                  <c:v>18.204899999999999</c:v>
                </c:pt>
                <c:pt idx="958">
                  <c:v>1.9818</c:v>
                </c:pt>
                <c:pt idx="959">
                  <c:v>5.7187999999999999</c:v>
                </c:pt>
                <c:pt idx="960">
                  <c:v>32.334200000000003</c:v>
                </c:pt>
                <c:pt idx="961">
                  <c:v>1.6815</c:v>
                </c:pt>
                <c:pt idx="962">
                  <c:v>1.7729999999999999</c:v>
                </c:pt>
                <c:pt idx="963">
                  <c:v>16.502400000000002</c:v>
                </c:pt>
                <c:pt idx="964">
                  <c:v>-3.6246999999999998</c:v>
                </c:pt>
                <c:pt idx="965">
                  <c:v>3.6886000000000001</c:v>
                </c:pt>
                <c:pt idx="966">
                  <c:v>-0.62509999999999999</c:v>
                </c:pt>
                <c:pt idx="967">
                  <c:v>1.7766</c:v>
                </c:pt>
                <c:pt idx="968">
                  <c:v>41.506399999999999</c:v>
                </c:pt>
                <c:pt idx="969">
                  <c:v>36.537799999999997</c:v>
                </c:pt>
                <c:pt idx="970">
                  <c:v>-0.63060000000000005</c:v>
                </c:pt>
                <c:pt idx="971">
                  <c:v>6.7286999999999999</c:v>
                </c:pt>
                <c:pt idx="972">
                  <c:v>15.3881</c:v>
                </c:pt>
                <c:pt idx="973">
                  <c:v>3.1739000000000002</c:v>
                </c:pt>
                <c:pt idx="974">
                  <c:v>-3.4043999999999999</c:v>
                </c:pt>
                <c:pt idx="975">
                  <c:v>8.9510000000000005</c:v>
                </c:pt>
                <c:pt idx="976">
                  <c:v>68.6935</c:v>
                </c:pt>
                <c:pt idx="977">
                  <c:v>-0.18049999999999999</c:v>
                </c:pt>
                <c:pt idx="978">
                  <c:v>142.1241</c:v>
                </c:pt>
                <c:pt idx="979">
                  <c:v>17.5594</c:v>
                </c:pt>
                <c:pt idx="980">
                  <c:v>11.611800000000001</c:v>
                </c:pt>
                <c:pt idx="981">
                  <c:v>4.3731999999999998</c:v>
                </c:pt>
                <c:pt idx="982">
                  <c:v>17.299199999999999</c:v>
                </c:pt>
                <c:pt idx="983">
                  <c:v>7.6246999999999998</c:v>
                </c:pt>
                <c:pt idx="984">
                  <c:v>1.7597</c:v>
                </c:pt>
                <c:pt idx="985">
                  <c:v>25.8384</c:v>
                </c:pt>
                <c:pt idx="986">
                  <c:v>-0.72819999999999996</c:v>
                </c:pt>
                <c:pt idx="987">
                  <c:v>6.1425999999999998</c:v>
                </c:pt>
                <c:pt idx="988">
                  <c:v>10.9907</c:v>
                </c:pt>
                <c:pt idx="989">
                  <c:v>8.6412999999999993</c:v>
                </c:pt>
                <c:pt idx="990">
                  <c:v>1.4061999999999999</c:v>
                </c:pt>
                <c:pt idx="991">
                  <c:v>-1.0351999999999999</c:v>
                </c:pt>
                <c:pt idx="992">
                  <c:v>22.240400000000001</c:v>
                </c:pt>
                <c:pt idx="993">
                  <c:v>46.246499999999997</c:v>
                </c:pt>
                <c:pt idx="994">
                  <c:v>-2.8165</c:v>
                </c:pt>
                <c:pt idx="995">
                  <c:v>3.0127999999999999</c:v>
                </c:pt>
                <c:pt idx="996">
                  <c:v>2.4079999999999999</c:v>
                </c:pt>
                <c:pt idx="997">
                  <c:v>10.5884</c:v>
                </c:pt>
                <c:pt idx="998">
                  <c:v>-0.70440000000000003</c:v>
                </c:pt>
                <c:pt idx="999">
                  <c:v>-1.3349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F5-4C04-AC16-4C2B0938B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09936"/>
        <c:axId val="488935328"/>
      </c:scatterChart>
      <c:valAx>
        <c:axId val="41580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5328"/>
        <c:crosses val="autoZero"/>
        <c:crossBetween val="midCat"/>
      </c:valAx>
      <c:valAx>
        <c:axId val="48893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0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'Cash or Nothing Call Option'!$R$1</c:f>
              <c:strCache>
                <c:ptCount val="1"/>
                <c:pt idx="0">
                  <c:v>cCN(t)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'Cash or Nothing Call Option'!$Q$2:$Q$1001</c:f>
              <c:numCache>
                <c:formatCode>0.00</c:formatCode>
                <c:ptCount val="1000"/>
                <c:pt idx="0">
                  <c:v>82.213999999999999</c:v>
                </c:pt>
                <c:pt idx="1">
                  <c:v>102.4973</c:v>
                </c:pt>
                <c:pt idx="2">
                  <c:v>89.796199999999999</c:v>
                </c:pt>
                <c:pt idx="3">
                  <c:v>61.225900000000003</c:v>
                </c:pt>
                <c:pt idx="4">
                  <c:v>94.0608</c:v>
                </c:pt>
                <c:pt idx="5">
                  <c:v>96.915199999999999</c:v>
                </c:pt>
                <c:pt idx="6">
                  <c:v>78.119699999999995</c:v>
                </c:pt>
                <c:pt idx="7">
                  <c:v>107.9014</c:v>
                </c:pt>
                <c:pt idx="8">
                  <c:v>105.8266</c:v>
                </c:pt>
                <c:pt idx="9">
                  <c:v>83.921400000000006</c:v>
                </c:pt>
                <c:pt idx="10">
                  <c:v>111.3386</c:v>
                </c:pt>
                <c:pt idx="11">
                  <c:v>90.393100000000004</c:v>
                </c:pt>
                <c:pt idx="12">
                  <c:v>108.4478</c:v>
                </c:pt>
                <c:pt idx="13">
                  <c:v>103.9939</c:v>
                </c:pt>
                <c:pt idx="14">
                  <c:v>65.189499999999995</c:v>
                </c:pt>
                <c:pt idx="15">
                  <c:v>95.177999999999997</c:v>
                </c:pt>
                <c:pt idx="16">
                  <c:v>74.046000000000006</c:v>
                </c:pt>
                <c:pt idx="17">
                  <c:v>92.451400000000007</c:v>
                </c:pt>
                <c:pt idx="18">
                  <c:v>83.238699999999994</c:v>
                </c:pt>
                <c:pt idx="19">
                  <c:v>130.14529999999999</c:v>
                </c:pt>
                <c:pt idx="20">
                  <c:v>55.022500000000001</c:v>
                </c:pt>
                <c:pt idx="21">
                  <c:v>140.8398</c:v>
                </c:pt>
                <c:pt idx="22">
                  <c:v>84.260300000000001</c:v>
                </c:pt>
                <c:pt idx="23">
                  <c:v>65.149600000000007</c:v>
                </c:pt>
                <c:pt idx="24">
                  <c:v>67.590599999999995</c:v>
                </c:pt>
                <c:pt idx="25">
                  <c:v>110.8021</c:v>
                </c:pt>
                <c:pt idx="26">
                  <c:v>135.10310000000001</c:v>
                </c:pt>
                <c:pt idx="27">
                  <c:v>75.436999999999998</c:v>
                </c:pt>
                <c:pt idx="28">
                  <c:v>144.47829999999999</c:v>
                </c:pt>
                <c:pt idx="29">
                  <c:v>102.1598</c:v>
                </c:pt>
                <c:pt idx="30">
                  <c:v>76.789900000000003</c:v>
                </c:pt>
                <c:pt idx="31">
                  <c:v>115.46810000000001</c:v>
                </c:pt>
                <c:pt idx="32">
                  <c:v>127.9319</c:v>
                </c:pt>
                <c:pt idx="33">
                  <c:v>49.417200000000001</c:v>
                </c:pt>
                <c:pt idx="34">
                  <c:v>95.464600000000004</c:v>
                </c:pt>
                <c:pt idx="35">
                  <c:v>48.264600000000002</c:v>
                </c:pt>
                <c:pt idx="36">
                  <c:v>58.499699999999997</c:v>
                </c:pt>
                <c:pt idx="37">
                  <c:v>98.131600000000006</c:v>
                </c:pt>
                <c:pt idx="38">
                  <c:v>121.038</c:v>
                </c:pt>
                <c:pt idx="39">
                  <c:v>173.6542</c:v>
                </c:pt>
                <c:pt idx="40">
                  <c:v>109.3192</c:v>
                </c:pt>
                <c:pt idx="41">
                  <c:v>84.56</c:v>
                </c:pt>
                <c:pt idx="42">
                  <c:v>90.349299999999999</c:v>
                </c:pt>
                <c:pt idx="43">
                  <c:v>91.812799999999996</c:v>
                </c:pt>
                <c:pt idx="44">
                  <c:v>133.71170000000001</c:v>
                </c:pt>
                <c:pt idx="45">
                  <c:v>122.4444</c:v>
                </c:pt>
                <c:pt idx="46">
                  <c:v>64.505700000000004</c:v>
                </c:pt>
                <c:pt idx="47">
                  <c:v>125.0582</c:v>
                </c:pt>
                <c:pt idx="48">
                  <c:v>167.95760000000001</c:v>
                </c:pt>
                <c:pt idx="49">
                  <c:v>84.451400000000007</c:v>
                </c:pt>
                <c:pt idx="50">
                  <c:v>156.7681</c:v>
                </c:pt>
                <c:pt idx="51">
                  <c:v>85.846299999999999</c:v>
                </c:pt>
                <c:pt idx="52">
                  <c:v>79.817899999999995</c:v>
                </c:pt>
                <c:pt idx="53">
                  <c:v>163.28489999999999</c:v>
                </c:pt>
                <c:pt idx="54">
                  <c:v>97.198300000000003</c:v>
                </c:pt>
                <c:pt idx="55">
                  <c:v>84.986699999999999</c:v>
                </c:pt>
                <c:pt idx="56">
                  <c:v>92.822100000000006</c:v>
                </c:pt>
                <c:pt idx="57">
                  <c:v>113.7323</c:v>
                </c:pt>
                <c:pt idx="58">
                  <c:v>99.177499999999995</c:v>
                </c:pt>
                <c:pt idx="59">
                  <c:v>129.59110000000001</c:v>
                </c:pt>
                <c:pt idx="60">
                  <c:v>80.508499999999998</c:v>
                </c:pt>
                <c:pt idx="61">
                  <c:v>57.511699999999998</c:v>
                </c:pt>
                <c:pt idx="62">
                  <c:v>133.4836</c:v>
                </c:pt>
                <c:pt idx="63">
                  <c:v>92.750200000000007</c:v>
                </c:pt>
                <c:pt idx="64">
                  <c:v>88.934100000000001</c:v>
                </c:pt>
                <c:pt idx="65">
                  <c:v>82.587999999999994</c:v>
                </c:pt>
                <c:pt idx="66">
                  <c:v>55.185400000000001</c:v>
                </c:pt>
                <c:pt idx="67">
                  <c:v>81.930499999999995</c:v>
                </c:pt>
                <c:pt idx="68">
                  <c:v>93.618499999999997</c:v>
                </c:pt>
                <c:pt idx="69">
                  <c:v>112.4297</c:v>
                </c:pt>
                <c:pt idx="70">
                  <c:v>74.421499999999995</c:v>
                </c:pt>
                <c:pt idx="71">
                  <c:v>140.12530000000001</c:v>
                </c:pt>
                <c:pt idx="72">
                  <c:v>70.2072</c:v>
                </c:pt>
                <c:pt idx="73">
                  <c:v>86.707800000000006</c:v>
                </c:pt>
                <c:pt idx="74">
                  <c:v>66.698599999999999</c:v>
                </c:pt>
                <c:pt idx="75">
                  <c:v>106.58450000000001</c:v>
                </c:pt>
                <c:pt idx="76">
                  <c:v>84.361699999999999</c:v>
                </c:pt>
                <c:pt idx="77">
                  <c:v>92.317400000000006</c:v>
                </c:pt>
                <c:pt idx="78">
                  <c:v>104.7911</c:v>
                </c:pt>
                <c:pt idx="79">
                  <c:v>110.98869999999999</c:v>
                </c:pt>
                <c:pt idx="80">
                  <c:v>75.060699999999997</c:v>
                </c:pt>
                <c:pt idx="81">
                  <c:v>85.380700000000004</c:v>
                </c:pt>
                <c:pt idx="82">
                  <c:v>86.103499999999997</c:v>
                </c:pt>
                <c:pt idx="83">
                  <c:v>80.983500000000006</c:v>
                </c:pt>
                <c:pt idx="84">
                  <c:v>92.899299999999997</c:v>
                </c:pt>
                <c:pt idx="85">
                  <c:v>90.559799999999996</c:v>
                </c:pt>
                <c:pt idx="86">
                  <c:v>108.9769</c:v>
                </c:pt>
                <c:pt idx="87">
                  <c:v>67.158100000000005</c:v>
                </c:pt>
                <c:pt idx="88">
                  <c:v>105.4552</c:v>
                </c:pt>
                <c:pt idx="89">
                  <c:v>98.430499999999995</c:v>
                </c:pt>
                <c:pt idx="90">
                  <c:v>92.891999999999996</c:v>
                </c:pt>
                <c:pt idx="91">
                  <c:v>106.1228</c:v>
                </c:pt>
                <c:pt idx="92">
                  <c:v>104.34139999999999</c:v>
                </c:pt>
                <c:pt idx="93">
                  <c:v>115.5129</c:v>
                </c:pt>
                <c:pt idx="94">
                  <c:v>61.0364</c:v>
                </c:pt>
                <c:pt idx="95">
                  <c:v>112.56310000000001</c:v>
                </c:pt>
                <c:pt idx="96">
                  <c:v>91.051100000000005</c:v>
                </c:pt>
                <c:pt idx="97">
                  <c:v>60.106999999999999</c:v>
                </c:pt>
                <c:pt idx="98">
                  <c:v>122.6016</c:v>
                </c:pt>
                <c:pt idx="99">
                  <c:v>155.15969999999999</c:v>
                </c:pt>
                <c:pt idx="100">
                  <c:v>148.57149999999999</c:v>
                </c:pt>
                <c:pt idx="101">
                  <c:v>80.556100000000001</c:v>
                </c:pt>
                <c:pt idx="102">
                  <c:v>91.621700000000004</c:v>
                </c:pt>
                <c:pt idx="103">
                  <c:v>130.4486</c:v>
                </c:pt>
                <c:pt idx="104">
                  <c:v>138.39179999999999</c:v>
                </c:pt>
                <c:pt idx="105">
                  <c:v>113.1422</c:v>
                </c:pt>
                <c:pt idx="106">
                  <c:v>110.3995</c:v>
                </c:pt>
                <c:pt idx="107">
                  <c:v>248.40309999999999</c:v>
                </c:pt>
                <c:pt idx="108">
                  <c:v>177.09479999999999</c:v>
                </c:pt>
                <c:pt idx="109">
                  <c:v>121.40389999999999</c:v>
                </c:pt>
                <c:pt idx="110">
                  <c:v>78.292299999999997</c:v>
                </c:pt>
                <c:pt idx="111">
                  <c:v>81.899900000000002</c:v>
                </c:pt>
                <c:pt idx="112">
                  <c:v>109.53440000000001</c:v>
                </c:pt>
                <c:pt idx="113">
                  <c:v>115.6892</c:v>
                </c:pt>
                <c:pt idx="114">
                  <c:v>55.167499999999997</c:v>
                </c:pt>
                <c:pt idx="115">
                  <c:v>108.28449999999999</c:v>
                </c:pt>
                <c:pt idx="116">
                  <c:v>89.170299999999997</c:v>
                </c:pt>
                <c:pt idx="117">
                  <c:v>141.5205</c:v>
                </c:pt>
                <c:pt idx="118">
                  <c:v>129.0634</c:v>
                </c:pt>
                <c:pt idx="119">
                  <c:v>90.457400000000007</c:v>
                </c:pt>
                <c:pt idx="120">
                  <c:v>83.874700000000004</c:v>
                </c:pt>
                <c:pt idx="121">
                  <c:v>75.9649</c:v>
                </c:pt>
                <c:pt idx="122">
                  <c:v>87.274500000000003</c:v>
                </c:pt>
                <c:pt idx="123">
                  <c:v>73.3566</c:v>
                </c:pt>
                <c:pt idx="124">
                  <c:v>77.211100000000002</c:v>
                </c:pt>
                <c:pt idx="125">
                  <c:v>78.838700000000003</c:v>
                </c:pt>
                <c:pt idx="126">
                  <c:v>82.629900000000006</c:v>
                </c:pt>
                <c:pt idx="127">
                  <c:v>145.81460000000001</c:v>
                </c:pt>
                <c:pt idx="128">
                  <c:v>84.771799999999999</c:v>
                </c:pt>
                <c:pt idx="129">
                  <c:v>115.1211</c:v>
                </c:pt>
                <c:pt idx="130">
                  <c:v>64.742000000000004</c:v>
                </c:pt>
                <c:pt idx="131">
                  <c:v>115.8977</c:v>
                </c:pt>
                <c:pt idx="132">
                  <c:v>100.4355</c:v>
                </c:pt>
                <c:pt idx="133">
                  <c:v>157.73509999999999</c:v>
                </c:pt>
                <c:pt idx="134">
                  <c:v>151.6463</c:v>
                </c:pt>
                <c:pt idx="135">
                  <c:v>107.6902</c:v>
                </c:pt>
                <c:pt idx="136">
                  <c:v>84.532399999999996</c:v>
                </c:pt>
                <c:pt idx="137">
                  <c:v>80.794899999999998</c:v>
                </c:pt>
                <c:pt idx="138">
                  <c:v>120.1347</c:v>
                </c:pt>
                <c:pt idx="139">
                  <c:v>108.1587</c:v>
                </c:pt>
                <c:pt idx="140">
                  <c:v>142.07660000000001</c:v>
                </c:pt>
                <c:pt idx="141">
                  <c:v>157.80009999999999</c:v>
                </c:pt>
                <c:pt idx="142">
                  <c:v>60.1907</c:v>
                </c:pt>
                <c:pt idx="143">
                  <c:v>98.515100000000004</c:v>
                </c:pt>
                <c:pt idx="144">
                  <c:v>65.404399999999995</c:v>
                </c:pt>
                <c:pt idx="145">
                  <c:v>111.7242</c:v>
                </c:pt>
                <c:pt idx="146">
                  <c:v>116.3419</c:v>
                </c:pt>
                <c:pt idx="147">
                  <c:v>95.023300000000006</c:v>
                </c:pt>
                <c:pt idx="148">
                  <c:v>75.728300000000004</c:v>
                </c:pt>
                <c:pt idx="149">
                  <c:v>100.43259999999999</c:v>
                </c:pt>
                <c:pt idx="150">
                  <c:v>79.111900000000006</c:v>
                </c:pt>
                <c:pt idx="151">
                  <c:v>73.988500000000002</c:v>
                </c:pt>
                <c:pt idx="152">
                  <c:v>70.158900000000003</c:v>
                </c:pt>
                <c:pt idx="153">
                  <c:v>108.1699</c:v>
                </c:pt>
                <c:pt idx="154">
                  <c:v>103.55240000000001</c:v>
                </c:pt>
                <c:pt idx="155">
                  <c:v>77.168800000000005</c:v>
                </c:pt>
                <c:pt idx="156">
                  <c:v>111.2312</c:v>
                </c:pt>
                <c:pt idx="157">
                  <c:v>132.65459999999999</c:v>
                </c:pt>
                <c:pt idx="158">
                  <c:v>104.49850000000001</c:v>
                </c:pt>
                <c:pt idx="159">
                  <c:v>203.04310000000001</c:v>
                </c:pt>
                <c:pt idx="160">
                  <c:v>114.5885</c:v>
                </c:pt>
                <c:pt idx="161">
                  <c:v>73.527000000000001</c:v>
                </c:pt>
                <c:pt idx="162">
                  <c:v>137.99119999999999</c:v>
                </c:pt>
                <c:pt idx="163">
                  <c:v>89.696399999999997</c:v>
                </c:pt>
                <c:pt idx="164">
                  <c:v>92.159000000000006</c:v>
                </c:pt>
                <c:pt idx="165">
                  <c:v>78.563999999999993</c:v>
                </c:pt>
                <c:pt idx="166">
                  <c:v>127.8389</c:v>
                </c:pt>
                <c:pt idx="167">
                  <c:v>139.07660000000001</c:v>
                </c:pt>
                <c:pt idx="168">
                  <c:v>64.952399999999997</c:v>
                </c:pt>
                <c:pt idx="169">
                  <c:v>122.35339999999999</c:v>
                </c:pt>
                <c:pt idx="170">
                  <c:v>170.214</c:v>
                </c:pt>
                <c:pt idx="171">
                  <c:v>84.122900000000001</c:v>
                </c:pt>
                <c:pt idx="172">
                  <c:v>161.02510000000001</c:v>
                </c:pt>
                <c:pt idx="173">
                  <c:v>104.2503</c:v>
                </c:pt>
                <c:pt idx="174">
                  <c:v>97.303100000000001</c:v>
                </c:pt>
                <c:pt idx="175">
                  <c:v>156.3432</c:v>
                </c:pt>
                <c:pt idx="176">
                  <c:v>99.543800000000005</c:v>
                </c:pt>
                <c:pt idx="177">
                  <c:v>85.568100000000001</c:v>
                </c:pt>
                <c:pt idx="178">
                  <c:v>133.5609</c:v>
                </c:pt>
                <c:pt idx="179">
                  <c:v>127.03870000000001</c:v>
                </c:pt>
                <c:pt idx="180">
                  <c:v>131.11680000000001</c:v>
                </c:pt>
                <c:pt idx="181">
                  <c:v>81.295299999999997</c:v>
                </c:pt>
                <c:pt idx="182">
                  <c:v>193.38740000000001</c:v>
                </c:pt>
                <c:pt idx="183">
                  <c:v>103.3837</c:v>
                </c:pt>
                <c:pt idx="184">
                  <c:v>75.068899999999999</c:v>
                </c:pt>
                <c:pt idx="185">
                  <c:v>52.078200000000002</c:v>
                </c:pt>
                <c:pt idx="186">
                  <c:v>109.434</c:v>
                </c:pt>
                <c:pt idx="187">
                  <c:v>102.6942</c:v>
                </c:pt>
                <c:pt idx="188">
                  <c:v>108.807</c:v>
                </c:pt>
                <c:pt idx="189">
                  <c:v>85.391800000000003</c:v>
                </c:pt>
                <c:pt idx="190">
                  <c:v>111.0856</c:v>
                </c:pt>
                <c:pt idx="191">
                  <c:v>111.17449999999999</c:v>
                </c:pt>
                <c:pt idx="192">
                  <c:v>124.6782</c:v>
                </c:pt>
                <c:pt idx="193">
                  <c:v>78.808000000000007</c:v>
                </c:pt>
                <c:pt idx="194">
                  <c:v>51.475900000000003</c:v>
                </c:pt>
                <c:pt idx="195">
                  <c:v>68.768600000000006</c:v>
                </c:pt>
                <c:pt idx="196">
                  <c:v>139.07550000000001</c:v>
                </c:pt>
                <c:pt idx="197">
                  <c:v>138.56909999999999</c:v>
                </c:pt>
                <c:pt idx="198">
                  <c:v>102.46550000000001</c:v>
                </c:pt>
                <c:pt idx="199">
                  <c:v>108.6131</c:v>
                </c:pt>
                <c:pt idx="200">
                  <c:v>126.34780000000001</c:v>
                </c:pt>
                <c:pt idx="201">
                  <c:v>91.974400000000003</c:v>
                </c:pt>
                <c:pt idx="202">
                  <c:v>194.904</c:v>
                </c:pt>
                <c:pt idx="203">
                  <c:v>71.448700000000002</c:v>
                </c:pt>
                <c:pt idx="204">
                  <c:v>58.972099999999998</c:v>
                </c:pt>
                <c:pt idx="205">
                  <c:v>92.134299999999996</c:v>
                </c:pt>
                <c:pt idx="206">
                  <c:v>137.76140000000001</c:v>
                </c:pt>
                <c:pt idx="207">
                  <c:v>60.580599999999997</c:v>
                </c:pt>
                <c:pt idx="208">
                  <c:v>87.760999999999996</c:v>
                </c:pt>
                <c:pt idx="209">
                  <c:v>96.780299999999997</c:v>
                </c:pt>
                <c:pt idx="210">
                  <c:v>77.459299999999999</c:v>
                </c:pt>
                <c:pt idx="211">
                  <c:v>115.7697</c:v>
                </c:pt>
                <c:pt idx="212">
                  <c:v>74.376800000000003</c:v>
                </c:pt>
                <c:pt idx="213">
                  <c:v>117.73</c:v>
                </c:pt>
                <c:pt idx="214">
                  <c:v>93.859200000000001</c:v>
                </c:pt>
                <c:pt idx="215">
                  <c:v>105.9879</c:v>
                </c:pt>
                <c:pt idx="216">
                  <c:v>109.0604</c:v>
                </c:pt>
                <c:pt idx="217">
                  <c:v>119.4903</c:v>
                </c:pt>
                <c:pt idx="218">
                  <c:v>119.16930000000001</c:v>
                </c:pt>
                <c:pt idx="219">
                  <c:v>82.304699999999997</c:v>
                </c:pt>
                <c:pt idx="220">
                  <c:v>63.418999999999997</c:v>
                </c:pt>
                <c:pt idx="221">
                  <c:v>73.655799999999999</c:v>
                </c:pt>
                <c:pt idx="222">
                  <c:v>94.203699999999998</c:v>
                </c:pt>
                <c:pt idx="223">
                  <c:v>80.3279</c:v>
                </c:pt>
                <c:pt idx="224">
                  <c:v>116.9554</c:v>
                </c:pt>
                <c:pt idx="225">
                  <c:v>83.4191</c:v>
                </c:pt>
                <c:pt idx="226">
                  <c:v>140.15700000000001</c:v>
                </c:pt>
                <c:pt idx="227">
                  <c:v>74.386200000000002</c:v>
                </c:pt>
                <c:pt idx="228">
                  <c:v>105.239</c:v>
                </c:pt>
                <c:pt idx="229">
                  <c:v>131.13480000000001</c:v>
                </c:pt>
                <c:pt idx="230">
                  <c:v>82.123000000000005</c:v>
                </c:pt>
                <c:pt idx="231">
                  <c:v>90.119500000000002</c:v>
                </c:pt>
                <c:pt idx="232">
                  <c:v>106.0334</c:v>
                </c:pt>
                <c:pt idx="233">
                  <c:v>88.245599999999996</c:v>
                </c:pt>
                <c:pt idx="234">
                  <c:v>77.665300000000002</c:v>
                </c:pt>
                <c:pt idx="235">
                  <c:v>142.96019999999999</c:v>
                </c:pt>
                <c:pt idx="236">
                  <c:v>210.91650000000001</c:v>
                </c:pt>
                <c:pt idx="237">
                  <c:v>109.83710000000001</c:v>
                </c:pt>
                <c:pt idx="238">
                  <c:v>121.325</c:v>
                </c:pt>
                <c:pt idx="239">
                  <c:v>90.750200000000007</c:v>
                </c:pt>
                <c:pt idx="240">
                  <c:v>59.087400000000002</c:v>
                </c:pt>
                <c:pt idx="241">
                  <c:v>96.326599999999999</c:v>
                </c:pt>
                <c:pt idx="242">
                  <c:v>102.2491</c:v>
                </c:pt>
                <c:pt idx="243">
                  <c:v>92.872900000000001</c:v>
                </c:pt>
                <c:pt idx="244">
                  <c:v>119.64790000000001</c:v>
                </c:pt>
                <c:pt idx="245">
                  <c:v>100.84229999999999</c:v>
                </c:pt>
                <c:pt idx="246">
                  <c:v>160.94450000000001</c:v>
                </c:pt>
                <c:pt idx="247">
                  <c:v>110.95869999999999</c:v>
                </c:pt>
                <c:pt idx="248">
                  <c:v>89.349599999999995</c:v>
                </c:pt>
                <c:pt idx="249">
                  <c:v>83.181399999999996</c:v>
                </c:pt>
                <c:pt idx="250">
                  <c:v>96.808400000000006</c:v>
                </c:pt>
                <c:pt idx="251">
                  <c:v>89.380899999999997</c:v>
                </c:pt>
                <c:pt idx="252">
                  <c:v>82.295599999999993</c:v>
                </c:pt>
                <c:pt idx="253">
                  <c:v>130.06370000000001</c:v>
                </c:pt>
                <c:pt idx="254">
                  <c:v>84.410799999999995</c:v>
                </c:pt>
                <c:pt idx="255">
                  <c:v>104.3934</c:v>
                </c:pt>
                <c:pt idx="256">
                  <c:v>106.53749999999999</c:v>
                </c:pt>
                <c:pt idx="257">
                  <c:v>134.51159999999999</c:v>
                </c:pt>
                <c:pt idx="258">
                  <c:v>66.101900000000001</c:v>
                </c:pt>
                <c:pt idx="259">
                  <c:v>91.479299999999995</c:v>
                </c:pt>
                <c:pt idx="260">
                  <c:v>103.7089</c:v>
                </c:pt>
                <c:pt idx="261">
                  <c:v>165.02850000000001</c:v>
                </c:pt>
                <c:pt idx="262">
                  <c:v>51.879199999999997</c:v>
                </c:pt>
                <c:pt idx="263">
                  <c:v>121.0759</c:v>
                </c:pt>
                <c:pt idx="264">
                  <c:v>73.4773</c:v>
                </c:pt>
                <c:pt idx="265">
                  <c:v>140.22149999999999</c:v>
                </c:pt>
                <c:pt idx="266">
                  <c:v>97.342100000000002</c:v>
                </c:pt>
                <c:pt idx="267">
                  <c:v>80.761799999999994</c:v>
                </c:pt>
                <c:pt idx="268">
                  <c:v>102.80889999999999</c:v>
                </c:pt>
                <c:pt idx="269">
                  <c:v>149.30940000000001</c:v>
                </c:pt>
                <c:pt idx="270">
                  <c:v>113.3424</c:v>
                </c:pt>
                <c:pt idx="271">
                  <c:v>127.59520000000001</c:v>
                </c:pt>
                <c:pt idx="272">
                  <c:v>99.310400000000001</c:v>
                </c:pt>
                <c:pt idx="273">
                  <c:v>167.93289999999999</c:v>
                </c:pt>
                <c:pt idx="274">
                  <c:v>94.100800000000007</c:v>
                </c:pt>
                <c:pt idx="275">
                  <c:v>64.903400000000005</c:v>
                </c:pt>
                <c:pt idx="276">
                  <c:v>124.581</c:v>
                </c:pt>
                <c:pt idx="277">
                  <c:v>105.98480000000001</c:v>
                </c:pt>
                <c:pt idx="278">
                  <c:v>110.0942</c:v>
                </c:pt>
                <c:pt idx="279">
                  <c:v>87.648300000000006</c:v>
                </c:pt>
                <c:pt idx="280">
                  <c:v>93.835899999999995</c:v>
                </c:pt>
                <c:pt idx="281">
                  <c:v>174.88810000000001</c:v>
                </c:pt>
                <c:pt idx="282">
                  <c:v>165.5574</c:v>
                </c:pt>
                <c:pt idx="283">
                  <c:v>73.192300000000003</c:v>
                </c:pt>
                <c:pt idx="284">
                  <c:v>100.99290000000001</c:v>
                </c:pt>
                <c:pt idx="285">
                  <c:v>113.4699</c:v>
                </c:pt>
                <c:pt idx="286">
                  <c:v>83.251000000000005</c:v>
                </c:pt>
                <c:pt idx="287">
                  <c:v>107.6866</c:v>
                </c:pt>
                <c:pt idx="288">
                  <c:v>126.2577</c:v>
                </c:pt>
                <c:pt idx="289">
                  <c:v>85.665099999999995</c:v>
                </c:pt>
                <c:pt idx="290">
                  <c:v>100.1344</c:v>
                </c:pt>
                <c:pt idx="291">
                  <c:v>80.534400000000005</c:v>
                </c:pt>
                <c:pt idx="292">
                  <c:v>97.045400000000001</c:v>
                </c:pt>
                <c:pt idx="293">
                  <c:v>142.30600000000001</c:v>
                </c:pt>
                <c:pt idx="294">
                  <c:v>77.087400000000002</c:v>
                </c:pt>
                <c:pt idx="295">
                  <c:v>107.35639999999999</c:v>
                </c:pt>
                <c:pt idx="296">
                  <c:v>117.5402</c:v>
                </c:pt>
                <c:pt idx="297">
                  <c:v>98.608900000000006</c:v>
                </c:pt>
                <c:pt idx="298">
                  <c:v>82.524799999999999</c:v>
                </c:pt>
                <c:pt idx="299">
                  <c:v>131.53809999999999</c:v>
                </c:pt>
                <c:pt idx="300">
                  <c:v>141.34639999999999</c:v>
                </c:pt>
                <c:pt idx="301">
                  <c:v>158.12</c:v>
                </c:pt>
                <c:pt idx="302">
                  <c:v>159.6311</c:v>
                </c:pt>
                <c:pt idx="303">
                  <c:v>167.34620000000001</c:v>
                </c:pt>
                <c:pt idx="304">
                  <c:v>141.0642</c:v>
                </c:pt>
                <c:pt idx="305">
                  <c:v>117.2183</c:v>
                </c:pt>
                <c:pt idx="306">
                  <c:v>94.975700000000003</c:v>
                </c:pt>
                <c:pt idx="307">
                  <c:v>104.7028</c:v>
                </c:pt>
                <c:pt idx="308">
                  <c:v>123.5997</c:v>
                </c:pt>
                <c:pt idx="309">
                  <c:v>126.6251</c:v>
                </c:pt>
                <c:pt idx="310">
                  <c:v>89.536900000000003</c:v>
                </c:pt>
                <c:pt idx="311">
                  <c:v>67.293199999999999</c:v>
                </c:pt>
                <c:pt idx="312">
                  <c:v>111.4365</c:v>
                </c:pt>
                <c:pt idx="313">
                  <c:v>85.771299999999997</c:v>
                </c:pt>
                <c:pt idx="314">
                  <c:v>85.4696</c:v>
                </c:pt>
                <c:pt idx="315">
                  <c:v>143.71010000000001</c:v>
                </c:pt>
                <c:pt idx="316">
                  <c:v>105.9474</c:v>
                </c:pt>
                <c:pt idx="317">
                  <c:v>59.717799999999997</c:v>
                </c:pt>
                <c:pt idx="318">
                  <c:v>145.23220000000001</c:v>
                </c:pt>
                <c:pt idx="319">
                  <c:v>104.0117</c:v>
                </c:pt>
                <c:pt idx="320">
                  <c:v>119.44629999999999</c:v>
                </c:pt>
                <c:pt idx="321">
                  <c:v>121.545</c:v>
                </c:pt>
                <c:pt idx="322">
                  <c:v>107.5829</c:v>
                </c:pt>
                <c:pt idx="323">
                  <c:v>84.578999999999994</c:v>
                </c:pt>
                <c:pt idx="324">
                  <c:v>105.7754</c:v>
                </c:pt>
                <c:pt idx="325">
                  <c:v>67.771500000000003</c:v>
                </c:pt>
                <c:pt idx="326">
                  <c:v>92.323400000000007</c:v>
                </c:pt>
                <c:pt idx="327">
                  <c:v>91.281700000000001</c:v>
                </c:pt>
                <c:pt idx="328">
                  <c:v>92.558899999999994</c:v>
                </c:pt>
                <c:pt idx="329">
                  <c:v>106.3486</c:v>
                </c:pt>
                <c:pt idx="330">
                  <c:v>163.28870000000001</c:v>
                </c:pt>
                <c:pt idx="331">
                  <c:v>67.290199999999999</c:v>
                </c:pt>
                <c:pt idx="332">
                  <c:v>121.32510000000001</c:v>
                </c:pt>
                <c:pt idx="333">
                  <c:v>92.2149</c:v>
                </c:pt>
                <c:pt idx="334">
                  <c:v>107.5896</c:v>
                </c:pt>
                <c:pt idx="335">
                  <c:v>72.857900000000001</c:v>
                </c:pt>
                <c:pt idx="336">
                  <c:v>69.496200000000002</c:v>
                </c:pt>
                <c:pt idx="337">
                  <c:v>100.6985</c:v>
                </c:pt>
                <c:pt idx="338">
                  <c:v>104.4943</c:v>
                </c:pt>
                <c:pt idx="339">
                  <c:v>179.9957</c:v>
                </c:pt>
                <c:pt idx="340">
                  <c:v>122.8245</c:v>
                </c:pt>
                <c:pt idx="341">
                  <c:v>154.22579999999999</c:v>
                </c:pt>
                <c:pt idx="342">
                  <c:v>77.460999999999999</c:v>
                </c:pt>
                <c:pt idx="343">
                  <c:v>79.753799999999998</c:v>
                </c:pt>
                <c:pt idx="344">
                  <c:v>138.43049999999999</c:v>
                </c:pt>
                <c:pt idx="345">
                  <c:v>74.874099999999999</c:v>
                </c:pt>
                <c:pt idx="346">
                  <c:v>98.537899999999993</c:v>
                </c:pt>
                <c:pt idx="347">
                  <c:v>128.79259999999999</c:v>
                </c:pt>
                <c:pt idx="348">
                  <c:v>92.190600000000003</c:v>
                </c:pt>
                <c:pt idx="349">
                  <c:v>108.87520000000001</c:v>
                </c:pt>
                <c:pt idx="350">
                  <c:v>74.971400000000003</c:v>
                </c:pt>
                <c:pt idx="351">
                  <c:v>104.1129</c:v>
                </c:pt>
                <c:pt idx="352">
                  <c:v>84.8005</c:v>
                </c:pt>
                <c:pt idx="353">
                  <c:v>124.569</c:v>
                </c:pt>
                <c:pt idx="354">
                  <c:v>68.194299999999998</c:v>
                </c:pt>
                <c:pt idx="355">
                  <c:v>110.5326</c:v>
                </c:pt>
                <c:pt idx="356">
                  <c:v>142.23779999999999</c:v>
                </c:pt>
                <c:pt idx="357">
                  <c:v>89.740300000000005</c:v>
                </c:pt>
                <c:pt idx="358">
                  <c:v>66.211500000000001</c:v>
                </c:pt>
                <c:pt idx="359">
                  <c:v>122.4134</c:v>
                </c:pt>
                <c:pt idx="360">
                  <c:v>101.6228</c:v>
                </c:pt>
                <c:pt idx="361">
                  <c:v>125.8176</c:v>
                </c:pt>
                <c:pt idx="362">
                  <c:v>69.909499999999994</c:v>
                </c:pt>
                <c:pt idx="363">
                  <c:v>154.9941</c:v>
                </c:pt>
                <c:pt idx="364">
                  <c:v>111.6041</c:v>
                </c:pt>
                <c:pt idx="365">
                  <c:v>118.339</c:v>
                </c:pt>
                <c:pt idx="366">
                  <c:v>89.710300000000004</c:v>
                </c:pt>
                <c:pt idx="367">
                  <c:v>108.0399</c:v>
                </c:pt>
                <c:pt idx="368">
                  <c:v>69.666399999999996</c:v>
                </c:pt>
                <c:pt idx="369">
                  <c:v>87.653700000000001</c:v>
                </c:pt>
                <c:pt idx="370">
                  <c:v>181.17769999999999</c:v>
                </c:pt>
                <c:pt idx="371">
                  <c:v>56.478700000000003</c:v>
                </c:pt>
                <c:pt idx="372">
                  <c:v>103.29600000000001</c:v>
                </c:pt>
                <c:pt idx="373">
                  <c:v>62.179499999999997</c:v>
                </c:pt>
                <c:pt idx="374">
                  <c:v>99.078000000000003</c:v>
                </c:pt>
                <c:pt idx="375">
                  <c:v>66.717500000000001</c:v>
                </c:pt>
                <c:pt idx="376">
                  <c:v>123.2957</c:v>
                </c:pt>
                <c:pt idx="377">
                  <c:v>106.3853</c:v>
                </c:pt>
                <c:pt idx="378">
                  <c:v>103.6602</c:v>
                </c:pt>
                <c:pt idx="379">
                  <c:v>102.76600000000001</c:v>
                </c:pt>
                <c:pt idx="380">
                  <c:v>71.724299999999999</c:v>
                </c:pt>
                <c:pt idx="381">
                  <c:v>88.866</c:v>
                </c:pt>
                <c:pt idx="382">
                  <c:v>80.610900000000001</c:v>
                </c:pt>
                <c:pt idx="383">
                  <c:v>123.7116</c:v>
                </c:pt>
                <c:pt idx="384">
                  <c:v>107.98950000000001</c:v>
                </c:pt>
                <c:pt idx="385">
                  <c:v>108.4849</c:v>
                </c:pt>
                <c:pt idx="386">
                  <c:v>96.173000000000002</c:v>
                </c:pt>
                <c:pt idx="387">
                  <c:v>110.0467</c:v>
                </c:pt>
                <c:pt idx="388">
                  <c:v>81.110399999999998</c:v>
                </c:pt>
                <c:pt idx="389">
                  <c:v>94.171199999999999</c:v>
                </c:pt>
                <c:pt idx="390">
                  <c:v>126.4487</c:v>
                </c:pt>
                <c:pt idx="391">
                  <c:v>126.9567</c:v>
                </c:pt>
                <c:pt idx="392">
                  <c:v>128.12860000000001</c:v>
                </c:pt>
                <c:pt idx="393">
                  <c:v>127.4521</c:v>
                </c:pt>
                <c:pt idx="394">
                  <c:v>114.68680000000001</c:v>
                </c:pt>
                <c:pt idx="395">
                  <c:v>145.81630000000001</c:v>
                </c:pt>
                <c:pt idx="396">
                  <c:v>146.96180000000001</c:v>
                </c:pt>
                <c:pt idx="397">
                  <c:v>90.582499999999996</c:v>
                </c:pt>
                <c:pt idx="398">
                  <c:v>86.333100000000002</c:v>
                </c:pt>
                <c:pt idx="399">
                  <c:v>83.865700000000004</c:v>
                </c:pt>
                <c:pt idx="400">
                  <c:v>175.76220000000001</c:v>
                </c:pt>
                <c:pt idx="401">
                  <c:v>100.7818</c:v>
                </c:pt>
                <c:pt idx="402">
                  <c:v>67.727000000000004</c:v>
                </c:pt>
                <c:pt idx="403">
                  <c:v>77.984700000000004</c:v>
                </c:pt>
                <c:pt idx="404">
                  <c:v>142.66139999999999</c:v>
                </c:pt>
                <c:pt idx="405">
                  <c:v>117.4515</c:v>
                </c:pt>
                <c:pt idx="406">
                  <c:v>104.6035</c:v>
                </c:pt>
                <c:pt idx="407">
                  <c:v>112.7997</c:v>
                </c:pt>
                <c:pt idx="408">
                  <c:v>59.991100000000003</c:v>
                </c:pt>
                <c:pt idx="409">
                  <c:v>93.960700000000003</c:v>
                </c:pt>
                <c:pt idx="410">
                  <c:v>111.65130000000001</c:v>
                </c:pt>
                <c:pt idx="411">
                  <c:v>115.5484</c:v>
                </c:pt>
                <c:pt idx="412">
                  <c:v>64.505899999999997</c:v>
                </c:pt>
                <c:pt idx="413">
                  <c:v>78.864099999999993</c:v>
                </c:pt>
                <c:pt idx="414">
                  <c:v>80.3142</c:v>
                </c:pt>
                <c:pt idx="415">
                  <c:v>97.111599999999996</c:v>
                </c:pt>
                <c:pt idx="416">
                  <c:v>93.964100000000002</c:v>
                </c:pt>
                <c:pt idx="417">
                  <c:v>122.0886</c:v>
                </c:pt>
                <c:pt idx="418">
                  <c:v>137.31890000000001</c:v>
                </c:pt>
                <c:pt idx="419">
                  <c:v>60.229900000000001</c:v>
                </c:pt>
                <c:pt idx="420">
                  <c:v>82.587999999999994</c:v>
                </c:pt>
                <c:pt idx="421">
                  <c:v>96.416499999999999</c:v>
                </c:pt>
                <c:pt idx="422">
                  <c:v>114.65779999999999</c:v>
                </c:pt>
                <c:pt idx="423">
                  <c:v>78.027299999999997</c:v>
                </c:pt>
                <c:pt idx="424">
                  <c:v>113.52809999999999</c:v>
                </c:pt>
                <c:pt idx="425">
                  <c:v>141.12860000000001</c:v>
                </c:pt>
                <c:pt idx="426">
                  <c:v>121.8762</c:v>
                </c:pt>
                <c:pt idx="427">
                  <c:v>105.22320000000001</c:v>
                </c:pt>
                <c:pt idx="428">
                  <c:v>105.3784</c:v>
                </c:pt>
                <c:pt idx="429">
                  <c:v>122.9956</c:v>
                </c:pt>
                <c:pt idx="430">
                  <c:v>100.6324</c:v>
                </c:pt>
                <c:pt idx="431">
                  <c:v>86.001099999999994</c:v>
                </c:pt>
                <c:pt idx="432">
                  <c:v>103.67700000000001</c:v>
                </c:pt>
                <c:pt idx="433">
                  <c:v>84.448999999999998</c:v>
                </c:pt>
                <c:pt idx="434">
                  <c:v>74.795100000000005</c:v>
                </c:pt>
                <c:pt idx="435">
                  <c:v>146.8477</c:v>
                </c:pt>
                <c:pt idx="436">
                  <c:v>94.899600000000007</c:v>
                </c:pt>
                <c:pt idx="437">
                  <c:v>112.116</c:v>
                </c:pt>
                <c:pt idx="438">
                  <c:v>71.853700000000003</c:v>
                </c:pt>
                <c:pt idx="439">
                  <c:v>74.479299999999995</c:v>
                </c:pt>
                <c:pt idx="440">
                  <c:v>126.0052</c:v>
                </c:pt>
                <c:pt idx="441">
                  <c:v>55.4236</c:v>
                </c:pt>
                <c:pt idx="442">
                  <c:v>168.7407</c:v>
                </c:pt>
                <c:pt idx="443">
                  <c:v>108.6088</c:v>
                </c:pt>
                <c:pt idx="444">
                  <c:v>81.807299999999998</c:v>
                </c:pt>
                <c:pt idx="445">
                  <c:v>93.590599999999995</c:v>
                </c:pt>
                <c:pt idx="446">
                  <c:v>130.15889999999999</c:v>
                </c:pt>
                <c:pt idx="447">
                  <c:v>163.52780000000001</c:v>
                </c:pt>
                <c:pt idx="448">
                  <c:v>109.26609999999999</c:v>
                </c:pt>
                <c:pt idx="449">
                  <c:v>114.8279</c:v>
                </c:pt>
                <c:pt idx="450">
                  <c:v>96.806899999999999</c:v>
                </c:pt>
                <c:pt idx="451">
                  <c:v>82.529899999999998</c:v>
                </c:pt>
                <c:pt idx="452">
                  <c:v>81.147900000000007</c:v>
                </c:pt>
                <c:pt idx="453">
                  <c:v>142.3201</c:v>
                </c:pt>
                <c:pt idx="454">
                  <c:v>70.882999999999996</c:v>
                </c:pt>
                <c:pt idx="455">
                  <c:v>105.9307</c:v>
                </c:pt>
                <c:pt idx="456">
                  <c:v>67.551900000000003</c:v>
                </c:pt>
                <c:pt idx="457">
                  <c:v>92.550700000000006</c:v>
                </c:pt>
                <c:pt idx="458">
                  <c:v>73.659199999999998</c:v>
                </c:pt>
                <c:pt idx="459">
                  <c:v>139.85910000000001</c:v>
                </c:pt>
                <c:pt idx="460">
                  <c:v>61.722099999999998</c:v>
                </c:pt>
                <c:pt idx="461">
                  <c:v>51.741700000000002</c:v>
                </c:pt>
                <c:pt idx="462">
                  <c:v>96.836799999999997</c:v>
                </c:pt>
                <c:pt idx="463">
                  <c:v>103.9436</c:v>
                </c:pt>
                <c:pt idx="464">
                  <c:v>86.691699999999997</c:v>
                </c:pt>
                <c:pt idx="465">
                  <c:v>145.53749999999999</c:v>
                </c:pt>
                <c:pt idx="466">
                  <c:v>125.7054</c:v>
                </c:pt>
                <c:pt idx="467">
                  <c:v>124.5329</c:v>
                </c:pt>
                <c:pt idx="468">
                  <c:v>90.915300000000002</c:v>
                </c:pt>
                <c:pt idx="469">
                  <c:v>114.5591</c:v>
                </c:pt>
                <c:pt idx="470">
                  <c:v>134.11199999999999</c:v>
                </c:pt>
                <c:pt idx="471">
                  <c:v>145.78450000000001</c:v>
                </c:pt>
                <c:pt idx="472">
                  <c:v>114.1605</c:v>
                </c:pt>
                <c:pt idx="473">
                  <c:v>76.790999999999997</c:v>
                </c:pt>
                <c:pt idx="474">
                  <c:v>102.63460000000001</c:v>
                </c:pt>
                <c:pt idx="475">
                  <c:v>71.357600000000005</c:v>
                </c:pt>
                <c:pt idx="476">
                  <c:v>145.12139999999999</c:v>
                </c:pt>
                <c:pt idx="477">
                  <c:v>143.12430000000001</c:v>
                </c:pt>
                <c:pt idx="478">
                  <c:v>89.185900000000004</c:v>
                </c:pt>
                <c:pt idx="479">
                  <c:v>93.056799999999996</c:v>
                </c:pt>
                <c:pt idx="480">
                  <c:v>155.58539999999999</c:v>
                </c:pt>
                <c:pt idx="481">
                  <c:v>124.6956</c:v>
                </c:pt>
                <c:pt idx="482">
                  <c:v>76.912300000000002</c:v>
                </c:pt>
                <c:pt idx="483">
                  <c:v>119.8891</c:v>
                </c:pt>
                <c:pt idx="484">
                  <c:v>88.032399999999996</c:v>
                </c:pt>
                <c:pt idx="485">
                  <c:v>135.55000000000001</c:v>
                </c:pt>
                <c:pt idx="486">
                  <c:v>127.6537</c:v>
                </c:pt>
                <c:pt idx="487">
                  <c:v>125.1675</c:v>
                </c:pt>
                <c:pt idx="488">
                  <c:v>103.2765</c:v>
                </c:pt>
                <c:pt idx="489">
                  <c:v>84.834699999999998</c:v>
                </c:pt>
                <c:pt idx="490">
                  <c:v>141.52449999999999</c:v>
                </c:pt>
                <c:pt idx="491">
                  <c:v>108.5942</c:v>
                </c:pt>
                <c:pt idx="492">
                  <c:v>76.477500000000006</c:v>
                </c:pt>
                <c:pt idx="493">
                  <c:v>152.64609999999999</c:v>
                </c:pt>
                <c:pt idx="494">
                  <c:v>63.7791</c:v>
                </c:pt>
                <c:pt idx="495">
                  <c:v>64.318100000000001</c:v>
                </c:pt>
                <c:pt idx="496">
                  <c:v>79.949600000000004</c:v>
                </c:pt>
                <c:pt idx="497">
                  <c:v>94.557500000000005</c:v>
                </c:pt>
                <c:pt idx="498">
                  <c:v>118.6845</c:v>
                </c:pt>
                <c:pt idx="499">
                  <c:v>99.478099999999998</c:v>
                </c:pt>
                <c:pt idx="500">
                  <c:v>85.048599999999993</c:v>
                </c:pt>
                <c:pt idx="501">
                  <c:v>120.6695</c:v>
                </c:pt>
                <c:pt idx="502">
                  <c:v>86.238500000000002</c:v>
                </c:pt>
                <c:pt idx="503">
                  <c:v>83.249899999999997</c:v>
                </c:pt>
                <c:pt idx="504">
                  <c:v>89.078599999999994</c:v>
                </c:pt>
                <c:pt idx="505">
                  <c:v>155.28739999999999</c:v>
                </c:pt>
                <c:pt idx="506">
                  <c:v>99.544700000000006</c:v>
                </c:pt>
                <c:pt idx="507">
                  <c:v>86.289199999999994</c:v>
                </c:pt>
                <c:pt idx="508">
                  <c:v>76.781300000000002</c:v>
                </c:pt>
                <c:pt idx="509">
                  <c:v>135.33359999999999</c:v>
                </c:pt>
                <c:pt idx="510">
                  <c:v>80.550799999999995</c:v>
                </c:pt>
                <c:pt idx="511">
                  <c:v>134.74760000000001</c:v>
                </c:pt>
                <c:pt idx="512">
                  <c:v>90.365899999999996</c:v>
                </c:pt>
                <c:pt idx="513">
                  <c:v>80.272400000000005</c:v>
                </c:pt>
                <c:pt idx="514">
                  <c:v>59.859299999999998</c:v>
                </c:pt>
                <c:pt idx="515">
                  <c:v>104.4059</c:v>
                </c:pt>
                <c:pt idx="516">
                  <c:v>111.0012</c:v>
                </c:pt>
                <c:pt idx="517">
                  <c:v>97.4148</c:v>
                </c:pt>
                <c:pt idx="518">
                  <c:v>128.90539999999999</c:v>
                </c:pt>
                <c:pt idx="519">
                  <c:v>61.532499999999999</c:v>
                </c:pt>
                <c:pt idx="520">
                  <c:v>107.5822</c:v>
                </c:pt>
                <c:pt idx="521">
                  <c:v>111.6084</c:v>
                </c:pt>
                <c:pt idx="522">
                  <c:v>100.7732</c:v>
                </c:pt>
                <c:pt idx="523">
                  <c:v>92.325900000000004</c:v>
                </c:pt>
                <c:pt idx="524">
                  <c:v>59.908799999999999</c:v>
                </c:pt>
                <c:pt idx="525">
                  <c:v>129.91990000000001</c:v>
                </c:pt>
                <c:pt idx="526">
                  <c:v>77.485699999999994</c:v>
                </c:pt>
                <c:pt idx="527">
                  <c:v>84.322199999999995</c:v>
                </c:pt>
                <c:pt idx="528">
                  <c:v>106.92319999999999</c:v>
                </c:pt>
                <c:pt idx="529">
                  <c:v>101.50320000000001</c:v>
                </c:pt>
                <c:pt idx="530">
                  <c:v>66.804100000000005</c:v>
                </c:pt>
                <c:pt idx="531">
                  <c:v>55.606999999999999</c:v>
                </c:pt>
                <c:pt idx="532">
                  <c:v>91.195300000000003</c:v>
                </c:pt>
                <c:pt idx="533">
                  <c:v>144.26419999999999</c:v>
                </c:pt>
                <c:pt idx="534">
                  <c:v>95.461299999999994</c:v>
                </c:pt>
                <c:pt idx="535">
                  <c:v>132.0026</c:v>
                </c:pt>
                <c:pt idx="536">
                  <c:v>153.48570000000001</c:v>
                </c:pt>
                <c:pt idx="537">
                  <c:v>115.9864</c:v>
                </c:pt>
                <c:pt idx="538">
                  <c:v>156.416</c:v>
                </c:pt>
                <c:pt idx="539">
                  <c:v>89.092500000000001</c:v>
                </c:pt>
                <c:pt idx="540">
                  <c:v>117.61660000000001</c:v>
                </c:pt>
                <c:pt idx="541">
                  <c:v>163.0342</c:v>
                </c:pt>
                <c:pt idx="542">
                  <c:v>115.89790000000001</c:v>
                </c:pt>
                <c:pt idx="543">
                  <c:v>83.5869</c:v>
                </c:pt>
                <c:pt idx="544">
                  <c:v>89.664199999999994</c:v>
                </c:pt>
                <c:pt idx="545">
                  <c:v>112.0612</c:v>
                </c:pt>
                <c:pt idx="546">
                  <c:v>63.475000000000001</c:v>
                </c:pt>
                <c:pt idx="547">
                  <c:v>127.524</c:v>
                </c:pt>
                <c:pt idx="548">
                  <c:v>75.292100000000005</c:v>
                </c:pt>
                <c:pt idx="549">
                  <c:v>105.64749999999999</c:v>
                </c:pt>
                <c:pt idx="550">
                  <c:v>83.419799999999995</c:v>
                </c:pt>
                <c:pt idx="551">
                  <c:v>112.512</c:v>
                </c:pt>
                <c:pt idx="552">
                  <c:v>92.089600000000004</c:v>
                </c:pt>
                <c:pt idx="553">
                  <c:v>141.6849</c:v>
                </c:pt>
                <c:pt idx="554">
                  <c:v>74.605800000000002</c:v>
                </c:pt>
                <c:pt idx="555">
                  <c:v>133.40969999999999</c:v>
                </c:pt>
                <c:pt idx="556">
                  <c:v>123.0916</c:v>
                </c:pt>
                <c:pt idx="557">
                  <c:v>67.572199999999995</c:v>
                </c:pt>
                <c:pt idx="558">
                  <c:v>99.440600000000003</c:v>
                </c:pt>
                <c:pt idx="559">
                  <c:v>182.5668</c:v>
                </c:pt>
                <c:pt idx="560">
                  <c:v>102.3644</c:v>
                </c:pt>
                <c:pt idx="561">
                  <c:v>116.0908</c:v>
                </c:pt>
                <c:pt idx="562">
                  <c:v>64.205100000000002</c:v>
                </c:pt>
                <c:pt idx="563">
                  <c:v>82.159199999999998</c:v>
                </c:pt>
                <c:pt idx="564">
                  <c:v>95.7136</c:v>
                </c:pt>
                <c:pt idx="565">
                  <c:v>138.73419999999999</c:v>
                </c:pt>
                <c:pt idx="566">
                  <c:v>82.811599999999999</c:v>
                </c:pt>
                <c:pt idx="567">
                  <c:v>94.025999999999996</c:v>
                </c:pt>
                <c:pt idx="568">
                  <c:v>96.676900000000003</c:v>
                </c:pt>
                <c:pt idx="569">
                  <c:v>93.6387</c:v>
                </c:pt>
                <c:pt idx="570">
                  <c:v>94.846699999999998</c:v>
                </c:pt>
                <c:pt idx="571">
                  <c:v>110.4579</c:v>
                </c:pt>
                <c:pt idx="572">
                  <c:v>160.30510000000001</c:v>
                </c:pt>
                <c:pt idx="573">
                  <c:v>105.9978</c:v>
                </c:pt>
                <c:pt idx="574">
                  <c:v>93.557299999999998</c:v>
                </c:pt>
                <c:pt idx="575">
                  <c:v>111.12990000000001</c:v>
                </c:pt>
                <c:pt idx="576">
                  <c:v>75.058499999999995</c:v>
                </c:pt>
                <c:pt idx="577">
                  <c:v>81.566800000000001</c:v>
                </c:pt>
                <c:pt idx="578">
                  <c:v>91.1066</c:v>
                </c:pt>
                <c:pt idx="579">
                  <c:v>78.621300000000005</c:v>
                </c:pt>
                <c:pt idx="580">
                  <c:v>152.58009999999999</c:v>
                </c:pt>
                <c:pt idx="581">
                  <c:v>66.629599999999996</c:v>
                </c:pt>
                <c:pt idx="582">
                  <c:v>93.524199999999993</c:v>
                </c:pt>
                <c:pt idx="583">
                  <c:v>77.205200000000005</c:v>
                </c:pt>
                <c:pt idx="584">
                  <c:v>151.9325</c:v>
                </c:pt>
                <c:pt idx="585">
                  <c:v>172.49979999999999</c:v>
                </c:pt>
                <c:pt idx="586">
                  <c:v>99.817300000000003</c:v>
                </c:pt>
                <c:pt idx="587">
                  <c:v>118.6782</c:v>
                </c:pt>
                <c:pt idx="588">
                  <c:v>135.96129999999999</c:v>
                </c:pt>
                <c:pt idx="589">
                  <c:v>79.215699999999998</c:v>
                </c:pt>
                <c:pt idx="590">
                  <c:v>80.497699999999995</c:v>
                </c:pt>
                <c:pt idx="591">
                  <c:v>126.89919999999999</c:v>
                </c:pt>
                <c:pt idx="592">
                  <c:v>75.461699999999993</c:v>
                </c:pt>
                <c:pt idx="593">
                  <c:v>101.0021</c:v>
                </c:pt>
                <c:pt idx="594">
                  <c:v>97.237399999999994</c:v>
                </c:pt>
                <c:pt idx="595">
                  <c:v>110.0742</c:v>
                </c:pt>
                <c:pt idx="596">
                  <c:v>62.4101</c:v>
                </c:pt>
                <c:pt idx="597">
                  <c:v>108.4053</c:v>
                </c:pt>
                <c:pt idx="598">
                  <c:v>94.747</c:v>
                </c:pt>
                <c:pt idx="599">
                  <c:v>78.766400000000004</c:v>
                </c:pt>
                <c:pt idx="600">
                  <c:v>120.4406</c:v>
                </c:pt>
                <c:pt idx="601">
                  <c:v>120.196</c:v>
                </c:pt>
                <c:pt idx="602">
                  <c:v>78.373900000000006</c:v>
                </c:pt>
                <c:pt idx="603">
                  <c:v>208.66810000000001</c:v>
                </c:pt>
                <c:pt idx="604">
                  <c:v>130.33019999999999</c:v>
                </c:pt>
                <c:pt idx="605">
                  <c:v>78.375299999999996</c:v>
                </c:pt>
                <c:pt idx="606">
                  <c:v>154.83539999999999</c:v>
                </c:pt>
                <c:pt idx="607">
                  <c:v>145.64879999999999</c:v>
                </c:pt>
                <c:pt idx="608">
                  <c:v>80.001300000000001</c:v>
                </c:pt>
                <c:pt idx="609">
                  <c:v>145.93209999999999</c:v>
                </c:pt>
                <c:pt idx="610">
                  <c:v>163.3321</c:v>
                </c:pt>
                <c:pt idx="611">
                  <c:v>75.388900000000007</c:v>
                </c:pt>
                <c:pt idx="612">
                  <c:v>100.86660000000001</c:v>
                </c:pt>
                <c:pt idx="613">
                  <c:v>125.8321</c:v>
                </c:pt>
                <c:pt idx="614">
                  <c:v>75.745500000000007</c:v>
                </c:pt>
                <c:pt idx="615">
                  <c:v>68.122900000000001</c:v>
                </c:pt>
                <c:pt idx="616">
                  <c:v>79.443600000000004</c:v>
                </c:pt>
                <c:pt idx="617">
                  <c:v>79.459299999999999</c:v>
                </c:pt>
                <c:pt idx="618">
                  <c:v>53.857199999999999</c:v>
                </c:pt>
                <c:pt idx="619">
                  <c:v>97.756799999999998</c:v>
                </c:pt>
                <c:pt idx="620">
                  <c:v>130.60470000000001</c:v>
                </c:pt>
                <c:pt idx="621">
                  <c:v>113.721</c:v>
                </c:pt>
                <c:pt idx="622">
                  <c:v>77.802400000000006</c:v>
                </c:pt>
                <c:pt idx="623">
                  <c:v>83.223799999999997</c:v>
                </c:pt>
                <c:pt idx="624">
                  <c:v>104.0106</c:v>
                </c:pt>
                <c:pt idx="625">
                  <c:v>68.279200000000003</c:v>
                </c:pt>
                <c:pt idx="626">
                  <c:v>99.109700000000004</c:v>
                </c:pt>
                <c:pt idx="627">
                  <c:v>65.479600000000005</c:v>
                </c:pt>
                <c:pt idx="628">
                  <c:v>125.7106</c:v>
                </c:pt>
                <c:pt idx="629">
                  <c:v>87.940399999999997</c:v>
                </c:pt>
                <c:pt idx="630">
                  <c:v>64.918199999999999</c:v>
                </c:pt>
                <c:pt idx="631">
                  <c:v>128.19300000000001</c:v>
                </c:pt>
                <c:pt idx="632">
                  <c:v>55.036000000000001</c:v>
                </c:pt>
                <c:pt idx="633">
                  <c:v>62.975900000000003</c:v>
                </c:pt>
                <c:pt idx="634">
                  <c:v>140.1249</c:v>
                </c:pt>
                <c:pt idx="635">
                  <c:v>164.35929999999999</c:v>
                </c:pt>
                <c:pt idx="636">
                  <c:v>93.7483</c:v>
                </c:pt>
                <c:pt idx="637">
                  <c:v>96.143199999999993</c:v>
                </c:pt>
                <c:pt idx="638">
                  <c:v>83.608199999999997</c:v>
                </c:pt>
                <c:pt idx="639">
                  <c:v>114.99550000000001</c:v>
                </c:pt>
                <c:pt idx="640">
                  <c:v>107.7805</c:v>
                </c:pt>
                <c:pt idx="641">
                  <c:v>110.5377</c:v>
                </c:pt>
                <c:pt idx="642">
                  <c:v>70.711399999999998</c:v>
                </c:pt>
                <c:pt idx="643">
                  <c:v>65.549599999999998</c:v>
                </c:pt>
                <c:pt idx="644">
                  <c:v>154.744</c:v>
                </c:pt>
                <c:pt idx="645">
                  <c:v>107.4477</c:v>
                </c:pt>
                <c:pt idx="646">
                  <c:v>102.3276</c:v>
                </c:pt>
                <c:pt idx="647">
                  <c:v>68.287800000000004</c:v>
                </c:pt>
                <c:pt idx="648">
                  <c:v>128.94720000000001</c:v>
                </c:pt>
                <c:pt idx="649">
                  <c:v>95.550700000000006</c:v>
                </c:pt>
                <c:pt idx="650">
                  <c:v>117.1477</c:v>
                </c:pt>
                <c:pt idx="651">
                  <c:v>115.8878</c:v>
                </c:pt>
                <c:pt idx="652">
                  <c:v>95.725099999999998</c:v>
                </c:pt>
                <c:pt idx="653">
                  <c:v>86.264399999999995</c:v>
                </c:pt>
                <c:pt idx="654">
                  <c:v>112.2227</c:v>
                </c:pt>
                <c:pt idx="655">
                  <c:v>79.864199999999997</c:v>
                </c:pt>
                <c:pt idx="656">
                  <c:v>74.034700000000001</c:v>
                </c:pt>
                <c:pt idx="657">
                  <c:v>69.289900000000003</c:v>
                </c:pt>
                <c:pt idx="658">
                  <c:v>122.4308</c:v>
                </c:pt>
                <c:pt idx="659">
                  <c:v>103.4905</c:v>
                </c:pt>
                <c:pt idx="660">
                  <c:v>113.3169</c:v>
                </c:pt>
                <c:pt idx="661">
                  <c:v>74.267799999999994</c:v>
                </c:pt>
                <c:pt idx="662">
                  <c:v>68.001099999999994</c:v>
                </c:pt>
                <c:pt idx="663">
                  <c:v>81.977500000000006</c:v>
                </c:pt>
                <c:pt idx="664">
                  <c:v>108.7478</c:v>
                </c:pt>
                <c:pt idx="665">
                  <c:v>130.0008</c:v>
                </c:pt>
                <c:pt idx="666">
                  <c:v>114.2122</c:v>
                </c:pt>
                <c:pt idx="667">
                  <c:v>80.045000000000002</c:v>
                </c:pt>
                <c:pt idx="668">
                  <c:v>54.670900000000003</c:v>
                </c:pt>
                <c:pt idx="669">
                  <c:v>174.53100000000001</c:v>
                </c:pt>
                <c:pt idx="670">
                  <c:v>114.62139999999999</c:v>
                </c:pt>
                <c:pt idx="671">
                  <c:v>93.930199999999999</c:v>
                </c:pt>
                <c:pt idx="672">
                  <c:v>133.35480000000001</c:v>
                </c:pt>
                <c:pt idx="673">
                  <c:v>123.4238</c:v>
                </c:pt>
                <c:pt idx="674">
                  <c:v>133.50110000000001</c:v>
                </c:pt>
                <c:pt idx="675">
                  <c:v>69.295900000000003</c:v>
                </c:pt>
                <c:pt idx="676">
                  <c:v>70.432500000000005</c:v>
                </c:pt>
                <c:pt idx="677">
                  <c:v>136.4111</c:v>
                </c:pt>
                <c:pt idx="678">
                  <c:v>67.3279</c:v>
                </c:pt>
                <c:pt idx="679">
                  <c:v>83.78</c:v>
                </c:pt>
                <c:pt idx="680">
                  <c:v>88.161799999999999</c:v>
                </c:pt>
                <c:pt idx="681">
                  <c:v>94.944999999999993</c:v>
                </c:pt>
                <c:pt idx="682">
                  <c:v>83.635199999999998</c:v>
                </c:pt>
                <c:pt idx="683">
                  <c:v>78.712000000000003</c:v>
                </c:pt>
                <c:pt idx="684">
                  <c:v>182.79179999999999</c:v>
                </c:pt>
                <c:pt idx="685">
                  <c:v>127.66249999999999</c:v>
                </c:pt>
                <c:pt idx="686">
                  <c:v>123.1225</c:v>
                </c:pt>
                <c:pt idx="687">
                  <c:v>89.242699999999999</c:v>
                </c:pt>
                <c:pt idx="688">
                  <c:v>70.661799999999999</c:v>
                </c:pt>
                <c:pt idx="689">
                  <c:v>79.4602</c:v>
                </c:pt>
                <c:pt idx="690">
                  <c:v>190.73609999999999</c:v>
                </c:pt>
                <c:pt idx="691">
                  <c:v>67.573300000000003</c:v>
                </c:pt>
                <c:pt idx="692">
                  <c:v>125.5727</c:v>
                </c:pt>
                <c:pt idx="693">
                  <c:v>181.31180000000001</c:v>
                </c:pt>
                <c:pt idx="694">
                  <c:v>91.374099999999999</c:v>
                </c:pt>
                <c:pt idx="695">
                  <c:v>136.9238</c:v>
                </c:pt>
                <c:pt idx="696">
                  <c:v>129.524</c:v>
                </c:pt>
                <c:pt idx="697">
                  <c:v>124.47110000000001</c:v>
                </c:pt>
                <c:pt idx="698">
                  <c:v>72.586200000000005</c:v>
                </c:pt>
                <c:pt idx="699">
                  <c:v>98.742599999999996</c:v>
                </c:pt>
                <c:pt idx="700">
                  <c:v>87.363900000000001</c:v>
                </c:pt>
                <c:pt idx="701">
                  <c:v>173.39359999999999</c:v>
                </c:pt>
                <c:pt idx="702">
                  <c:v>84.441699999999997</c:v>
                </c:pt>
                <c:pt idx="703">
                  <c:v>68.800200000000004</c:v>
                </c:pt>
                <c:pt idx="704">
                  <c:v>60.809199999999997</c:v>
                </c:pt>
                <c:pt idx="705">
                  <c:v>285.97129999999999</c:v>
                </c:pt>
                <c:pt idx="706">
                  <c:v>126.3359</c:v>
                </c:pt>
                <c:pt idx="707">
                  <c:v>140.79820000000001</c:v>
                </c:pt>
                <c:pt idx="708">
                  <c:v>149.41730000000001</c:v>
                </c:pt>
                <c:pt idx="709">
                  <c:v>96.762500000000003</c:v>
                </c:pt>
                <c:pt idx="710">
                  <c:v>110.7602</c:v>
                </c:pt>
                <c:pt idx="711">
                  <c:v>94.167000000000002</c:v>
                </c:pt>
                <c:pt idx="712">
                  <c:v>185.7955</c:v>
                </c:pt>
                <c:pt idx="713">
                  <c:v>86.428899999999999</c:v>
                </c:pt>
                <c:pt idx="714">
                  <c:v>78.132000000000005</c:v>
                </c:pt>
                <c:pt idx="715">
                  <c:v>109.98269999999999</c:v>
                </c:pt>
                <c:pt idx="716">
                  <c:v>81.392899999999997</c:v>
                </c:pt>
                <c:pt idx="717">
                  <c:v>64.744299999999996</c:v>
                </c:pt>
                <c:pt idx="718">
                  <c:v>66.628399999999999</c:v>
                </c:pt>
                <c:pt idx="719">
                  <c:v>77.355400000000003</c:v>
                </c:pt>
                <c:pt idx="720">
                  <c:v>102.0665</c:v>
                </c:pt>
                <c:pt idx="721">
                  <c:v>165.47499999999999</c:v>
                </c:pt>
                <c:pt idx="722">
                  <c:v>115.8747</c:v>
                </c:pt>
                <c:pt idx="723">
                  <c:v>81.171899999999994</c:v>
                </c:pt>
                <c:pt idx="724">
                  <c:v>91.630799999999994</c:v>
                </c:pt>
                <c:pt idx="725">
                  <c:v>64.328900000000004</c:v>
                </c:pt>
                <c:pt idx="726">
                  <c:v>89.633099999999999</c:v>
                </c:pt>
                <c:pt idx="727">
                  <c:v>141.50280000000001</c:v>
                </c:pt>
                <c:pt idx="728">
                  <c:v>76.572900000000004</c:v>
                </c:pt>
                <c:pt idx="729">
                  <c:v>60.366500000000002</c:v>
                </c:pt>
                <c:pt idx="730">
                  <c:v>82.795400000000001</c:v>
                </c:pt>
                <c:pt idx="731">
                  <c:v>91.035600000000002</c:v>
                </c:pt>
                <c:pt idx="732">
                  <c:v>218.1874</c:v>
                </c:pt>
                <c:pt idx="733">
                  <c:v>92.427300000000002</c:v>
                </c:pt>
                <c:pt idx="734">
                  <c:v>182.6046</c:v>
                </c:pt>
                <c:pt idx="735">
                  <c:v>125.0913</c:v>
                </c:pt>
                <c:pt idx="736">
                  <c:v>73.229399999999998</c:v>
                </c:pt>
                <c:pt idx="737">
                  <c:v>72.490600000000001</c:v>
                </c:pt>
                <c:pt idx="738">
                  <c:v>113.6961</c:v>
                </c:pt>
                <c:pt idx="739">
                  <c:v>95.373800000000003</c:v>
                </c:pt>
                <c:pt idx="740">
                  <c:v>138.31440000000001</c:v>
                </c:pt>
                <c:pt idx="741">
                  <c:v>96.376199999999997</c:v>
                </c:pt>
                <c:pt idx="742">
                  <c:v>104.49039999999999</c:v>
                </c:pt>
                <c:pt idx="743">
                  <c:v>182.17949999999999</c:v>
                </c:pt>
                <c:pt idx="744">
                  <c:v>75.320300000000003</c:v>
                </c:pt>
                <c:pt idx="745">
                  <c:v>82.3994</c:v>
                </c:pt>
                <c:pt idx="746">
                  <c:v>115.37</c:v>
                </c:pt>
                <c:pt idx="747">
                  <c:v>119.3481</c:v>
                </c:pt>
                <c:pt idx="748">
                  <c:v>91.340500000000006</c:v>
                </c:pt>
                <c:pt idx="749">
                  <c:v>77.352900000000005</c:v>
                </c:pt>
                <c:pt idx="750">
                  <c:v>101.61279999999999</c:v>
                </c:pt>
                <c:pt idx="751">
                  <c:v>180.76400000000001</c:v>
                </c:pt>
                <c:pt idx="752">
                  <c:v>150.62799999999999</c:v>
                </c:pt>
                <c:pt idx="753">
                  <c:v>81.308599999999998</c:v>
                </c:pt>
                <c:pt idx="754">
                  <c:v>134.09710000000001</c:v>
                </c:pt>
                <c:pt idx="755">
                  <c:v>114.25920000000001</c:v>
                </c:pt>
                <c:pt idx="756">
                  <c:v>102.7197</c:v>
                </c:pt>
                <c:pt idx="757">
                  <c:v>141.0445</c:v>
                </c:pt>
                <c:pt idx="758">
                  <c:v>151.4949</c:v>
                </c:pt>
                <c:pt idx="759">
                  <c:v>111.1277</c:v>
                </c:pt>
                <c:pt idx="760">
                  <c:v>86.307500000000005</c:v>
                </c:pt>
                <c:pt idx="761">
                  <c:v>149.37110000000001</c:v>
                </c:pt>
                <c:pt idx="762">
                  <c:v>112.986</c:v>
                </c:pt>
                <c:pt idx="763">
                  <c:v>54.948599999999999</c:v>
                </c:pt>
                <c:pt idx="764">
                  <c:v>89.903000000000006</c:v>
                </c:pt>
                <c:pt idx="765">
                  <c:v>130.8099</c:v>
                </c:pt>
                <c:pt idx="766">
                  <c:v>87.259299999999996</c:v>
                </c:pt>
                <c:pt idx="767">
                  <c:v>126.6251</c:v>
                </c:pt>
                <c:pt idx="768">
                  <c:v>67.637900000000002</c:v>
                </c:pt>
                <c:pt idx="769">
                  <c:v>78.302999999999997</c:v>
                </c:pt>
                <c:pt idx="770">
                  <c:v>140.32149999999999</c:v>
                </c:pt>
                <c:pt idx="771">
                  <c:v>57.9482</c:v>
                </c:pt>
                <c:pt idx="772">
                  <c:v>192.66900000000001</c:v>
                </c:pt>
                <c:pt idx="773">
                  <c:v>61.469200000000001</c:v>
                </c:pt>
                <c:pt idx="774">
                  <c:v>76.479799999999997</c:v>
                </c:pt>
                <c:pt idx="775">
                  <c:v>101.1674</c:v>
                </c:pt>
                <c:pt idx="776">
                  <c:v>123.316</c:v>
                </c:pt>
                <c:pt idx="777">
                  <c:v>98.538899999999998</c:v>
                </c:pt>
                <c:pt idx="778">
                  <c:v>88.859200000000001</c:v>
                </c:pt>
                <c:pt idx="779">
                  <c:v>93.444800000000001</c:v>
                </c:pt>
                <c:pt idx="780">
                  <c:v>70.580699999999993</c:v>
                </c:pt>
                <c:pt idx="781">
                  <c:v>123.6985</c:v>
                </c:pt>
                <c:pt idx="782">
                  <c:v>130.39330000000001</c:v>
                </c:pt>
                <c:pt idx="783">
                  <c:v>79.435299999999998</c:v>
                </c:pt>
                <c:pt idx="784">
                  <c:v>68.745099999999994</c:v>
                </c:pt>
                <c:pt idx="785">
                  <c:v>100.45010000000001</c:v>
                </c:pt>
                <c:pt idx="786">
                  <c:v>133.01429999999999</c:v>
                </c:pt>
                <c:pt idx="787">
                  <c:v>106.7619</c:v>
                </c:pt>
                <c:pt idx="788">
                  <c:v>151.5051</c:v>
                </c:pt>
                <c:pt idx="789">
                  <c:v>62.786900000000003</c:v>
                </c:pt>
                <c:pt idx="790">
                  <c:v>81.196899999999999</c:v>
                </c:pt>
                <c:pt idx="791">
                  <c:v>137.3544</c:v>
                </c:pt>
                <c:pt idx="792">
                  <c:v>96.638599999999997</c:v>
                </c:pt>
                <c:pt idx="793">
                  <c:v>75.644800000000004</c:v>
                </c:pt>
                <c:pt idx="794">
                  <c:v>108.5659</c:v>
                </c:pt>
                <c:pt idx="795">
                  <c:v>77.695099999999996</c:v>
                </c:pt>
                <c:pt idx="796">
                  <c:v>93.965199999999996</c:v>
                </c:pt>
                <c:pt idx="797">
                  <c:v>81.143699999999995</c:v>
                </c:pt>
                <c:pt idx="798">
                  <c:v>82.702299999999994</c:v>
                </c:pt>
                <c:pt idx="799">
                  <c:v>92.238</c:v>
                </c:pt>
                <c:pt idx="800">
                  <c:v>123.28270000000001</c:v>
                </c:pt>
                <c:pt idx="801">
                  <c:v>113.99379999999999</c:v>
                </c:pt>
                <c:pt idx="802">
                  <c:v>54.337499999999999</c:v>
                </c:pt>
                <c:pt idx="803">
                  <c:v>119.154</c:v>
                </c:pt>
                <c:pt idx="804">
                  <c:v>104.5218</c:v>
                </c:pt>
                <c:pt idx="805">
                  <c:v>103.5129</c:v>
                </c:pt>
                <c:pt idx="806">
                  <c:v>124.5624</c:v>
                </c:pt>
                <c:pt idx="807">
                  <c:v>83.147300000000001</c:v>
                </c:pt>
                <c:pt idx="808">
                  <c:v>108.3694</c:v>
                </c:pt>
                <c:pt idx="809">
                  <c:v>70.4392</c:v>
                </c:pt>
                <c:pt idx="810">
                  <c:v>92.055199999999999</c:v>
                </c:pt>
                <c:pt idx="811">
                  <c:v>71.434299999999993</c:v>
                </c:pt>
                <c:pt idx="812">
                  <c:v>98.857200000000006</c:v>
                </c:pt>
                <c:pt idx="813">
                  <c:v>114.0356</c:v>
                </c:pt>
                <c:pt idx="814">
                  <c:v>140.47730000000001</c:v>
                </c:pt>
                <c:pt idx="815">
                  <c:v>152.5427</c:v>
                </c:pt>
                <c:pt idx="816">
                  <c:v>121.5472</c:v>
                </c:pt>
                <c:pt idx="817">
                  <c:v>106.28570000000001</c:v>
                </c:pt>
                <c:pt idx="818">
                  <c:v>101.8398</c:v>
                </c:pt>
                <c:pt idx="819">
                  <c:v>58.582799999999999</c:v>
                </c:pt>
                <c:pt idx="820">
                  <c:v>97.147999999999996</c:v>
                </c:pt>
                <c:pt idx="821">
                  <c:v>73.418700000000001</c:v>
                </c:pt>
                <c:pt idx="822">
                  <c:v>108.9849</c:v>
                </c:pt>
                <c:pt idx="823">
                  <c:v>103.59439999999999</c:v>
                </c:pt>
                <c:pt idx="824">
                  <c:v>142.8528</c:v>
                </c:pt>
                <c:pt idx="825">
                  <c:v>81.164000000000001</c:v>
                </c:pt>
                <c:pt idx="826">
                  <c:v>97.125799999999998</c:v>
                </c:pt>
                <c:pt idx="827">
                  <c:v>91.966300000000004</c:v>
                </c:pt>
                <c:pt idx="828">
                  <c:v>102.998</c:v>
                </c:pt>
                <c:pt idx="829">
                  <c:v>204.3845</c:v>
                </c:pt>
                <c:pt idx="830">
                  <c:v>73.658799999999999</c:v>
                </c:pt>
                <c:pt idx="831">
                  <c:v>169.62029999999999</c:v>
                </c:pt>
                <c:pt idx="832">
                  <c:v>176.7628</c:v>
                </c:pt>
                <c:pt idx="833">
                  <c:v>97.944999999999993</c:v>
                </c:pt>
                <c:pt idx="834">
                  <c:v>94.3566</c:v>
                </c:pt>
                <c:pt idx="835">
                  <c:v>85.464600000000004</c:v>
                </c:pt>
                <c:pt idx="836">
                  <c:v>81.018900000000002</c:v>
                </c:pt>
                <c:pt idx="837">
                  <c:v>107.0354</c:v>
                </c:pt>
                <c:pt idx="838">
                  <c:v>78.886799999999994</c:v>
                </c:pt>
                <c:pt idx="839">
                  <c:v>95.276799999999994</c:v>
                </c:pt>
                <c:pt idx="840">
                  <c:v>112.3935</c:v>
                </c:pt>
                <c:pt idx="841">
                  <c:v>122.68259999999999</c:v>
                </c:pt>
                <c:pt idx="842">
                  <c:v>95.937200000000004</c:v>
                </c:pt>
                <c:pt idx="843">
                  <c:v>120.4029</c:v>
                </c:pt>
                <c:pt idx="844">
                  <c:v>82.969200000000001</c:v>
                </c:pt>
                <c:pt idx="845">
                  <c:v>74.102000000000004</c:v>
                </c:pt>
                <c:pt idx="846">
                  <c:v>123.93980000000001</c:v>
                </c:pt>
                <c:pt idx="847">
                  <c:v>116.0527</c:v>
                </c:pt>
                <c:pt idx="848">
                  <c:v>58.822400000000002</c:v>
                </c:pt>
                <c:pt idx="849">
                  <c:v>92.771799999999999</c:v>
                </c:pt>
                <c:pt idx="850">
                  <c:v>66.9221</c:v>
                </c:pt>
                <c:pt idx="851">
                  <c:v>100</c:v>
                </c:pt>
                <c:pt idx="852">
                  <c:v>85.5822</c:v>
                </c:pt>
                <c:pt idx="853">
                  <c:v>56.1877</c:v>
                </c:pt>
                <c:pt idx="854">
                  <c:v>48.196599999999997</c:v>
                </c:pt>
                <c:pt idx="855">
                  <c:v>68.049099999999996</c:v>
                </c:pt>
                <c:pt idx="856">
                  <c:v>89.599199999999996</c:v>
                </c:pt>
                <c:pt idx="857">
                  <c:v>83.862099999999998</c:v>
                </c:pt>
                <c:pt idx="858">
                  <c:v>154.74469999999999</c:v>
                </c:pt>
                <c:pt idx="859">
                  <c:v>110.1499</c:v>
                </c:pt>
                <c:pt idx="860">
                  <c:v>107.1632</c:v>
                </c:pt>
                <c:pt idx="861">
                  <c:v>115.2371</c:v>
                </c:pt>
                <c:pt idx="862">
                  <c:v>130.46190000000001</c:v>
                </c:pt>
                <c:pt idx="863">
                  <c:v>105.2608</c:v>
                </c:pt>
                <c:pt idx="864">
                  <c:v>191.26949999999999</c:v>
                </c:pt>
                <c:pt idx="865">
                  <c:v>62.829300000000003</c:v>
                </c:pt>
                <c:pt idx="866">
                  <c:v>135.16079999999999</c:v>
                </c:pt>
                <c:pt idx="867">
                  <c:v>92.262100000000004</c:v>
                </c:pt>
                <c:pt idx="868">
                  <c:v>89.727400000000003</c:v>
                </c:pt>
                <c:pt idx="869">
                  <c:v>107.01600000000001</c:v>
                </c:pt>
                <c:pt idx="870">
                  <c:v>116.2482</c:v>
                </c:pt>
                <c:pt idx="871">
                  <c:v>79.006200000000007</c:v>
                </c:pt>
                <c:pt idx="872">
                  <c:v>106.6885</c:v>
                </c:pt>
                <c:pt idx="873">
                  <c:v>132.3013</c:v>
                </c:pt>
                <c:pt idx="874">
                  <c:v>116.3762</c:v>
                </c:pt>
                <c:pt idx="875">
                  <c:v>135.99250000000001</c:v>
                </c:pt>
                <c:pt idx="876">
                  <c:v>76.914199999999994</c:v>
                </c:pt>
                <c:pt idx="877">
                  <c:v>146.19569999999999</c:v>
                </c:pt>
                <c:pt idx="878">
                  <c:v>110.93770000000001</c:v>
                </c:pt>
                <c:pt idx="879">
                  <c:v>70.700800000000001</c:v>
                </c:pt>
                <c:pt idx="880">
                  <c:v>83.3977</c:v>
                </c:pt>
                <c:pt idx="881">
                  <c:v>72.366299999999995</c:v>
                </c:pt>
                <c:pt idx="882">
                  <c:v>92.963200000000001</c:v>
                </c:pt>
                <c:pt idx="883">
                  <c:v>168.1337</c:v>
                </c:pt>
                <c:pt idx="884">
                  <c:v>57.143300000000004</c:v>
                </c:pt>
                <c:pt idx="885">
                  <c:v>111.23520000000001</c:v>
                </c:pt>
                <c:pt idx="886">
                  <c:v>237.44409999999999</c:v>
                </c:pt>
                <c:pt idx="887">
                  <c:v>160.12610000000001</c:v>
                </c:pt>
                <c:pt idx="888">
                  <c:v>179.7269</c:v>
                </c:pt>
                <c:pt idx="889">
                  <c:v>115.50790000000001</c:v>
                </c:pt>
                <c:pt idx="890">
                  <c:v>77.578900000000004</c:v>
                </c:pt>
                <c:pt idx="891">
                  <c:v>76.293899999999994</c:v>
                </c:pt>
                <c:pt idx="892">
                  <c:v>106.56310000000001</c:v>
                </c:pt>
                <c:pt idx="893">
                  <c:v>66.233900000000006</c:v>
                </c:pt>
                <c:pt idx="894">
                  <c:v>102.2762</c:v>
                </c:pt>
                <c:pt idx="895">
                  <c:v>94.101699999999994</c:v>
                </c:pt>
                <c:pt idx="896">
                  <c:v>137.72479999999999</c:v>
                </c:pt>
                <c:pt idx="897">
                  <c:v>71.518600000000006</c:v>
                </c:pt>
                <c:pt idx="898">
                  <c:v>100.6378</c:v>
                </c:pt>
                <c:pt idx="899">
                  <c:v>107.80500000000001</c:v>
                </c:pt>
                <c:pt idx="900">
                  <c:v>110.9854</c:v>
                </c:pt>
                <c:pt idx="901">
                  <c:v>135.64330000000001</c:v>
                </c:pt>
                <c:pt idx="902">
                  <c:v>105.08159999999999</c:v>
                </c:pt>
                <c:pt idx="903">
                  <c:v>136.17869999999999</c:v>
                </c:pt>
                <c:pt idx="904">
                  <c:v>94.173599999999993</c:v>
                </c:pt>
                <c:pt idx="905">
                  <c:v>83.378299999999996</c:v>
                </c:pt>
                <c:pt idx="906">
                  <c:v>106.88849999999999</c:v>
                </c:pt>
                <c:pt idx="907">
                  <c:v>175.8109</c:v>
                </c:pt>
                <c:pt idx="908">
                  <c:v>114.21720000000001</c:v>
                </c:pt>
                <c:pt idx="909">
                  <c:v>150.036</c:v>
                </c:pt>
                <c:pt idx="910">
                  <c:v>158.2928</c:v>
                </c:pt>
                <c:pt idx="911">
                  <c:v>143.44710000000001</c:v>
                </c:pt>
                <c:pt idx="912">
                  <c:v>78.638099999999994</c:v>
                </c:pt>
                <c:pt idx="913">
                  <c:v>79.434399999999997</c:v>
                </c:pt>
                <c:pt idx="914">
                  <c:v>112.369</c:v>
                </c:pt>
                <c:pt idx="915">
                  <c:v>63.477499999999999</c:v>
                </c:pt>
                <c:pt idx="916">
                  <c:v>92.623999999999995</c:v>
                </c:pt>
                <c:pt idx="917">
                  <c:v>89.8018</c:v>
                </c:pt>
                <c:pt idx="918">
                  <c:v>86.378900000000002</c:v>
                </c:pt>
                <c:pt idx="919">
                  <c:v>65.038600000000002</c:v>
                </c:pt>
                <c:pt idx="920">
                  <c:v>101.6314</c:v>
                </c:pt>
                <c:pt idx="921">
                  <c:v>82.236099999999993</c:v>
                </c:pt>
                <c:pt idx="922">
                  <c:v>114.8439</c:v>
                </c:pt>
                <c:pt idx="923">
                  <c:v>99.065600000000003</c:v>
                </c:pt>
                <c:pt idx="924">
                  <c:v>135.7133</c:v>
                </c:pt>
                <c:pt idx="925">
                  <c:v>118.3493</c:v>
                </c:pt>
                <c:pt idx="926">
                  <c:v>105.44670000000001</c:v>
                </c:pt>
                <c:pt idx="927">
                  <c:v>120.11969999999999</c:v>
                </c:pt>
                <c:pt idx="928">
                  <c:v>102.69929999999999</c:v>
                </c:pt>
                <c:pt idx="929">
                  <c:v>85.697500000000005</c:v>
                </c:pt>
                <c:pt idx="930">
                  <c:v>99.593800000000002</c:v>
                </c:pt>
                <c:pt idx="931">
                  <c:v>94.554900000000004</c:v>
                </c:pt>
                <c:pt idx="932">
                  <c:v>61.163699999999999</c:v>
                </c:pt>
                <c:pt idx="933">
                  <c:v>160.2679</c:v>
                </c:pt>
                <c:pt idx="934">
                  <c:v>151.0239</c:v>
                </c:pt>
                <c:pt idx="935">
                  <c:v>66.457700000000003</c:v>
                </c:pt>
                <c:pt idx="936">
                  <c:v>123.7101</c:v>
                </c:pt>
                <c:pt idx="937">
                  <c:v>83.286199999999994</c:v>
                </c:pt>
                <c:pt idx="938">
                  <c:v>104.44670000000001</c:v>
                </c:pt>
                <c:pt idx="939">
                  <c:v>164.4905</c:v>
                </c:pt>
                <c:pt idx="940">
                  <c:v>96.780100000000004</c:v>
                </c:pt>
                <c:pt idx="941">
                  <c:v>156.5291</c:v>
                </c:pt>
                <c:pt idx="942">
                  <c:v>89.3249</c:v>
                </c:pt>
                <c:pt idx="943">
                  <c:v>47.529800000000002</c:v>
                </c:pt>
                <c:pt idx="944">
                  <c:v>93.266199999999998</c:v>
                </c:pt>
                <c:pt idx="945">
                  <c:v>79.239400000000003</c:v>
                </c:pt>
                <c:pt idx="946">
                  <c:v>82.897499999999994</c:v>
                </c:pt>
                <c:pt idx="947">
                  <c:v>118.22450000000001</c:v>
                </c:pt>
                <c:pt idx="948">
                  <c:v>104.95010000000001</c:v>
                </c:pt>
                <c:pt idx="949">
                  <c:v>96.508200000000002</c:v>
                </c:pt>
                <c:pt idx="950">
                  <c:v>107.3954</c:v>
                </c:pt>
                <c:pt idx="951">
                  <c:v>148.46199999999999</c:v>
                </c:pt>
                <c:pt idx="952">
                  <c:v>103.0715</c:v>
                </c:pt>
                <c:pt idx="953">
                  <c:v>136.43039999999999</c:v>
                </c:pt>
                <c:pt idx="954">
                  <c:v>100.3518</c:v>
                </c:pt>
                <c:pt idx="955">
                  <c:v>154.4547</c:v>
                </c:pt>
                <c:pt idx="956">
                  <c:v>71.591200000000001</c:v>
                </c:pt>
                <c:pt idx="957">
                  <c:v>85.851699999999994</c:v>
                </c:pt>
                <c:pt idx="958">
                  <c:v>70.032399999999996</c:v>
                </c:pt>
                <c:pt idx="959">
                  <c:v>60.887799999999999</c:v>
                </c:pt>
                <c:pt idx="960">
                  <c:v>116.0356</c:v>
                </c:pt>
                <c:pt idx="961">
                  <c:v>62.7333</c:v>
                </c:pt>
                <c:pt idx="962">
                  <c:v>140.4186</c:v>
                </c:pt>
                <c:pt idx="963">
                  <c:v>124.29</c:v>
                </c:pt>
                <c:pt idx="964">
                  <c:v>73.290300000000002</c:v>
                </c:pt>
                <c:pt idx="965">
                  <c:v>64.860299999999995</c:v>
                </c:pt>
                <c:pt idx="966">
                  <c:v>114.366</c:v>
                </c:pt>
                <c:pt idx="967">
                  <c:v>80.323300000000003</c:v>
                </c:pt>
                <c:pt idx="968">
                  <c:v>90.78</c:v>
                </c:pt>
                <c:pt idx="969">
                  <c:v>63.116999999999997</c:v>
                </c:pt>
                <c:pt idx="970">
                  <c:v>75.563500000000005</c:v>
                </c:pt>
                <c:pt idx="971">
                  <c:v>209.72030000000001</c:v>
                </c:pt>
                <c:pt idx="972">
                  <c:v>200.17349999999999</c:v>
                </c:pt>
                <c:pt idx="973">
                  <c:v>77.892200000000003</c:v>
                </c:pt>
                <c:pt idx="974">
                  <c:v>66.138400000000004</c:v>
                </c:pt>
                <c:pt idx="975">
                  <c:v>119.7816</c:v>
                </c:pt>
                <c:pt idx="976">
                  <c:v>80.746399999999994</c:v>
                </c:pt>
                <c:pt idx="977">
                  <c:v>91.835499999999996</c:v>
                </c:pt>
                <c:pt idx="978">
                  <c:v>99.014499999999998</c:v>
                </c:pt>
                <c:pt idx="979">
                  <c:v>70.245800000000003</c:v>
                </c:pt>
                <c:pt idx="980">
                  <c:v>101.06740000000001</c:v>
                </c:pt>
                <c:pt idx="981">
                  <c:v>162.77010000000001</c:v>
                </c:pt>
                <c:pt idx="982">
                  <c:v>83.949100000000001</c:v>
                </c:pt>
                <c:pt idx="983">
                  <c:v>87.882599999999996</c:v>
                </c:pt>
                <c:pt idx="984">
                  <c:v>74.248099999999994</c:v>
                </c:pt>
                <c:pt idx="985">
                  <c:v>88.096800000000002</c:v>
                </c:pt>
                <c:pt idx="986">
                  <c:v>121.6383</c:v>
                </c:pt>
                <c:pt idx="987">
                  <c:v>94.7346</c:v>
                </c:pt>
                <c:pt idx="988">
                  <c:v>105.1741</c:v>
                </c:pt>
                <c:pt idx="989">
                  <c:v>110.82550000000001</c:v>
                </c:pt>
                <c:pt idx="990">
                  <c:v>72.889499999999998</c:v>
                </c:pt>
                <c:pt idx="991">
                  <c:v>120.238</c:v>
                </c:pt>
                <c:pt idx="992">
                  <c:v>112.5415</c:v>
                </c:pt>
                <c:pt idx="993">
                  <c:v>97.208200000000005</c:v>
                </c:pt>
                <c:pt idx="994">
                  <c:v>91.183099999999996</c:v>
                </c:pt>
                <c:pt idx="995">
                  <c:v>93.304900000000004</c:v>
                </c:pt>
                <c:pt idx="996">
                  <c:v>78.270099999999999</c:v>
                </c:pt>
                <c:pt idx="997">
                  <c:v>53.053400000000003</c:v>
                </c:pt>
                <c:pt idx="998">
                  <c:v>99.516000000000005</c:v>
                </c:pt>
                <c:pt idx="999">
                  <c:v>110.1938</c:v>
                </c:pt>
              </c:numCache>
            </c:numRef>
          </c:xVal>
          <c:yVal>
            <c:numRef>
              <c:f>'Cash or Nothing Call Option'!$R$2:$R$1001</c:f>
              <c:numCache>
                <c:formatCode>0.00</c:formatCode>
                <c:ptCount val="1000"/>
                <c:pt idx="0">
                  <c:v>0</c:v>
                </c:pt>
                <c:pt idx="1">
                  <c:v>2.4973000000000001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7.9013999999999998</c:v>
                </c:pt>
                <c:pt idx="8">
                  <c:v>5.8266</c:v>
                </c:pt>
                <c:pt idx="9">
                  <c:v>0</c:v>
                </c:pt>
                <c:pt idx="10">
                  <c:v>11.3386</c:v>
                </c:pt>
                <c:pt idx="11">
                  <c:v>0</c:v>
                </c:pt>
                <c:pt idx="12">
                  <c:v>8.4478000000000009</c:v>
                </c:pt>
                <c:pt idx="13">
                  <c:v>3.9939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30.145299999999999</c:v>
                </c:pt>
                <c:pt idx="20">
                  <c:v>0</c:v>
                </c:pt>
                <c:pt idx="21">
                  <c:v>40.839799999999997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10.802099999999999</c:v>
                </c:pt>
                <c:pt idx="26">
                  <c:v>35.103099999999998</c:v>
                </c:pt>
                <c:pt idx="27">
                  <c:v>0</c:v>
                </c:pt>
                <c:pt idx="28">
                  <c:v>44.478299999999997</c:v>
                </c:pt>
                <c:pt idx="29">
                  <c:v>2.1598000000000002</c:v>
                </c:pt>
                <c:pt idx="30">
                  <c:v>0</c:v>
                </c:pt>
                <c:pt idx="31">
                  <c:v>15.4681</c:v>
                </c:pt>
                <c:pt idx="32">
                  <c:v>27.931899999999999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21.038</c:v>
                </c:pt>
                <c:pt idx="39">
                  <c:v>73.654200000000003</c:v>
                </c:pt>
                <c:pt idx="40">
                  <c:v>9.3192000000000004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33.7117</c:v>
                </c:pt>
                <c:pt idx="45">
                  <c:v>22.444400000000002</c:v>
                </c:pt>
                <c:pt idx="46">
                  <c:v>0</c:v>
                </c:pt>
                <c:pt idx="47">
                  <c:v>25.058199999999999</c:v>
                </c:pt>
                <c:pt idx="48">
                  <c:v>67.957599999999999</c:v>
                </c:pt>
                <c:pt idx="49">
                  <c:v>0</c:v>
                </c:pt>
                <c:pt idx="50">
                  <c:v>56.768099999999997</c:v>
                </c:pt>
                <c:pt idx="51">
                  <c:v>0</c:v>
                </c:pt>
                <c:pt idx="52">
                  <c:v>0</c:v>
                </c:pt>
                <c:pt idx="53">
                  <c:v>63.2849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13.7323</c:v>
                </c:pt>
                <c:pt idx="58">
                  <c:v>0</c:v>
                </c:pt>
                <c:pt idx="59">
                  <c:v>29.591100000000001</c:v>
                </c:pt>
                <c:pt idx="60">
                  <c:v>0</c:v>
                </c:pt>
                <c:pt idx="61">
                  <c:v>0</c:v>
                </c:pt>
                <c:pt idx="62">
                  <c:v>33.483600000000003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12.4297</c:v>
                </c:pt>
                <c:pt idx="70">
                  <c:v>0</c:v>
                </c:pt>
                <c:pt idx="71">
                  <c:v>40.125300000000003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6.5845000000000002</c:v>
                </c:pt>
                <c:pt idx="76">
                  <c:v>0</c:v>
                </c:pt>
                <c:pt idx="77">
                  <c:v>0</c:v>
                </c:pt>
                <c:pt idx="78">
                  <c:v>4.7911000000000001</c:v>
                </c:pt>
                <c:pt idx="79">
                  <c:v>10.9887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8.9769000000000005</c:v>
                </c:pt>
                <c:pt idx="87">
                  <c:v>0</c:v>
                </c:pt>
                <c:pt idx="88">
                  <c:v>5.4551999999999996</c:v>
                </c:pt>
                <c:pt idx="89">
                  <c:v>0</c:v>
                </c:pt>
                <c:pt idx="90">
                  <c:v>0</c:v>
                </c:pt>
                <c:pt idx="91">
                  <c:v>6.1227999999999998</c:v>
                </c:pt>
                <c:pt idx="92">
                  <c:v>4.3414000000000001</c:v>
                </c:pt>
                <c:pt idx="93">
                  <c:v>15.5129</c:v>
                </c:pt>
                <c:pt idx="94">
                  <c:v>0</c:v>
                </c:pt>
                <c:pt idx="95">
                  <c:v>12.5631</c:v>
                </c:pt>
                <c:pt idx="96">
                  <c:v>0</c:v>
                </c:pt>
                <c:pt idx="97">
                  <c:v>0</c:v>
                </c:pt>
                <c:pt idx="98">
                  <c:v>22.601600000000001</c:v>
                </c:pt>
                <c:pt idx="99">
                  <c:v>55.159700000000001</c:v>
                </c:pt>
                <c:pt idx="100">
                  <c:v>48.5715</c:v>
                </c:pt>
                <c:pt idx="101">
                  <c:v>0</c:v>
                </c:pt>
                <c:pt idx="102">
                  <c:v>0</c:v>
                </c:pt>
                <c:pt idx="103">
                  <c:v>30.448599999999999</c:v>
                </c:pt>
                <c:pt idx="104">
                  <c:v>38.391800000000003</c:v>
                </c:pt>
                <c:pt idx="105">
                  <c:v>13.142200000000001</c:v>
                </c:pt>
                <c:pt idx="106">
                  <c:v>10.3995</c:v>
                </c:pt>
                <c:pt idx="107">
                  <c:v>148.40309999999999</c:v>
                </c:pt>
                <c:pt idx="108">
                  <c:v>77.094800000000006</c:v>
                </c:pt>
                <c:pt idx="109">
                  <c:v>21.4038</c:v>
                </c:pt>
                <c:pt idx="110">
                  <c:v>0</c:v>
                </c:pt>
                <c:pt idx="111">
                  <c:v>0</c:v>
                </c:pt>
                <c:pt idx="112">
                  <c:v>9.5343999999999998</c:v>
                </c:pt>
                <c:pt idx="113">
                  <c:v>15.6892</c:v>
                </c:pt>
                <c:pt idx="114">
                  <c:v>0</c:v>
                </c:pt>
                <c:pt idx="115">
                  <c:v>8.2844999999999995</c:v>
                </c:pt>
                <c:pt idx="116">
                  <c:v>0</c:v>
                </c:pt>
                <c:pt idx="117">
                  <c:v>41.520499999999998</c:v>
                </c:pt>
                <c:pt idx="118">
                  <c:v>29.063400000000001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45.814599999999999</c:v>
                </c:pt>
                <c:pt idx="128">
                  <c:v>0</c:v>
                </c:pt>
                <c:pt idx="129">
                  <c:v>15.1211</c:v>
                </c:pt>
                <c:pt idx="130">
                  <c:v>0</c:v>
                </c:pt>
                <c:pt idx="131">
                  <c:v>15.8977</c:v>
                </c:pt>
                <c:pt idx="132">
                  <c:v>0.4355</c:v>
                </c:pt>
                <c:pt idx="133">
                  <c:v>57.735100000000003</c:v>
                </c:pt>
                <c:pt idx="134">
                  <c:v>51.646299999999997</c:v>
                </c:pt>
                <c:pt idx="135">
                  <c:v>7.6901999999999999</c:v>
                </c:pt>
                <c:pt idx="136">
                  <c:v>0</c:v>
                </c:pt>
                <c:pt idx="137">
                  <c:v>0</c:v>
                </c:pt>
                <c:pt idx="138">
                  <c:v>20.134699999999999</c:v>
                </c:pt>
                <c:pt idx="139">
                  <c:v>8.1586999999999996</c:v>
                </c:pt>
                <c:pt idx="140">
                  <c:v>42.076599999999999</c:v>
                </c:pt>
                <c:pt idx="141">
                  <c:v>57.8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11.7242</c:v>
                </c:pt>
                <c:pt idx="146">
                  <c:v>16.341899999999999</c:v>
                </c:pt>
                <c:pt idx="147">
                  <c:v>0</c:v>
                </c:pt>
                <c:pt idx="148">
                  <c:v>0</c:v>
                </c:pt>
                <c:pt idx="149">
                  <c:v>0.43259999999999998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8.1699000000000002</c:v>
                </c:pt>
                <c:pt idx="154">
                  <c:v>3.5524</c:v>
                </c:pt>
                <c:pt idx="155">
                  <c:v>0</c:v>
                </c:pt>
                <c:pt idx="156">
                  <c:v>11.231199999999999</c:v>
                </c:pt>
                <c:pt idx="157">
                  <c:v>32.654600000000002</c:v>
                </c:pt>
                <c:pt idx="158">
                  <c:v>4.4984999999999999</c:v>
                </c:pt>
                <c:pt idx="159">
                  <c:v>103.0431</c:v>
                </c:pt>
                <c:pt idx="160">
                  <c:v>14.5885</c:v>
                </c:pt>
                <c:pt idx="161">
                  <c:v>0</c:v>
                </c:pt>
                <c:pt idx="162">
                  <c:v>37.991199999999999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27.838899999999999</c:v>
                </c:pt>
                <c:pt idx="167">
                  <c:v>39.076599999999999</c:v>
                </c:pt>
                <c:pt idx="168">
                  <c:v>0</c:v>
                </c:pt>
                <c:pt idx="169">
                  <c:v>22.353400000000001</c:v>
                </c:pt>
                <c:pt idx="170">
                  <c:v>70.213999999999999</c:v>
                </c:pt>
                <c:pt idx="171">
                  <c:v>0</c:v>
                </c:pt>
                <c:pt idx="172">
                  <c:v>61.025100000000002</c:v>
                </c:pt>
                <c:pt idx="173">
                  <c:v>4.2503000000000002</c:v>
                </c:pt>
                <c:pt idx="174">
                  <c:v>0</c:v>
                </c:pt>
                <c:pt idx="175">
                  <c:v>56.343200000000003</c:v>
                </c:pt>
                <c:pt idx="176">
                  <c:v>0</c:v>
                </c:pt>
                <c:pt idx="177">
                  <c:v>0</c:v>
                </c:pt>
                <c:pt idx="178">
                  <c:v>33.560899999999997</c:v>
                </c:pt>
                <c:pt idx="179">
                  <c:v>27.038699999999999</c:v>
                </c:pt>
                <c:pt idx="180">
                  <c:v>31.116800000000001</c:v>
                </c:pt>
                <c:pt idx="181">
                  <c:v>0</c:v>
                </c:pt>
                <c:pt idx="182">
                  <c:v>93.3874</c:v>
                </c:pt>
                <c:pt idx="183">
                  <c:v>3.3837000000000002</c:v>
                </c:pt>
                <c:pt idx="184">
                  <c:v>0</c:v>
                </c:pt>
                <c:pt idx="185">
                  <c:v>0</c:v>
                </c:pt>
                <c:pt idx="186">
                  <c:v>9.4339999999999993</c:v>
                </c:pt>
                <c:pt idx="187">
                  <c:v>2.6941999999999999</c:v>
                </c:pt>
                <c:pt idx="188">
                  <c:v>8.8070000000000004</c:v>
                </c:pt>
                <c:pt idx="189">
                  <c:v>0</c:v>
                </c:pt>
                <c:pt idx="190">
                  <c:v>11.085599999999999</c:v>
                </c:pt>
                <c:pt idx="191">
                  <c:v>11.1745</c:v>
                </c:pt>
                <c:pt idx="192">
                  <c:v>24.6782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39.075499999999998</c:v>
                </c:pt>
                <c:pt idx="197">
                  <c:v>38.569099999999999</c:v>
                </c:pt>
                <c:pt idx="198">
                  <c:v>2.4655</c:v>
                </c:pt>
                <c:pt idx="199">
                  <c:v>8.6130999999999993</c:v>
                </c:pt>
                <c:pt idx="200">
                  <c:v>26.347799999999999</c:v>
                </c:pt>
                <c:pt idx="201">
                  <c:v>0</c:v>
                </c:pt>
                <c:pt idx="202">
                  <c:v>94.903999999999996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37.761400000000002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15.7697</c:v>
                </c:pt>
                <c:pt idx="212">
                  <c:v>0</c:v>
                </c:pt>
                <c:pt idx="213">
                  <c:v>17.73</c:v>
                </c:pt>
                <c:pt idx="214">
                  <c:v>0</c:v>
                </c:pt>
                <c:pt idx="215">
                  <c:v>5.9878999999999998</c:v>
                </c:pt>
                <c:pt idx="216">
                  <c:v>9.0603999999999996</c:v>
                </c:pt>
                <c:pt idx="217">
                  <c:v>19.490300000000001</c:v>
                </c:pt>
                <c:pt idx="218">
                  <c:v>19.1693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16.955300000000001</c:v>
                </c:pt>
                <c:pt idx="225">
                  <c:v>0</c:v>
                </c:pt>
                <c:pt idx="226">
                  <c:v>40.156999999999996</c:v>
                </c:pt>
                <c:pt idx="227">
                  <c:v>0</c:v>
                </c:pt>
                <c:pt idx="228">
                  <c:v>5.2389999999999999</c:v>
                </c:pt>
                <c:pt idx="229">
                  <c:v>31.134799999999998</c:v>
                </c:pt>
                <c:pt idx="230">
                  <c:v>0</c:v>
                </c:pt>
                <c:pt idx="231">
                  <c:v>0</c:v>
                </c:pt>
                <c:pt idx="232">
                  <c:v>6.0334000000000003</c:v>
                </c:pt>
                <c:pt idx="233">
                  <c:v>0</c:v>
                </c:pt>
                <c:pt idx="234">
                  <c:v>0</c:v>
                </c:pt>
                <c:pt idx="235">
                  <c:v>42.9602</c:v>
                </c:pt>
                <c:pt idx="236">
                  <c:v>110.9165</c:v>
                </c:pt>
                <c:pt idx="237">
                  <c:v>9.8370999999999995</c:v>
                </c:pt>
                <c:pt idx="238">
                  <c:v>21.324999999999999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2.2490999999999999</c:v>
                </c:pt>
                <c:pt idx="243">
                  <c:v>0</c:v>
                </c:pt>
                <c:pt idx="244">
                  <c:v>19.6479</c:v>
                </c:pt>
                <c:pt idx="245">
                  <c:v>0.84230000000000005</c:v>
                </c:pt>
                <c:pt idx="246">
                  <c:v>60.944499999999998</c:v>
                </c:pt>
                <c:pt idx="247">
                  <c:v>10.9587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30.063700000000001</c:v>
                </c:pt>
                <c:pt idx="254">
                  <c:v>0</c:v>
                </c:pt>
                <c:pt idx="255">
                  <c:v>4.3933999999999997</c:v>
                </c:pt>
                <c:pt idx="256">
                  <c:v>6.5374999999999996</c:v>
                </c:pt>
                <c:pt idx="257">
                  <c:v>34.511600000000001</c:v>
                </c:pt>
                <c:pt idx="258">
                  <c:v>0</c:v>
                </c:pt>
                <c:pt idx="259">
                  <c:v>0</c:v>
                </c:pt>
                <c:pt idx="260">
                  <c:v>3.7088999999999999</c:v>
                </c:pt>
                <c:pt idx="261">
                  <c:v>65.028499999999994</c:v>
                </c:pt>
                <c:pt idx="262">
                  <c:v>0</c:v>
                </c:pt>
                <c:pt idx="263">
                  <c:v>21.075900000000001</c:v>
                </c:pt>
                <c:pt idx="264">
                  <c:v>0</c:v>
                </c:pt>
                <c:pt idx="265">
                  <c:v>40.221499999999999</c:v>
                </c:pt>
                <c:pt idx="266">
                  <c:v>0</c:v>
                </c:pt>
                <c:pt idx="267">
                  <c:v>0</c:v>
                </c:pt>
                <c:pt idx="268">
                  <c:v>2.8089</c:v>
                </c:pt>
                <c:pt idx="269">
                  <c:v>49.309399999999997</c:v>
                </c:pt>
                <c:pt idx="270">
                  <c:v>13.3424</c:v>
                </c:pt>
                <c:pt idx="271">
                  <c:v>27.595199999999998</c:v>
                </c:pt>
                <c:pt idx="272">
                  <c:v>0</c:v>
                </c:pt>
                <c:pt idx="273">
                  <c:v>67.932900000000004</c:v>
                </c:pt>
                <c:pt idx="274">
                  <c:v>0</c:v>
                </c:pt>
                <c:pt idx="275">
                  <c:v>0</c:v>
                </c:pt>
                <c:pt idx="276">
                  <c:v>24.581</c:v>
                </c:pt>
                <c:pt idx="277">
                  <c:v>5.9847999999999999</c:v>
                </c:pt>
                <c:pt idx="278">
                  <c:v>10.094200000000001</c:v>
                </c:pt>
                <c:pt idx="279">
                  <c:v>0</c:v>
                </c:pt>
                <c:pt idx="280">
                  <c:v>0</c:v>
                </c:pt>
                <c:pt idx="281">
                  <c:v>74.888099999999994</c:v>
                </c:pt>
                <c:pt idx="282">
                  <c:v>65.557400000000001</c:v>
                </c:pt>
                <c:pt idx="283">
                  <c:v>0</c:v>
                </c:pt>
                <c:pt idx="284">
                  <c:v>0.9929</c:v>
                </c:pt>
                <c:pt idx="285">
                  <c:v>13.469900000000001</c:v>
                </c:pt>
                <c:pt idx="286">
                  <c:v>0</c:v>
                </c:pt>
                <c:pt idx="287">
                  <c:v>7.6866000000000003</c:v>
                </c:pt>
                <c:pt idx="288">
                  <c:v>26.2577</c:v>
                </c:pt>
                <c:pt idx="289">
                  <c:v>0</c:v>
                </c:pt>
                <c:pt idx="290">
                  <c:v>0.13439999999999999</c:v>
                </c:pt>
                <c:pt idx="291">
                  <c:v>0</c:v>
                </c:pt>
                <c:pt idx="292">
                  <c:v>0</c:v>
                </c:pt>
                <c:pt idx="293">
                  <c:v>42.305999999999997</c:v>
                </c:pt>
                <c:pt idx="294">
                  <c:v>0</c:v>
                </c:pt>
                <c:pt idx="295">
                  <c:v>7.3563999999999998</c:v>
                </c:pt>
                <c:pt idx="296">
                  <c:v>17.540199999999999</c:v>
                </c:pt>
                <c:pt idx="297">
                  <c:v>0</c:v>
                </c:pt>
                <c:pt idx="298">
                  <c:v>0</c:v>
                </c:pt>
                <c:pt idx="299">
                  <c:v>31.5381</c:v>
                </c:pt>
                <c:pt idx="300">
                  <c:v>41.346400000000003</c:v>
                </c:pt>
                <c:pt idx="301">
                  <c:v>58.12</c:v>
                </c:pt>
                <c:pt idx="302">
                  <c:v>59.631100000000004</c:v>
                </c:pt>
                <c:pt idx="303">
                  <c:v>67.346199999999996</c:v>
                </c:pt>
                <c:pt idx="304">
                  <c:v>41.0642</c:v>
                </c:pt>
                <c:pt idx="305">
                  <c:v>17.218299999999999</c:v>
                </c:pt>
                <c:pt idx="306">
                  <c:v>0</c:v>
                </c:pt>
                <c:pt idx="307">
                  <c:v>4.7027999999999999</c:v>
                </c:pt>
                <c:pt idx="308">
                  <c:v>23.599699999999999</c:v>
                </c:pt>
                <c:pt idx="309">
                  <c:v>26.6251</c:v>
                </c:pt>
                <c:pt idx="310">
                  <c:v>0</c:v>
                </c:pt>
                <c:pt idx="311">
                  <c:v>0</c:v>
                </c:pt>
                <c:pt idx="312">
                  <c:v>11.436500000000001</c:v>
                </c:pt>
                <c:pt idx="313">
                  <c:v>0</c:v>
                </c:pt>
                <c:pt idx="314">
                  <c:v>0</c:v>
                </c:pt>
                <c:pt idx="315">
                  <c:v>43.710099999999997</c:v>
                </c:pt>
                <c:pt idx="316">
                  <c:v>5.9474</c:v>
                </c:pt>
                <c:pt idx="317">
                  <c:v>0</c:v>
                </c:pt>
                <c:pt idx="318">
                  <c:v>45.232199999999999</c:v>
                </c:pt>
                <c:pt idx="319">
                  <c:v>4.0117000000000003</c:v>
                </c:pt>
                <c:pt idx="320">
                  <c:v>19.446300000000001</c:v>
                </c:pt>
                <c:pt idx="321">
                  <c:v>21.545000000000002</c:v>
                </c:pt>
                <c:pt idx="322">
                  <c:v>7.5829000000000004</c:v>
                </c:pt>
                <c:pt idx="323">
                  <c:v>0</c:v>
                </c:pt>
                <c:pt idx="324">
                  <c:v>5.7754000000000003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6.3486000000000002</c:v>
                </c:pt>
                <c:pt idx="330">
                  <c:v>63.288699999999999</c:v>
                </c:pt>
                <c:pt idx="331">
                  <c:v>0</c:v>
                </c:pt>
                <c:pt idx="332">
                  <c:v>21.325099999999999</c:v>
                </c:pt>
                <c:pt idx="333">
                  <c:v>0</c:v>
                </c:pt>
                <c:pt idx="334">
                  <c:v>7.5895999999999999</c:v>
                </c:pt>
                <c:pt idx="335">
                  <c:v>0</c:v>
                </c:pt>
                <c:pt idx="336">
                  <c:v>0</c:v>
                </c:pt>
                <c:pt idx="337">
                  <c:v>0.69850000000000001</c:v>
                </c:pt>
                <c:pt idx="338">
                  <c:v>4.4943</c:v>
                </c:pt>
                <c:pt idx="339">
                  <c:v>79.995699999999999</c:v>
                </c:pt>
                <c:pt idx="340">
                  <c:v>22.8245</c:v>
                </c:pt>
                <c:pt idx="341">
                  <c:v>54.2258</c:v>
                </c:pt>
                <c:pt idx="342">
                  <c:v>0</c:v>
                </c:pt>
                <c:pt idx="343">
                  <c:v>0</c:v>
                </c:pt>
                <c:pt idx="344">
                  <c:v>38.430500000000002</c:v>
                </c:pt>
                <c:pt idx="345">
                  <c:v>0</c:v>
                </c:pt>
                <c:pt idx="346">
                  <c:v>0</c:v>
                </c:pt>
                <c:pt idx="347">
                  <c:v>28.7926</c:v>
                </c:pt>
                <c:pt idx="348">
                  <c:v>0</c:v>
                </c:pt>
                <c:pt idx="349">
                  <c:v>8.8751999999999995</c:v>
                </c:pt>
                <c:pt idx="350">
                  <c:v>0</c:v>
                </c:pt>
                <c:pt idx="351">
                  <c:v>4.1128999999999998</c:v>
                </c:pt>
                <c:pt idx="352">
                  <c:v>0</c:v>
                </c:pt>
                <c:pt idx="353">
                  <c:v>24.568999999999999</c:v>
                </c:pt>
                <c:pt idx="354">
                  <c:v>0</c:v>
                </c:pt>
                <c:pt idx="355">
                  <c:v>10.5326</c:v>
                </c:pt>
                <c:pt idx="356">
                  <c:v>42.2378</c:v>
                </c:pt>
                <c:pt idx="357">
                  <c:v>0</c:v>
                </c:pt>
                <c:pt idx="358">
                  <c:v>0</c:v>
                </c:pt>
                <c:pt idx="359">
                  <c:v>22.413399999999999</c:v>
                </c:pt>
                <c:pt idx="360">
                  <c:v>1.6228</c:v>
                </c:pt>
                <c:pt idx="361">
                  <c:v>25.817599999999999</c:v>
                </c:pt>
                <c:pt idx="362">
                  <c:v>0</c:v>
                </c:pt>
                <c:pt idx="363">
                  <c:v>54.994</c:v>
                </c:pt>
                <c:pt idx="364">
                  <c:v>11.604100000000001</c:v>
                </c:pt>
                <c:pt idx="365">
                  <c:v>18.338999999999999</c:v>
                </c:pt>
                <c:pt idx="366">
                  <c:v>0</c:v>
                </c:pt>
                <c:pt idx="367">
                  <c:v>8.0398999999999994</c:v>
                </c:pt>
                <c:pt idx="368">
                  <c:v>0</c:v>
                </c:pt>
                <c:pt idx="369">
                  <c:v>0</c:v>
                </c:pt>
                <c:pt idx="370">
                  <c:v>81.177599999999998</c:v>
                </c:pt>
                <c:pt idx="371">
                  <c:v>0</c:v>
                </c:pt>
                <c:pt idx="372">
                  <c:v>3.2959999999999998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23.2957</c:v>
                </c:pt>
                <c:pt idx="377">
                  <c:v>6.3853</c:v>
                </c:pt>
                <c:pt idx="378">
                  <c:v>3.6602000000000001</c:v>
                </c:pt>
                <c:pt idx="379">
                  <c:v>2.766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23.711600000000001</c:v>
                </c:pt>
                <c:pt idx="384">
                  <c:v>7.9894999999999996</c:v>
                </c:pt>
                <c:pt idx="385">
                  <c:v>8.4848999999999997</c:v>
                </c:pt>
                <c:pt idx="386">
                  <c:v>0</c:v>
                </c:pt>
                <c:pt idx="387">
                  <c:v>10.0467</c:v>
                </c:pt>
                <c:pt idx="388">
                  <c:v>0</c:v>
                </c:pt>
                <c:pt idx="389">
                  <c:v>0</c:v>
                </c:pt>
                <c:pt idx="390">
                  <c:v>26.448699999999999</c:v>
                </c:pt>
                <c:pt idx="391">
                  <c:v>26.956700000000001</c:v>
                </c:pt>
                <c:pt idx="392">
                  <c:v>28.128599999999999</c:v>
                </c:pt>
                <c:pt idx="393">
                  <c:v>27.452100000000002</c:v>
                </c:pt>
                <c:pt idx="394">
                  <c:v>14.6868</c:v>
                </c:pt>
                <c:pt idx="395">
                  <c:v>45.816299999999998</c:v>
                </c:pt>
                <c:pt idx="396">
                  <c:v>46.961799999999997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75.762200000000007</c:v>
                </c:pt>
                <c:pt idx="401">
                  <c:v>0.78180000000000005</c:v>
                </c:pt>
                <c:pt idx="402">
                  <c:v>0</c:v>
                </c:pt>
                <c:pt idx="403">
                  <c:v>0</c:v>
                </c:pt>
                <c:pt idx="404">
                  <c:v>42.6614</c:v>
                </c:pt>
                <c:pt idx="405">
                  <c:v>17.451499999999999</c:v>
                </c:pt>
                <c:pt idx="406">
                  <c:v>4.6035000000000004</c:v>
                </c:pt>
                <c:pt idx="407">
                  <c:v>12.7997</c:v>
                </c:pt>
                <c:pt idx="408">
                  <c:v>0</c:v>
                </c:pt>
                <c:pt idx="409">
                  <c:v>0</c:v>
                </c:pt>
                <c:pt idx="410">
                  <c:v>11.651300000000001</c:v>
                </c:pt>
                <c:pt idx="411">
                  <c:v>15.548400000000001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22.0886</c:v>
                </c:pt>
                <c:pt idx="418">
                  <c:v>37.318899999999999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14.6578</c:v>
                </c:pt>
                <c:pt idx="423">
                  <c:v>0</c:v>
                </c:pt>
                <c:pt idx="424">
                  <c:v>13.5281</c:v>
                </c:pt>
                <c:pt idx="425">
                  <c:v>41.128599999999999</c:v>
                </c:pt>
                <c:pt idx="426">
                  <c:v>21.876200000000001</c:v>
                </c:pt>
                <c:pt idx="427">
                  <c:v>5.2232000000000003</c:v>
                </c:pt>
                <c:pt idx="428">
                  <c:v>5.3784000000000001</c:v>
                </c:pt>
                <c:pt idx="429">
                  <c:v>22.9956</c:v>
                </c:pt>
                <c:pt idx="430">
                  <c:v>0.63239999999999996</c:v>
                </c:pt>
                <c:pt idx="431">
                  <c:v>0</c:v>
                </c:pt>
                <c:pt idx="432">
                  <c:v>3.677</c:v>
                </c:pt>
                <c:pt idx="433">
                  <c:v>0</c:v>
                </c:pt>
                <c:pt idx="434">
                  <c:v>0</c:v>
                </c:pt>
                <c:pt idx="435">
                  <c:v>46.847700000000003</c:v>
                </c:pt>
                <c:pt idx="436">
                  <c:v>0</c:v>
                </c:pt>
                <c:pt idx="437">
                  <c:v>12.116</c:v>
                </c:pt>
                <c:pt idx="438">
                  <c:v>0</c:v>
                </c:pt>
                <c:pt idx="439">
                  <c:v>0</c:v>
                </c:pt>
                <c:pt idx="440">
                  <c:v>26.005199999999999</c:v>
                </c:pt>
                <c:pt idx="441">
                  <c:v>0</c:v>
                </c:pt>
                <c:pt idx="442">
                  <c:v>68.740700000000004</c:v>
                </c:pt>
                <c:pt idx="443">
                  <c:v>8.6088000000000005</c:v>
                </c:pt>
                <c:pt idx="444">
                  <c:v>0</c:v>
                </c:pt>
                <c:pt idx="445">
                  <c:v>0</c:v>
                </c:pt>
                <c:pt idx="446">
                  <c:v>30.158899999999999</c:v>
                </c:pt>
                <c:pt idx="447">
                  <c:v>63.527799999999999</c:v>
                </c:pt>
                <c:pt idx="448">
                  <c:v>9.2660999999999998</c:v>
                </c:pt>
                <c:pt idx="449">
                  <c:v>14.8279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42.320099999999996</c:v>
                </c:pt>
                <c:pt idx="454">
                  <c:v>0</c:v>
                </c:pt>
                <c:pt idx="455">
                  <c:v>5.9306999999999999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39.859099999999998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3.9436</c:v>
                </c:pt>
                <c:pt idx="464">
                  <c:v>0</c:v>
                </c:pt>
                <c:pt idx="465">
                  <c:v>45.537500000000001</c:v>
                </c:pt>
                <c:pt idx="466">
                  <c:v>25.705400000000001</c:v>
                </c:pt>
                <c:pt idx="467">
                  <c:v>24.532900000000001</c:v>
                </c:pt>
                <c:pt idx="468">
                  <c:v>0</c:v>
                </c:pt>
                <c:pt idx="469">
                  <c:v>14.559100000000001</c:v>
                </c:pt>
                <c:pt idx="470">
                  <c:v>34.112000000000002</c:v>
                </c:pt>
                <c:pt idx="471">
                  <c:v>45.784500000000001</c:v>
                </c:pt>
                <c:pt idx="472">
                  <c:v>14.160500000000001</c:v>
                </c:pt>
                <c:pt idx="473">
                  <c:v>0</c:v>
                </c:pt>
                <c:pt idx="474">
                  <c:v>2.6345999999999998</c:v>
                </c:pt>
                <c:pt idx="475">
                  <c:v>0</c:v>
                </c:pt>
                <c:pt idx="476">
                  <c:v>45.121400000000001</c:v>
                </c:pt>
                <c:pt idx="477">
                  <c:v>43.124299999999998</c:v>
                </c:pt>
                <c:pt idx="478">
                  <c:v>0</c:v>
                </c:pt>
                <c:pt idx="479">
                  <c:v>0</c:v>
                </c:pt>
                <c:pt idx="480">
                  <c:v>55.5854</c:v>
                </c:pt>
                <c:pt idx="481">
                  <c:v>24.695599999999999</c:v>
                </c:pt>
                <c:pt idx="482">
                  <c:v>0</c:v>
                </c:pt>
                <c:pt idx="483">
                  <c:v>19.889099999999999</c:v>
                </c:pt>
                <c:pt idx="484">
                  <c:v>0</c:v>
                </c:pt>
                <c:pt idx="485">
                  <c:v>35.549999999999997</c:v>
                </c:pt>
                <c:pt idx="486">
                  <c:v>27.653700000000001</c:v>
                </c:pt>
                <c:pt idx="487">
                  <c:v>25.1675</c:v>
                </c:pt>
                <c:pt idx="488">
                  <c:v>3.2765</c:v>
                </c:pt>
                <c:pt idx="489">
                  <c:v>0</c:v>
                </c:pt>
                <c:pt idx="490">
                  <c:v>41.524500000000003</c:v>
                </c:pt>
                <c:pt idx="491">
                  <c:v>8.5942000000000007</c:v>
                </c:pt>
                <c:pt idx="492">
                  <c:v>0</c:v>
                </c:pt>
                <c:pt idx="493">
                  <c:v>52.646099999999997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18.6845</c:v>
                </c:pt>
                <c:pt idx="499">
                  <c:v>0</c:v>
                </c:pt>
                <c:pt idx="500">
                  <c:v>0</c:v>
                </c:pt>
                <c:pt idx="501">
                  <c:v>20.669499999999999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55.287399999999998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35.333599999999997</c:v>
                </c:pt>
                <c:pt idx="510">
                  <c:v>0</c:v>
                </c:pt>
                <c:pt idx="511">
                  <c:v>34.747599999999998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4.4058999999999999</c:v>
                </c:pt>
                <c:pt idx="516">
                  <c:v>11.001200000000001</c:v>
                </c:pt>
                <c:pt idx="517">
                  <c:v>0</c:v>
                </c:pt>
                <c:pt idx="518">
                  <c:v>28.9054</c:v>
                </c:pt>
                <c:pt idx="519">
                  <c:v>0</c:v>
                </c:pt>
                <c:pt idx="520">
                  <c:v>7.5822000000000003</c:v>
                </c:pt>
                <c:pt idx="521">
                  <c:v>11.6084</c:v>
                </c:pt>
                <c:pt idx="522">
                  <c:v>0.7732</c:v>
                </c:pt>
                <c:pt idx="523">
                  <c:v>0</c:v>
                </c:pt>
                <c:pt idx="524">
                  <c:v>0</c:v>
                </c:pt>
                <c:pt idx="525">
                  <c:v>29.919899999999998</c:v>
                </c:pt>
                <c:pt idx="526">
                  <c:v>0</c:v>
                </c:pt>
                <c:pt idx="527">
                  <c:v>0</c:v>
                </c:pt>
                <c:pt idx="528">
                  <c:v>6.9231999999999996</c:v>
                </c:pt>
                <c:pt idx="529">
                  <c:v>1.5032000000000001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44.264200000000002</c:v>
                </c:pt>
                <c:pt idx="534">
                  <c:v>0</c:v>
                </c:pt>
                <c:pt idx="535">
                  <c:v>32.002600000000001</c:v>
                </c:pt>
                <c:pt idx="536">
                  <c:v>53.485700000000001</c:v>
                </c:pt>
                <c:pt idx="537">
                  <c:v>15.9864</c:v>
                </c:pt>
                <c:pt idx="538">
                  <c:v>56.415999999999997</c:v>
                </c:pt>
                <c:pt idx="539">
                  <c:v>0</c:v>
                </c:pt>
                <c:pt idx="540">
                  <c:v>17.616599999999998</c:v>
                </c:pt>
                <c:pt idx="541">
                  <c:v>63.034199999999998</c:v>
                </c:pt>
                <c:pt idx="542">
                  <c:v>15.8979</c:v>
                </c:pt>
                <c:pt idx="543">
                  <c:v>0</c:v>
                </c:pt>
                <c:pt idx="544">
                  <c:v>0</c:v>
                </c:pt>
                <c:pt idx="545">
                  <c:v>12.061199999999999</c:v>
                </c:pt>
                <c:pt idx="546">
                  <c:v>0</c:v>
                </c:pt>
                <c:pt idx="547">
                  <c:v>27.524000000000001</c:v>
                </c:pt>
                <c:pt idx="548">
                  <c:v>0</c:v>
                </c:pt>
                <c:pt idx="549">
                  <c:v>5.6475</c:v>
                </c:pt>
                <c:pt idx="550">
                  <c:v>0</c:v>
                </c:pt>
                <c:pt idx="551">
                  <c:v>12.512</c:v>
                </c:pt>
                <c:pt idx="552">
                  <c:v>0</c:v>
                </c:pt>
                <c:pt idx="553">
                  <c:v>41.684899999999999</c:v>
                </c:pt>
                <c:pt idx="554">
                  <c:v>0</c:v>
                </c:pt>
                <c:pt idx="555">
                  <c:v>33.409700000000001</c:v>
                </c:pt>
                <c:pt idx="556">
                  <c:v>23.0916</c:v>
                </c:pt>
                <c:pt idx="557">
                  <c:v>0</c:v>
                </c:pt>
                <c:pt idx="558">
                  <c:v>0</c:v>
                </c:pt>
                <c:pt idx="559">
                  <c:v>82.566800000000001</c:v>
                </c:pt>
                <c:pt idx="560">
                  <c:v>2.3643999999999998</c:v>
                </c:pt>
                <c:pt idx="561">
                  <c:v>16.090800000000002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38.734200000000001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10.4579</c:v>
                </c:pt>
                <c:pt idx="572">
                  <c:v>60.305100000000003</c:v>
                </c:pt>
                <c:pt idx="573">
                  <c:v>5.9977999999999998</c:v>
                </c:pt>
                <c:pt idx="574">
                  <c:v>0</c:v>
                </c:pt>
                <c:pt idx="575">
                  <c:v>11.129899999999999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52.580100000000002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51.932499999999997</c:v>
                </c:pt>
                <c:pt idx="585">
                  <c:v>72.499799999999993</c:v>
                </c:pt>
                <c:pt idx="586">
                  <c:v>0</c:v>
                </c:pt>
                <c:pt idx="587">
                  <c:v>18.6782</c:v>
                </c:pt>
                <c:pt idx="588">
                  <c:v>35.961300000000001</c:v>
                </c:pt>
                <c:pt idx="589">
                  <c:v>0</c:v>
                </c:pt>
                <c:pt idx="590">
                  <c:v>0</c:v>
                </c:pt>
                <c:pt idx="591">
                  <c:v>26.8992</c:v>
                </c:pt>
                <c:pt idx="592">
                  <c:v>0</c:v>
                </c:pt>
                <c:pt idx="593">
                  <c:v>1.0021</c:v>
                </c:pt>
                <c:pt idx="594">
                  <c:v>0</c:v>
                </c:pt>
                <c:pt idx="595">
                  <c:v>10.074199999999999</c:v>
                </c:pt>
                <c:pt idx="596">
                  <c:v>0</c:v>
                </c:pt>
                <c:pt idx="597">
                  <c:v>8.4053000000000004</c:v>
                </c:pt>
                <c:pt idx="598">
                  <c:v>0</c:v>
                </c:pt>
                <c:pt idx="599">
                  <c:v>0</c:v>
                </c:pt>
                <c:pt idx="600">
                  <c:v>20.4406</c:v>
                </c:pt>
                <c:pt idx="601">
                  <c:v>20.196000000000002</c:v>
                </c:pt>
                <c:pt idx="602">
                  <c:v>0</c:v>
                </c:pt>
                <c:pt idx="603">
                  <c:v>108.6681</c:v>
                </c:pt>
                <c:pt idx="604">
                  <c:v>30.330200000000001</c:v>
                </c:pt>
                <c:pt idx="605">
                  <c:v>0</c:v>
                </c:pt>
                <c:pt idx="606">
                  <c:v>54.8354</c:v>
                </c:pt>
                <c:pt idx="607">
                  <c:v>45.648800000000001</c:v>
                </c:pt>
                <c:pt idx="608">
                  <c:v>0</c:v>
                </c:pt>
                <c:pt idx="609">
                  <c:v>45.932099999999998</c:v>
                </c:pt>
                <c:pt idx="610">
                  <c:v>63.332099999999997</c:v>
                </c:pt>
                <c:pt idx="611">
                  <c:v>0</c:v>
                </c:pt>
                <c:pt idx="612">
                  <c:v>0.86660000000000004</c:v>
                </c:pt>
                <c:pt idx="613">
                  <c:v>25.832100000000001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30.604600000000001</c:v>
                </c:pt>
                <c:pt idx="621">
                  <c:v>13.721</c:v>
                </c:pt>
                <c:pt idx="622">
                  <c:v>0</c:v>
                </c:pt>
                <c:pt idx="623">
                  <c:v>0</c:v>
                </c:pt>
                <c:pt idx="624">
                  <c:v>4.0106000000000002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25.710599999999999</c:v>
                </c:pt>
                <c:pt idx="629">
                  <c:v>0</c:v>
                </c:pt>
                <c:pt idx="630">
                  <c:v>0</c:v>
                </c:pt>
                <c:pt idx="631">
                  <c:v>28.193000000000001</c:v>
                </c:pt>
                <c:pt idx="632">
                  <c:v>0</c:v>
                </c:pt>
                <c:pt idx="633">
                  <c:v>0</c:v>
                </c:pt>
                <c:pt idx="634">
                  <c:v>40.124899999999997</c:v>
                </c:pt>
                <c:pt idx="635">
                  <c:v>64.359300000000005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14.9955</c:v>
                </c:pt>
                <c:pt idx="640">
                  <c:v>7.7805</c:v>
                </c:pt>
                <c:pt idx="641">
                  <c:v>10.537699999999999</c:v>
                </c:pt>
                <c:pt idx="642">
                  <c:v>0</c:v>
                </c:pt>
                <c:pt idx="643">
                  <c:v>0</c:v>
                </c:pt>
                <c:pt idx="644">
                  <c:v>54.744</c:v>
                </c:pt>
                <c:pt idx="645">
                  <c:v>7.4477000000000002</c:v>
                </c:pt>
                <c:pt idx="646">
                  <c:v>2.3275999999999999</c:v>
                </c:pt>
                <c:pt idx="647">
                  <c:v>0</c:v>
                </c:pt>
                <c:pt idx="648">
                  <c:v>28.947199999999999</c:v>
                </c:pt>
                <c:pt idx="649">
                  <c:v>0</c:v>
                </c:pt>
                <c:pt idx="650">
                  <c:v>17.1477</c:v>
                </c:pt>
                <c:pt idx="651">
                  <c:v>15.8878</c:v>
                </c:pt>
                <c:pt idx="652">
                  <c:v>0</c:v>
                </c:pt>
                <c:pt idx="653">
                  <c:v>0</c:v>
                </c:pt>
                <c:pt idx="654">
                  <c:v>12.2227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22.430800000000001</c:v>
                </c:pt>
                <c:pt idx="659">
                  <c:v>3.4904999999999999</c:v>
                </c:pt>
                <c:pt idx="660">
                  <c:v>13.3169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8.7477999999999998</c:v>
                </c:pt>
                <c:pt idx="665">
                  <c:v>30.000800000000002</c:v>
                </c:pt>
                <c:pt idx="666">
                  <c:v>14.212199999999999</c:v>
                </c:pt>
                <c:pt idx="667">
                  <c:v>0</c:v>
                </c:pt>
                <c:pt idx="668">
                  <c:v>0</c:v>
                </c:pt>
                <c:pt idx="669">
                  <c:v>74.531000000000006</c:v>
                </c:pt>
                <c:pt idx="670">
                  <c:v>14.6214</c:v>
                </c:pt>
                <c:pt idx="671">
                  <c:v>0</c:v>
                </c:pt>
                <c:pt idx="672">
                  <c:v>33.354799999999997</c:v>
                </c:pt>
                <c:pt idx="673">
                  <c:v>23.4238</c:v>
                </c:pt>
                <c:pt idx="674">
                  <c:v>33.501100000000001</c:v>
                </c:pt>
                <c:pt idx="675">
                  <c:v>0</c:v>
                </c:pt>
                <c:pt idx="676">
                  <c:v>0</c:v>
                </c:pt>
                <c:pt idx="677">
                  <c:v>36.411099999999998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82.791799999999995</c:v>
                </c:pt>
                <c:pt idx="685">
                  <c:v>27.662500000000001</c:v>
                </c:pt>
                <c:pt idx="686">
                  <c:v>23.122499999999999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90.736099999999993</c:v>
                </c:pt>
                <c:pt idx="691">
                  <c:v>0</c:v>
                </c:pt>
                <c:pt idx="692">
                  <c:v>25.572700000000001</c:v>
                </c:pt>
                <c:pt idx="693">
                  <c:v>81.311800000000005</c:v>
                </c:pt>
                <c:pt idx="694">
                  <c:v>0</c:v>
                </c:pt>
                <c:pt idx="695">
                  <c:v>36.9238</c:v>
                </c:pt>
                <c:pt idx="696">
                  <c:v>29.524000000000001</c:v>
                </c:pt>
                <c:pt idx="697">
                  <c:v>24.4711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73.393600000000006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185.97130000000001</c:v>
                </c:pt>
                <c:pt idx="706">
                  <c:v>26.335899999999999</c:v>
                </c:pt>
                <c:pt idx="707">
                  <c:v>40.798200000000001</c:v>
                </c:pt>
                <c:pt idx="708">
                  <c:v>49.417299999999997</c:v>
                </c:pt>
                <c:pt idx="709">
                  <c:v>0</c:v>
                </c:pt>
                <c:pt idx="710">
                  <c:v>10.760199999999999</c:v>
                </c:pt>
                <c:pt idx="711">
                  <c:v>0</c:v>
                </c:pt>
                <c:pt idx="712">
                  <c:v>85.795500000000004</c:v>
                </c:pt>
                <c:pt idx="713">
                  <c:v>0</c:v>
                </c:pt>
                <c:pt idx="714">
                  <c:v>0</c:v>
                </c:pt>
                <c:pt idx="715">
                  <c:v>9.9826999999999995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2.0665</c:v>
                </c:pt>
                <c:pt idx="721">
                  <c:v>65.474999999999994</c:v>
                </c:pt>
                <c:pt idx="722">
                  <c:v>15.874700000000001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41.502800000000001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118.1874</c:v>
                </c:pt>
                <c:pt idx="733">
                  <c:v>0</c:v>
                </c:pt>
                <c:pt idx="734">
                  <c:v>82.604600000000005</c:v>
                </c:pt>
                <c:pt idx="735">
                  <c:v>25.0913</c:v>
                </c:pt>
                <c:pt idx="736">
                  <c:v>0</c:v>
                </c:pt>
                <c:pt idx="737">
                  <c:v>0</c:v>
                </c:pt>
                <c:pt idx="738">
                  <c:v>13.696099999999999</c:v>
                </c:pt>
                <c:pt idx="739">
                  <c:v>0</c:v>
                </c:pt>
                <c:pt idx="740">
                  <c:v>38.314399999999999</c:v>
                </c:pt>
                <c:pt idx="741">
                  <c:v>0</c:v>
                </c:pt>
                <c:pt idx="742">
                  <c:v>4.4904000000000002</c:v>
                </c:pt>
                <c:pt idx="743">
                  <c:v>82.179500000000004</c:v>
                </c:pt>
                <c:pt idx="744">
                  <c:v>0</c:v>
                </c:pt>
                <c:pt idx="745">
                  <c:v>0</c:v>
                </c:pt>
                <c:pt idx="746">
                  <c:v>15.37</c:v>
                </c:pt>
                <c:pt idx="747">
                  <c:v>19.348099999999999</c:v>
                </c:pt>
                <c:pt idx="748">
                  <c:v>0</c:v>
                </c:pt>
                <c:pt idx="749">
                  <c:v>0</c:v>
                </c:pt>
                <c:pt idx="750">
                  <c:v>1.6128</c:v>
                </c:pt>
                <c:pt idx="751">
                  <c:v>80.763999999999996</c:v>
                </c:pt>
                <c:pt idx="752">
                  <c:v>50.628</c:v>
                </c:pt>
                <c:pt idx="753">
                  <c:v>0</c:v>
                </c:pt>
                <c:pt idx="754">
                  <c:v>34.097099999999998</c:v>
                </c:pt>
                <c:pt idx="755">
                  <c:v>14.2592</c:v>
                </c:pt>
                <c:pt idx="756">
                  <c:v>2.7197</c:v>
                </c:pt>
                <c:pt idx="757">
                  <c:v>41.044499999999999</c:v>
                </c:pt>
                <c:pt idx="758">
                  <c:v>51.494900000000001</c:v>
                </c:pt>
                <c:pt idx="759">
                  <c:v>11.127700000000001</c:v>
                </c:pt>
                <c:pt idx="760">
                  <c:v>0</c:v>
                </c:pt>
                <c:pt idx="761">
                  <c:v>49.371099999999998</c:v>
                </c:pt>
                <c:pt idx="762">
                  <c:v>12.986000000000001</c:v>
                </c:pt>
                <c:pt idx="763">
                  <c:v>0</c:v>
                </c:pt>
                <c:pt idx="764">
                  <c:v>0</c:v>
                </c:pt>
                <c:pt idx="765">
                  <c:v>30.809899999999999</c:v>
                </c:pt>
                <c:pt idx="766">
                  <c:v>0</c:v>
                </c:pt>
                <c:pt idx="767">
                  <c:v>26.6251</c:v>
                </c:pt>
                <c:pt idx="768">
                  <c:v>0</c:v>
                </c:pt>
                <c:pt idx="769">
                  <c:v>0</c:v>
                </c:pt>
                <c:pt idx="770">
                  <c:v>40.3215</c:v>
                </c:pt>
                <c:pt idx="771">
                  <c:v>0</c:v>
                </c:pt>
                <c:pt idx="772">
                  <c:v>92.668999999999997</c:v>
                </c:pt>
                <c:pt idx="773">
                  <c:v>0</c:v>
                </c:pt>
                <c:pt idx="774">
                  <c:v>0</c:v>
                </c:pt>
                <c:pt idx="775">
                  <c:v>1.1674</c:v>
                </c:pt>
                <c:pt idx="776">
                  <c:v>23.315999999999999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23.698499999999999</c:v>
                </c:pt>
                <c:pt idx="782">
                  <c:v>30.3933</c:v>
                </c:pt>
                <c:pt idx="783">
                  <c:v>0</c:v>
                </c:pt>
                <c:pt idx="784">
                  <c:v>0</c:v>
                </c:pt>
                <c:pt idx="785">
                  <c:v>0.4501</c:v>
                </c:pt>
                <c:pt idx="786">
                  <c:v>33.014299999999999</c:v>
                </c:pt>
                <c:pt idx="787">
                  <c:v>6.7618999999999998</c:v>
                </c:pt>
                <c:pt idx="788">
                  <c:v>51.505099999999999</c:v>
                </c:pt>
                <c:pt idx="789">
                  <c:v>0</c:v>
                </c:pt>
                <c:pt idx="790">
                  <c:v>0</c:v>
                </c:pt>
                <c:pt idx="791">
                  <c:v>37.354399999999998</c:v>
                </c:pt>
                <c:pt idx="792">
                  <c:v>0</c:v>
                </c:pt>
                <c:pt idx="793">
                  <c:v>0</c:v>
                </c:pt>
                <c:pt idx="794">
                  <c:v>8.5658999999999992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23.282699999999998</c:v>
                </c:pt>
                <c:pt idx="801">
                  <c:v>13.9938</c:v>
                </c:pt>
                <c:pt idx="802">
                  <c:v>0</c:v>
                </c:pt>
                <c:pt idx="803">
                  <c:v>19.154</c:v>
                </c:pt>
                <c:pt idx="804">
                  <c:v>4.5217999999999998</c:v>
                </c:pt>
                <c:pt idx="805">
                  <c:v>3.5129000000000001</c:v>
                </c:pt>
                <c:pt idx="806">
                  <c:v>24.5624</c:v>
                </c:pt>
                <c:pt idx="807">
                  <c:v>0</c:v>
                </c:pt>
                <c:pt idx="808">
                  <c:v>8.3694000000000006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14.035600000000001</c:v>
                </c:pt>
                <c:pt idx="814">
                  <c:v>40.4773</c:v>
                </c:pt>
                <c:pt idx="815">
                  <c:v>52.542700000000004</c:v>
                </c:pt>
                <c:pt idx="816">
                  <c:v>21.5472</c:v>
                </c:pt>
                <c:pt idx="817">
                  <c:v>6.2857000000000003</c:v>
                </c:pt>
                <c:pt idx="818">
                  <c:v>1.8398000000000001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8.9848999999999997</c:v>
                </c:pt>
                <c:pt idx="823">
                  <c:v>3.5943999999999998</c:v>
                </c:pt>
                <c:pt idx="824">
                  <c:v>42.852699999999999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2.9980000000000002</c:v>
                </c:pt>
                <c:pt idx="829">
                  <c:v>104.3845</c:v>
                </c:pt>
                <c:pt idx="830">
                  <c:v>0</c:v>
                </c:pt>
                <c:pt idx="831">
                  <c:v>69.6203</c:v>
                </c:pt>
                <c:pt idx="832">
                  <c:v>76.762799999999999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7.0354000000000001</c:v>
                </c:pt>
                <c:pt idx="838">
                  <c:v>0</c:v>
                </c:pt>
                <c:pt idx="839">
                  <c:v>0</c:v>
                </c:pt>
                <c:pt idx="840">
                  <c:v>12.3935</c:v>
                </c:pt>
                <c:pt idx="841">
                  <c:v>22.682600000000001</c:v>
                </c:pt>
                <c:pt idx="842">
                  <c:v>0</c:v>
                </c:pt>
                <c:pt idx="843">
                  <c:v>20.402899999999999</c:v>
                </c:pt>
                <c:pt idx="844">
                  <c:v>0</c:v>
                </c:pt>
                <c:pt idx="845">
                  <c:v>0</c:v>
                </c:pt>
                <c:pt idx="846">
                  <c:v>23.939800000000002</c:v>
                </c:pt>
                <c:pt idx="847">
                  <c:v>16.052700000000002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54.744700000000002</c:v>
                </c:pt>
                <c:pt idx="859">
                  <c:v>10.149900000000001</c:v>
                </c:pt>
                <c:pt idx="860">
                  <c:v>7.1631999999999998</c:v>
                </c:pt>
                <c:pt idx="861">
                  <c:v>15.2371</c:v>
                </c:pt>
                <c:pt idx="862">
                  <c:v>30.4619</c:v>
                </c:pt>
                <c:pt idx="863">
                  <c:v>5.2607999999999997</c:v>
                </c:pt>
                <c:pt idx="864">
                  <c:v>91.269499999999994</c:v>
                </c:pt>
                <c:pt idx="865">
                  <c:v>0</c:v>
                </c:pt>
                <c:pt idx="866">
                  <c:v>35.160800000000002</c:v>
                </c:pt>
                <c:pt idx="867">
                  <c:v>0</c:v>
                </c:pt>
                <c:pt idx="868">
                  <c:v>0</c:v>
                </c:pt>
                <c:pt idx="869">
                  <c:v>7.016</c:v>
                </c:pt>
                <c:pt idx="870">
                  <c:v>16.248200000000001</c:v>
                </c:pt>
                <c:pt idx="871">
                  <c:v>0</c:v>
                </c:pt>
                <c:pt idx="872">
                  <c:v>6.6885000000000003</c:v>
                </c:pt>
                <c:pt idx="873">
                  <c:v>32.301299999999998</c:v>
                </c:pt>
                <c:pt idx="874">
                  <c:v>16.376200000000001</c:v>
                </c:pt>
                <c:pt idx="875">
                  <c:v>35.9925</c:v>
                </c:pt>
                <c:pt idx="876">
                  <c:v>0</c:v>
                </c:pt>
                <c:pt idx="877">
                  <c:v>46.195700000000002</c:v>
                </c:pt>
                <c:pt idx="878">
                  <c:v>10.9377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68.133700000000005</c:v>
                </c:pt>
                <c:pt idx="884">
                  <c:v>0</c:v>
                </c:pt>
                <c:pt idx="885">
                  <c:v>11.235200000000001</c:v>
                </c:pt>
                <c:pt idx="886">
                  <c:v>137.44409999999999</c:v>
                </c:pt>
                <c:pt idx="887">
                  <c:v>60.126100000000001</c:v>
                </c:pt>
                <c:pt idx="888">
                  <c:v>79.726900000000001</c:v>
                </c:pt>
                <c:pt idx="889">
                  <c:v>15.507899999999999</c:v>
                </c:pt>
                <c:pt idx="890">
                  <c:v>0</c:v>
                </c:pt>
                <c:pt idx="891">
                  <c:v>0</c:v>
                </c:pt>
                <c:pt idx="892">
                  <c:v>6.5631000000000004</c:v>
                </c:pt>
                <c:pt idx="893">
                  <c:v>0</c:v>
                </c:pt>
                <c:pt idx="894">
                  <c:v>2.2761999999999998</c:v>
                </c:pt>
                <c:pt idx="895">
                  <c:v>0</c:v>
                </c:pt>
                <c:pt idx="896">
                  <c:v>37.724800000000002</c:v>
                </c:pt>
                <c:pt idx="897">
                  <c:v>0</c:v>
                </c:pt>
                <c:pt idx="898">
                  <c:v>0.63780000000000003</c:v>
                </c:pt>
                <c:pt idx="899">
                  <c:v>7.8049999999999997</c:v>
                </c:pt>
                <c:pt idx="900">
                  <c:v>10.9854</c:v>
                </c:pt>
                <c:pt idx="901">
                  <c:v>35.643300000000004</c:v>
                </c:pt>
                <c:pt idx="902">
                  <c:v>5.0815999999999999</c:v>
                </c:pt>
                <c:pt idx="903">
                  <c:v>36.178699999999999</c:v>
                </c:pt>
                <c:pt idx="904">
                  <c:v>0</c:v>
                </c:pt>
                <c:pt idx="905">
                  <c:v>0</c:v>
                </c:pt>
                <c:pt idx="906">
                  <c:v>6.8884999999999996</c:v>
                </c:pt>
                <c:pt idx="907">
                  <c:v>75.810900000000004</c:v>
                </c:pt>
                <c:pt idx="908">
                  <c:v>14.2172</c:v>
                </c:pt>
                <c:pt idx="909">
                  <c:v>50.036000000000001</c:v>
                </c:pt>
                <c:pt idx="910">
                  <c:v>58.2928</c:v>
                </c:pt>
                <c:pt idx="911">
                  <c:v>43.447099999999999</c:v>
                </c:pt>
                <c:pt idx="912">
                  <c:v>0</c:v>
                </c:pt>
                <c:pt idx="913">
                  <c:v>0</c:v>
                </c:pt>
                <c:pt idx="914">
                  <c:v>12.369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1.6314</c:v>
                </c:pt>
                <c:pt idx="921">
                  <c:v>0</c:v>
                </c:pt>
                <c:pt idx="922">
                  <c:v>14.8439</c:v>
                </c:pt>
                <c:pt idx="923">
                  <c:v>0</c:v>
                </c:pt>
                <c:pt idx="924">
                  <c:v>35.713299999999997</c:v>
                </c:pt>
                <c:pt idx="925">
                  <c:v>18.349299999999999</c:v>
                </c:pt>
                <c:pt idx="926">
                  <c:v>5.4466999999999999</c:v>
                </c:pt>
                <c:pt idx="927">
                  <c:v>20.119700000000002</c:v>
                </c:pt>
                <c:pt idx="928">
                  <c:v>2.6993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60.267899999999997</c:v>
                </c:pt>
                <c:pt idx="934">
                  <c:v>51.023899999999998</c:v>
                </c:pt>
                <c:pt idx="935">
                  <c:v>0</c:v>
                </c:pt>
                <c:pt idx="936">
                  <c:v>23.710100000000001</c:v>
                </c:pt>
                <c:pt idx="937">
                  <c:v>0</c:v>
                </c:pt>
                <c:pt idx="938">
                  <c:v>4.4466999999999999</c:v>
                </c:pt>
                <c:pt idx="939">
                  <c:v>64.490499999999997</c:v>
                </c:pt>
                <c:pt idx="940">
                  <c:v>0</c:v>
                </c:pt>
                <c:pt idx="941">
                  <c:v>56.5291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18.224499999999999</c:v>
                </c:pt>
                <c:pt idx="948">
                  <c:v>4.9500999999999999</c:v>
                </c:pt>
                <c:pt idx="949">
                  <c:v>0</c:v>
                </c:pt>
                <c:pt idx="950">
                  <c:v>7.3954000000000004</c:v>
                </c:pt>
                <c:pt idx="951">
                  <c:v>48.462000000000003</c:v>
                </c:pt>
                <c:pt idx="952">
                  <c:v>3.0714999999999999</c:v>
                </c:pt>
                <c:pt idx="953">
                  <c:v>36.430399999999999</c:v>
                </c:pt>
                <c:pt idx="954">
                  <c:v>0.3518</c:v>
                </c:pt>
                <c:pt idx="955">
                  <c:v>54.454700000000003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16.035599999999999</c:v>
                </c:pt>
                <c:pt idx="961">
                  <c:v>0</c:v>
                </c:pt>
                <c:pt idx="962">
                  <c:v>40.418599999999998</c:v>
                </c:pt>
                <c:pt idx="963">
                  <c:v>24.29</c:v>
                </c:pt>
                <c:pt idx="964">
                  <c:v>0</c:v>
                </c:pt>
                <c:pt idx="965">
                  <c:v>0</c:v>
                </c:pt>
                <c:pt idx="966">
                  <c:v>14.366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109.72029999999999</c:v>
                </c:pt>
                <c:pt idx="972">
                  <c:v>100.1735</c:v>
                </c:pt>
                <c:pt idx="973">
                  <c:v>0</c:v>
                </c:pt>
                <c:pt idx="974">
                  <c:v>0</c:v>
                </c:pt>
                <c:pt idx="975">
                  <c:v>19.781600000000001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1.0673999999999999</c:v>
                </c:pt>
                <c:pt idx="981">
                  <c:v>62.770099999999999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21.638300000000001</c:v>
                </c:pt>
                <c:pt idx="987">
                  <c:v>0</c:v>
                </c:pt>
                <c:pt idx="988">
                  <c:v>5.1741000000000001</c:v>
                </c:pt>
                <c:pt idx="989">
                  <c:v>10.8255</c:v>
                </c:pt>
                <c:pt idx="990">
                  <c:v>0</c:v>
                </c:pt>
                <c:pt idx="991">
                  <c:v>20.238</c:v>
                </c:pt>
                <c:pt idx="992">
                  <c:v>12.541499999999999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10.1938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01-4164-9A0D-890B0844B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2872"/>
        <c:axId val="436194672"/>
      </c:scatterChart>
      <c:valAx>
        <c:axId val="43620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4672"/>
        <c:crosses val="autoZero"/>
        <c:crossBetween val="midCat"/>
      </c:valAx>
      <c:valAx>
        <c:axId val="4361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02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'Asset or Nothing Call Option'!$S$1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'Asset or Nothing Call Option'!$Q$2:$Q$1001</c:f>
              <c:numCache>
                <c:formatCode>0.00</c:formatCode>
                <c:ptCount val="1000"/>
                <c:pt idx="0">
                  <c:v>78.589399999999998</c:v>
                </c:pt>
                <c:pt idx="1">
                  <c:v>92.377200000000002</c:v>
                </c:pt>
                <c:pt idx="2">
                  <c:v>169.07560000000001</c:v>
                </c:pt>
                <c:pt idx="3">
                  <c:v>77.093999999999994</c:v>
                </c:pt>
                <c:pt idx="4">
                  <c:v>94.879099999999994</c:v>
                </c:pt>
                <c:pt idx="5">
                  <c:v>133.9563</c:v>
                </c:pt>
                <c:pt idx="6">
                  <c:v>72.2303</c:v>
                </c:pt>
                <c:pt idx="7">
                  <c:v>56.083500000000001</c:v>
                </c:pt>
                <c:pt idx="8">
                  <c:v>64.493200000000002</c:v>
                </c:pt>
                <c:pt idx="9">
                  <c:v>91.530299999999997</c:v>
                </c:pt>
                <c:pt idx="10">
                  <c:v>77.169499999999999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90.763000000000005</c:v>
                </c:pt>
                <c:pt idx="14">
                  <c:v>73.142099999999999</c:v>
                </c:pt>
                <c:pt idx="15">
                  <c:v>100.86409999999999</c:v>
                </c:pt>
                <c:pt idx="16">
                  <c:v>83.646600000000007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70.857900000000001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72.296599999999998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79.515000000000001</c:v>
                </c:pt>
                <c:pt idx="35">
                  <c:v>79.402799999999999</c:v>
                </c:pt>
                <c:pt idx="36">
                  <c:v>108.84229999999999</c:v>
                </c:pt>
                <c:pt idx="37">
                  <c:v>67.859300000000005</c:v>
                </c:pt>
                <c:pt idx="38">
                  <c:v>120.6168</c:v>
                </c:pt>
                <c:pt idx="39">
                  <c:v>51.927100000000003</c:v>
                </c:pt>
                <c:pt idx="40">
                  <c:v>90.278999999999996</c:v>
                </c:pt>
                <c:pt idx="41">
                  <c:v>143.7158</c:v>
                </c:pt>
                <c:pt idx="42">
                  <c:v>112.6417</c:v>
                </c:pt>
                <c:pt idx="43">
                  <c:v>64.528899999999993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91.094899999999996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86.885900000000007</c:v>
                </c:pt>
                <c:pt idx="51">
                  <c:v>69.339699999999993</c:v>
                </c:pt>
                <c:pt idx="52">
                  <c:v>71.402199999999993</c:v>
                </c:pt>
                <c:pt idx="53">
                  <c:v>81.929400000000001</c:v>
                </c:pt>
                <c:pt idx="54">
                  <c:v>110.2734</c:v>
                </c:pt>
                <c:pt idx="55">
                  <c:v>70.046899999999994</c:v>
                </c:pt>
                <c:pt idx="56">
                  <c:v>117.4097</c:v>
                </c:pt>
                <c:pt idx="57">
                  <c:v>82.724299999999999</c:v>
                </c:pt>
                <c:pt idx="58">
                  <c:v>90.621700000000004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86.135800000000003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73.533199999999994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70.035899999999998</c:v>
                </c:pt>
                <c:pt idx="69">
                  <c:v>145.65870000000001</c:v>
                </c:pt>
                <c:pt idx="70">
                  <c:v>79.495000000000005</c:v>
                </c:pt>
                <c:pt idx="71">
                  <c:v>89.553899999999999</c:v>
                </c:pt>
                <c:pt idx="72">
                  <c:v>101.3502</c:v>
                </c:pt>
                <c:pt idx="73">
                  <c:v>94.299300000000002</c:v>
                </c:pt>
                <c:pt idx="74">
                  <c:v>71.534400000000005</c:v>
                </c:pt>
                <c:pt idx="75">
                  <c:v>196.56819999999999</c:v>
                </c:pt>
                <c:pt idx="76">
                  <c:v>96.1785</c:v>
                </c:pt>
                <c:pt idx="77">
                  <c:v>159.8614</c:v>
                </c:pt>
                <c:pt idx="78">
                  <c:v>79.9465</c:v>
                </c:pt>
                <c:pt idx="79">
                  <c:v>110.8716</c:v>
                </c:pt>
                <c:pt idx="80">
                  <c:v>87.653300000000002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99.766599999999997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93.790300000000002</c:v>
                </c:pt>
                <c:pt idx="91">
                  <c:v>134.92910000000001</c:v>
                </c:pt>
                <c:pt idx="92">
                  <c:v>75.308800000000005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89.384699999999995</c:v>
                </c:pt>
                <c:pt idx="96">
                  <c:v>82.407799999999995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99.442599999999999</c:v>
                </c:pt>
                <c:pt idx="100">
                  <c:v>65.859399999999994</c:v>
                </c:pt>
                <c:pt idx="101">
                  <c:v>127.3869</c:v>
                </c:pt>
                <c:pt idx="102">
                  <c:v>74.643600000000006</c:v>
                </c:pt>
                <c:pt idx="103">
                  <c:v>102.2422</c:v>
                </c:pt>
                <c:pt idx="104">
                  <c:v>76.535700000000006</c:v>
                </c:pt>
                <c:pt idx="105">
                  <c:v>108.90470000000001</c:v>
                </c:pt>
                <c:pt idx="106">
                  <c:v>78.556600000000003</c:v>
                </c:pt>
                <c:pt idx="107">
                  <c:v>81.685400000000001</c:v>
                </c:pt>
                <c:pt idx="108">
                  <c:v>75.696799999999996</c:v>
                </c:pt>
                <c:pt idx="109">
                  <c:v>82.570999999999998</c:v>
                </c:pt>
                <c:pt idx="110">
                  <c:v>62.514800000000001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81.607600000000005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77.149500000000003</c:v>
                </c:pt>
                <c:pt idx="118">
                  <c:v>69.350499999999997</c:v>
                </c:pt>
                <c:pt idx="119">
                  <c:v>73.230999999999995</c:v>
                </c:pt>
                <c:pt idx="120">
                  <c:v>114.8745</c:v>
                </c:pt>
                <c:pt idx="121">
                  <c:v>114.8939</c:v>
                </c:pt>
                <c:pt idx="122">
                  <c:v>81.293499999999995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83.7303</c:v>
                </c:pt>
                <c:pt idx="127">
                  <c:v>71.985100000000003</c:v>
                </c:pt>
                <c:pt idx="128">
                  <c:v>74.073999999999998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84.021900000000002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88.171800000000005</c:v>
                </c:pt>
                <c:pt idx="139">
                  <c:v>69.460300000000004</c:v>
                </c:pt>
                <c:pt idx="140">
                  <c:v>58.509300000000003</c:v>
                </c:pt>
                <c:pt idx="141">
                  <c:v>125.2116</c:v>
                </c:pt>
                <c:pt idx="142">
                  <c:v>76.105199999999996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95.381299999999996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98.075999999999993</c:v>
                </c:pt>
                <c:pt idx="153">
                  <c:v>69.544700000000006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73.568399999999997</c:v>
                </c:pt>
                <c:pt idx="158">
                  <c:v>75.186400000000006</c:v>
                </c:pt>
                <c:pt idx="159">
                  <c:v>97.480699999999999</c:v>
                </c:pt>
                <c:pt idx="160">
                  <c:v>99.088399999999993</c:v>
                </c:pt>
                <c:pt idx="161">
                  <c:v>95.641999999999996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90.348600000000005</c:v>
                </c:pt>
                <c:pt idx="167">
                  <c:v>117.9217</c:v>
                </c:pt>
                <c:pt idx="168">
                  <c:v>97.553299999999993</c:v>
                </c:pt>
                <c:pt idx="169">
                  <c:v>90.797499999999999</c:v>
                </c:pt>
                <c:pt idx="170">
                  <c:v>122.5309</c:v>
                </c:pt>
                <c:pt idx="171">
                  <c:v>87.5321</c:v>
                </c:pt>
                <c:pt idx="172">
                  <c:v>83.827200000000005</c:v>
                </c:pt>
                <c:pt idx="173">
                  <c:v>127.3792</c:v>
                </c:pt>
                <c:pt idx="174">
                  <c:v>71.304100000000005</c:v>
                </c:pt>
                <c:pt idx="175">
                  <c:v>95.600300000000004</c:v>
                </c:pt>
                <c:pt idx="176">
                  <c:v>141.2645</c:v>
                </c:pt>
                <c:pt idx="177">
                  <c:v>81.89</c:v>
                </c:pt>
                <c:pt idx="178">
                  <c:v>95.611599999999996</c:v>
                </c:pt>
                <c:pt idx="179">
                  <c:v>99.8523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78.326899999999995</c:v>
                </c:pt>
                <c:pt idx="185">
                  <c:v>71.076999999999998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93.571100000000001</c:v>
                </c:pt>
                <c:pt idx="189">
                  <c:v>56.063200000000002</c:v>
                </c:pt>
                <c:pt idx="190">
                  <c:v>131.9862</c:v>
                </c:pt>
                <c:pt idx="191">
                  <c:v>41.500799999999998</c:v>
                </c:pt>
                <c:pt idx="192">
                  <c:v>109.4092</c:v>
                </c:pt>
                <c:pt idx="193">
                  <c:v>100.9547</c:v>
                </c:pt>
                <c:pt idx="194">
                  <c:v>98.317899999999995</c:v>
                </c:pt>
                <c:pt idx="195">
                  <c:v>116.3783</c:v>
                </c:pt>
                <c:pt idx="196">
                  <c:v>71.898700000000005</c:v>
                </c:pt>
                <c:pt idx="197">
                  <c:v>58.203499999999998</c:v>
                </c:pt>
                <c:pt idx="198">
                  <c:v>86.563999999999993</c:v>
                </c:pt>
                <c:pt idx="199">
                  <c:v>161.45359999999999</c:v>
                </c:pt>
                <c:pt idx="200">
                  <c:v>69.260400000000004</c:v>
                </c:pt>
                <c:pt idx="201">
                  <c:v>79.515699999999995</c:v>
                </c:pt>
                <c:pt idx="202">
                  <c:v>224.876</c:v>
                </c:pt>
                <c:pt idx="203">
                  <c:v>90.320099999999996</c:v>
                </c:pt>
                <c:pt idx="204">
                  <c:v>89.007800000000003</c:v>
                </c:pt>
                <c:pt idx="205">
                  <c:v>100.8552</c:v>
                </c:pt>
                <c:pt idx="206">
                  <c:v>113.9264</c:v>
                </c:pt>
                <c:pt idx="207">
                  <c:v>97.242400000000004</c:v>
                </c:pt>
                <c:pt idx="208">
                  <c:v>79.648300000000006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56.948099999999997</c:v>
                </c:pt>
                <c:pt idx="213">
                  <c:v>144.22219999999999</c:v>
                </c:pt>
                <c:pt idx="214">
                  <c:v>69.971800000000002</c:v>
                </c:pt>
                <c:pt idx="215">
                  <c:v>50.393300000000004</c:v>
                </c:pt>
                <c:pt idx="216">
                  <c:v>66.471500000000006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82.926100000000005</c:v>
                </c:pt>
                <c:pt idx="220">
                  <c:v>91.952200000000005</c:v>
                </c:pt>
                <c:pt idx="221">
                  <c:v>77.956199999999995</c:v>
                </c:pt>
                <c:pt idx="222">
                  <c:v>97.599299999999999</c:v>
                </c:pt>
                <c:pt idx="223">
                  <c:v>74.110200000000006</c:v>
                </c:pt>
                <c:pt idx="224">
                  <c:v>111.64230000000001</c:v>
                </c:pt>
                <c:pt idx="225">
                  <c:v>67.264300000000006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69.850300000000004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74.151700000000005</c:v>
                </c:pt>
                <c:pt idx="233">
                  <c:v>41.369599999999998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94.363900000000001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78.381100000000004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73.026899999999998</c:v>
                </c:pt>
                <c:pt idx="248">
                  <c:v>112.12009999999999</c:v>
                </c:pt>
                <c:pt idx="249">
                  <c:v>100.11199999999999</c:v>
                </c:pt>
                <c:pt idx="250">
                  <c:v>99.668899999999994</c:v>
                </c:pt>
                <c:pt idx="251">
                  <c:v>102.2496</c:v>
                </c:pt>
                <c:pt idx="252">
                  <c:v>81.403899999999993</c:v>
                </c:pt>
                <c:pt idx="253">
                  <c:v>207.8408</c:v>
                </c:pt>
                <c:pt idx="254">
                  <c:v>124.7543</c:v>
                </c:pt>
                <c:pt idx="255">
                  <c:v>88.122799999999998</c:v>
                </c:pt>
                <c:pt idx="256">
                  <c:v>113.6266</c:v>
                </c:pt>
                <c:pt idx="257">
                  <c:v>92.844700000000003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81.802899999999994</c:v>
                </c:pt>
                <c:pt idx="262">
                  <c:v>59.605200000000004</c:v>
                </c:pt>
                <c:pt idx="263">
                  <c:v>95.667400000000001</c:v>
                </c:pt>
                <c:pt idx="264">
                  <c:v>83.794700000000006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60.709600000000002</c:v>
                </c:pt>
                <c:pt idx="268">
                  <c:v>106.31489999999999</c:v>
                </c:pt>
                <c:pt idx="269">
                  <c:v>92.859499999999997</c:v>
                </c:pt>
                <c:pt idx="270">
                  <c:v>178.9699</c:v>
                </c:pt>
                <c:pt idx="271">
                  <c:v>138.5557</c:v>
                </c:pt>
                <c:pt idx="272">
                  <c:v>62.613900000000001</c:v>
                </c:pt>
                <c:pt idx="273">
                  <c:v>90.7393</c:v>
                </c:pt>
                <c:pt idx="274">
                  <c:v>151.1952</c:v>
                </c:pt>
                <c:pt idx="275">
                  <c:v>112.9901</c:v>
                </c:pt>
                <c:pt idx="276">
                  <c:v>87.6327</c:v>
                </c:pt>
                <c:pt idx="277">
                  <c:v>66.144599999999997</c:v>
                </c:pt>
                <c:pt idx="278">
                  <c:v>136.76609999999999</c:v>
                </c:pt>
                <c:pt idx="279">
                  <c:v>50.3108</c:v>
                </c:pt>
                <c:pt idx="280">
                  <c:v>74.007599999999996</c:v>
                </c:pt>
                <c:pt idx="281">
                  <c:v>70.3172</c:v>
                </c:pt>
                <c:pt idx="282">
                  <c:v>72.924599999999998</c:v>
                </c:pt>
                <c:pt idx="283">
                  <c:v>120.42789999999999</c:v>
                </c:pt>
                <c:pt idx="284">
                  <c:v>58.406799999999997</c:v>
                </c:pt>
                <c:pt idx="285">
                  <c:v>87.974800000000002</c:v>
                </c:pt>
                <c:pt idx="286">
                  <c:v>112.3961</c:v>
                </c:pt>
                <c:pt idx="287">
                  <c:v>78.930099999999996</c:v>
                </c:pt>
                <c:pt idx="288">
                  <c:v>64.611999999999995</c:v>
                </c:pt>
                <c:pt idx="289">
                  <c:v>107.8442</c:v>
                </c:pt>
                <c:pt idx="290">
                  <c:v>72.5672</c:v>
                </c:pt>
                <c:pt idx="291">
                  <c:v>139.69810000000001</c:v>
                </c:pt>
                <c:pt idx="292">
                  <c:v>89.284899999999993</c:v>
                </c:pt>
                <c:pt idx="293">
                  <c:v>61.329099999999997</c:v>
                </c:pt>
                <c:pt idx="294">
                  <c:v>73.720600000000005</c:v>
                </c:pt>
                <c:pt idx="295">
                  <c:v>73.860500000000002</c:v>
                </c:pt>
                <c:pt idx="296">
                  <c:v>128.10730000000001</c:v>
                </c:pt>
                <c:pt idx="297">
                  <c:v>85.417500000000004</c:v>
                </c:pt>
                <c:pt idx="298">
                  <c:v>80.427899999999994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86.362700000000004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66.807699999999997</c:v>
                </c:pt>
                <c:pt idx="306">
                  <c:v>124.0968</c:v>
                </c:pt>
                <c:pt idx="307">
                  <c:v>99.782799999999995</c:v>
                </c:pt>
                <c:pt idx="308">
                  <c:v>174.79589999999999</c:v>
                </c:pt>
                <c:pt idx="309">
                  <c:v>98.053100000000001</c:v>
                </c:pt>
                <c:pt idx="310">
                  <c:v>71.720600000000005</c:v>
                </c:pt>
                <c:pt idx="311">
                  <c:v>127.39019999999999</c:v>
                </c:pt>
                <c:pt idx="312">
                  <c:v>84.472399999999993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66.716499999999996</c:v>
                </c:pt>
                <c:pt idx="316">
                  <c:v>76.077799999999996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73.471999999999994</c:v>
                </c:pt>
                <c:pt idx="323">
                  <c:v>129.77269999999999</c:v>
                </c:pt>
                <c:pt idx="324">
                  <c:v>76.733400000000003</c:v>
                </c:pt>
                <c:pt idx="325">
                  <c:v>100.48009999999999</c:v>
                </c:pt>
                <c:pt idx="326">
                  <c:v>97.197800000000001</c:v>
                </c:pt>
                <c:pt idx="327">
                  <c:v>100.87309999999999</c:v>
                </c:pt>
                <c:pt idx="328">
                  <c:v>91.104200000000006</c:v>
                </c:pt>
                <c:pt idx="329">
                  <c:v>59.067</c:v>
                </c:pt>
                <c:pt idx="330">
                  <c:v>83.042900000000003</c:v>
                </c:pt>
                <c:pt idx="331">
                  <c:v>121.80029999999999</c:v>
                </c:pt>
                <c:pt idx="332">
                  <c:v>57.674500000000002</c:v>
                </c:pt>
                <c:pt idx="333">
                  <c:v>66.701599999999999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66.778999999999996</c:v>
                </c:pt>
                <c:pt idx="337">
                  <c:v>96.759600000000006</c:v>
                </c:pt>
                <c:pt idx="338">
                  <c:v>62.647500000000001</c:v>
                </c:pt>
                <c:pt idx="339">
                  <c:v>75.797499999999999</c:v>
                </c:pt>
                <c:pt idx="340">
                  <c:v>147.00200000000001</c:v>
                </c:pt>
                <c:pt idx="341">
                  <c:v>88.860500000000002</c:v>
                </c:pt>
                <c:pt idx="342">
                  <c:v>100.0592</c:v>
                </c:pt>
                <c:pt idx="343">
                  <c:v>96.513800000000003</c:v>
                </c:pt>
                <c:pt idx="344">
                  <c:v>93.793599999999998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81.284400000000005</c:v>
                </c:pt>
                <c:pt idx="348">
                  <c:v>86.134299999999996</c:v>
                </c:pt>
                <c:pt idx="349">
                  <c:v>100.30929999999999</c:v>
                </c:pt>
                <c:pt idx="350">
                  <c:v>75.280600000000007</c:v>
                </c:pt>
                <c:pt idx="351">
                  <c:v>83.287700000000001</c:v>
                </c:pt>
                <c:pt idx="352">
                  <c:v>137.63159999999999</c:v>
                </c:pt>
                <c:pt idx="353">
                  <c:v>91.939300000000003</c:v>
                </c:pt>
                <c:pt idx="354">
                  <c:v>73.013800000000003</c:v>
                </c:pt>
                <c:pt idx="355">
                  <c:v>98.7393</c:v>
                </c:pt>
                <c:pt idx="356">
                  <c:v>114.5966</c:v>
                </c:pt>
                <c:pt idx="357">
                  <c:v>82.987200000000001</c:v>
                </c:pt>
                <c:pt idx="358">
                  <c:v>95.836699999999993</c:v>
                </c:pt>
                <c:pt idx="359">
                  <c:v>105.3274</c:v>
                </c:pt>
                <c:pt idx="360">
                  <c:v>66.857500000000002</c:v>
                </c:pt>
                <c:pt idx="361">
                  <c:v>96.597099999999998</c:v>
                </c:pt>
                <c:pt idx="362">
                  <c:v>111.2129</c:v>
                </c:pt>
                <c:pt idx="363">
                  <c:v>49.368099999999998</c:v>
                </c:pt>
                <c:pt idx="364">
                  <c:v>155.43950000000001</c:v>
                </c:pt>
                <c:pt idx="365">
                  <c:v>87.398200000000003</c:v>
                </c:pt>
                <c:pt idx="366">
                  <c:v>60.416400000000003</c:v>
                </c:pt>
                <c:pt idx="367">
                  <c:v>109.3099</c:v>
                </c:pt>
                <c:pt idx="368">
                  <c:v>119.3515</c:v>
                </c:pt>
                <c:pt idx="369">
                  <c:v>76.900700000000001</c:v>
                </c:pt>
                <c:pt idx="370">
                  <c:v>143.77510000000001</c:v>
                </c:pt>
                <c:pt idx="371">
                  <c:v>88.800899999999999</c:v>
                </c:pt>
                <c:pt idx="372">
                  <c:v>99.890199999999993</c:v>
                </c:pt>
                <c:pt idx="373">
                  <c:v>119.1769</c:v>
                </c:pt>
                <c:pt idx="374">
                  <c:v>86.5321</c:v>
                </c:pt>
                <c:pt idx="375">
                  <c:v>99.0608</c:v>
                </c:pt>
                <c:pt idx="376">
                  <c:v>110.23820000000001</c:v>
                </c:pt>
                <c:pt idx="377">
                  <c:v>62.285800000000002</c:v>
                </c:pt>
                <c:pt idx="378">
                  <c:v>97.153099999999995</c:v>
                </c:pt>
                <c:pt idx="379">
                  <c:v>114.4449</c:v>
                </c:pt>
                <c:pt idx="380">
                  <c:v>84.066699999999997</c:v>
                </c:pt>
                <c:pt idx="381">
                  <c:v>123.8245</c:v>
                </c:pt>
                <c:pt idx="382">
                  <c:v>84.137100000000004</c:v>
                </c:pt>
                <c:pt idx="383">
                  <c:v>91.746600000000001</c:v>
                </c:pt>
                <c:pt idx="384">
                  <c:v>109.1691</c:v>
                </c:pt>
                <c:pt idx="385">
                  <c:v>77.892399999999995</c:v>
                </c:pt>
                <c:pt idx="386">
                  <c:v>87.033000000000001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71.542699999999996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72.531099999999995</c:v>
                </c:pt>
                <c:pt idx="394">
                  <c:v>155.9221</c:v>
                </c:pt>
                <c:pt idx="395">
                  <c:v>84.199700000000007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86.338399999999993</c:v>
                </c:pt>
                <c:pt idx="399">
                  <c:v>82.684600000000003</c:v>
                </c:pt>
                <c:pt idx="400">
                  <c:v>97.389200000000002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54.199800000000003</c:v>
                </c:pt>
                <c:pt idx="405">
                  <c:v>85.654700000000005</c:v>
                </c:pt>
                <c:pt idx="406">
                  <c:v>130.05770000000001</c:v>
                </c:pt>
                <c:pt idx="407">
                  <c:v>92.024199999999993</c:v>
                </c:pt>
                <c:pt idx="408">
                  <c:v>95.750500000000002</c:v>
                </c:pt>
                <c:pt idx="409">
                  <c:v>51.245199999999997</c:v>
                </c:pt>
                <c:pt idx="410">
                  <c:v>70.628699999999995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75.020099999999999</c:v>
                </c:pt>
                <c:pt idx="418">
                  <c:v>91.845200000000006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73.242699999999999</c:v>
                </c:pt>
                <c:pt idx="427">
                  <c:v>67.488699999999994</c:v>
                </c:pt>
                <c:pt idx="428">
                  <c:v>127.15260000000001</c:v>
                </c:pt>
                <c:pt idx="429">
                  <c:v>74.560699999999997</c:v>
                </c:pt>
                <c:pt idx="430">
                  <c:v>71.860299999999995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57.713000000000001</c:v>
                </c:pt>
                <c:pt idx="435">
                  <c:v>119.54689999999999</c:v>
                </c:pt>
                <c:pt idx="436">
                  <c:v>81.215000000000003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74.727999999999994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90.0702</c:v>
                </c:pt>
                <c:pt idx="445">
                  <c:v>89.968699999999998</c:v>
                </c:pt>
                <c:pt idx="446">
                  <c:v>133.5326</c:v>
                </c:pt>
                <c:pt idx="447">
                  <c:v>67.803700000000006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69.797799999999995</c:v>
                </c:pt>
                <c:pt idx="458">
                  <c:v>88.998999999999995</c:v>
                </c:pt>
                <c:pt idx="459">
                  <c:v>79.9619</c:v>
                </c:pt>
                <c:pt idx="460">
                  <c:v>55.566600000000001</c:v>
                </c:pt>
                <c:pt idx="461">
                  <c:v>98.254800000000003</c:v>
                </c:pt>
                <c:pt idx="462">
                  <c:v>97.831400000000002</c:v>
                </c:pt>
                <c:pt idx="463">
                  <c:v>116.1472</c:v>
                </c:pt>
                <c:pt idx="464">
                  <c:v>40.594499999999996</c:v>
                </c:pt>
                <c:pt idx="465">
                  <c:v>73.348699999999994</c:v>
                </c:pt>
                <c:pt idx="466">
                  <c:v>65.918599999999998</c:v>
                </c:pt>
                <c:pt idx="467">
                  <c:v>64.796199999999999</c:v>
                </c:pt>
                <c:pt idx="468">
                  <c:v>99.334400000000002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88.719300000000004</c:v>
                </c:pt>
                <c:pt idx="475">
                  <c:v>103.6763</c:v>
                </c:pt>
                <c:pt idx="476">
                  <c:v>97.650400000000005</c:v>
                </c:pt>
                <c:pt idx="477">
                  <c:v>99.313000000000002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89.633200000000002</c:v>
                </c:pt>
                <c:pt idx="484">
                  <c:v>104.8809</c:v>
                </c:pt>
                <c:pt idx="485">
                  <c:v>53.971400000000003</c:v>
                </c:pt>
                <c:pt idx="486">
                  <c:v>86.795400000000001</c:v>
                </c:pt>
                <c:pt idx="487">
                  <c:v>90.1999</c:v>
                </c:pt>
                <c:pt idx="488">
                  <c:v>43.988300000000002</c:v>
                </c:pt>
                <c:pt idx="489">
                  <c:v>60.852600000000002</c:v>
                </c:pt>
                <c:pt idx="490">
                  <c:v>132.00640000000001</c:v>
                </c:pt>
                <c:pt idx="491">
                  <c:v>86.721299999999999</c:v>
                </c:pt>
                <c:pt idx="492">
                  <c:v>76.553600000000003</c:v>
                </c:pt>
                <c:pt idx="493">
                  <c:v>113.4224</c:v>
                </c:pt>
                <c:pt idx="494">
                  <c:v>74.127099999999999</c:v>
                </c:pt>
                <c:pt idx="495">
                  <c:v>184.44749999999999</c:v>
                </c:pt>
                <c:pt idx="496">
                  <c:v>91.499799999999993</c:v>
                </c:pt>
                <c:pt idx="497">
                  <c:v>173.74619999999999</c:v>
                </c:pt>
                <c:pt idx="498">
                  <c:v>73.3262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96.659800000000004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99.910300000000007</c:v>
                </c:pt>
                <c:pt idx="506">
                  <c:v>93.293999999999997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76.4405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89.660899999999998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86.433199999999999</c:v>
                </c:pt>
                <c:pt idx="520">
                  <c:v>115.7529</c:v>
                </c:pt>
                <c:pt idx="521">
                  <c:v>60.798900000000003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80.784999999999997</c:v>
                </c:pt>
                <c:pt idx="527">
                  <c:v>99.907200000000003</c:v>
                </c:pt>
                <c:pt idx="528">
                  <c:v>97.702600000000004</c:v>
                </c:pt>
                <c:pt idx="529">
                  <c:v>112.11920000000001</c:v>
                </c:pt>
                <c:pt idx="530">
                  <c:v>77.362300000000005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65.698899999999995</c:v>
                </c:pt>
                <c:pt idx="538">
                  <c:v>110.2265</c:v>
                </c:pt>
                <c:pt idx="539">
                  <c:v>99.793300000000002</c:v>
                </c:pt>
                <c:pt idx="540">
                  <c:v>97.526600000000002</c:v>
                </c:pt>
                <c:pt idx="541">
                  <c:v>69.930499999999995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82.602000000000004</c:v>
                </c:pt>
                <c:pt idx="546">
                  <c:v>76.847899999999996</c:v>
                </c:pt>
                <c:pt idx="547">
                  <c:v>161.23740000000001</c:v>
                </c:pt>
                <c:pt idx="548">
                  <c:v>78.704999999999998</c:v>
                </c:pt>
                <c:pt idx="549">
                  <c:v>63.5871</c:v>
                </c:pt>
                <c:pt idx="550">
                  <c:v>76.729600000000005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79.790599999999998</c:v>
                </c:pt>
                <c:pt idx="555">
                  <c:v>100.282</c:v>
                </c:pt>
                <c:pt idx="556">
                  <c:v>92.678299999999993</c:v>
                </c:pt>
                <c:pt idx="557">
                  <c:v>102.6949</c:v>
                </c:pt>
                <c:pt idx="558">
                  <c:v>115.3536</c:v>
                </c:pt>
                <c:pt idx="559">
                  <c:v>79.500500000000002</c:v>
                </c:pt>
                <c:pt idx="560">
                  <c:v>124.8287</c:v>
                </c:pt>
                <c:pt idx="561">
                  <c:v>73.589100000000002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82.351600000000005</c:v>
                </c:pt>
                <c:pt idx="565">
                  <c:v>65.746499999999997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94.295699999999997</c:v>
                </c:pt>
                <c:pt idx="569">
                  <c:v>59.000799999999998</c:v>
                </c:pt>
                <c:pt idx="570">
                  <c:v>86.906000000000006</c:v>
                </c:pt>
                <c:pt idx="571">
                  <c:v>106.4387</c:v>
                </c:pt>
                <c:pt idx="572">
                  <c:v>75.315200000000004</c:v>
                </c:pt>
                <c:pt idx="573">
                  <c:v>109.91759999999999</c:v>
                </c:pt>
                <c:pt idx="574">
                  <c:v>84.245800000000003</c:v>
                </c:pt>
                <c:pt idx="575">
                  <c:v>95.355000000000004</c:v>
                </c:pt>
                <c:pt idx="576">
                  <c:v>82.143799999999999</c:v>
                </c:pt>
                <c:pt idx="577">
                  <c:v>139.9427</c:v>
                </c:pt>
                <c:pt idx="578">
                  <c:v>78.0959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96.423299999999998</c:v>
                </c:pt>
                <c:pt idx="585">
                  <c:v>93.610600000000005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95.692999999999998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85.213099999999997</c:v>
                </c:pt>
                <c:pt idx="594">
                  <c:v>94.686499999999995</c:v>
                </c:pt>
                <c:pt idx="595">
                  <c:v>112.9845</c:v>
                </c:pt>
                <c:pt idx="596">
                  <c:v>77.2376</c:v>
                </c:pt>
                <c:pt idx="597">
                  <c:v>68.248000000000005</c:v>
                </c:pt>
                <c:pt idx="598">
                  <c:v>91.6126</c:v>
                </c:pt>
                <c:pt idx="599">
                  <c:v>81.852800000000002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61.447299999999998</c:v>
                </c:pt>
                <c:pt idx="606">
                  <c:v>128.30029999999999</c:v>
                </c:pt>
                <c:pt idx="607">
                  <c:v>85.870900000000006</c:v>
                </c:pt>
                <c:pt idx="608">
                  <c:v>109.2928</c:v>
                </c:pt>
                <c:pt idx="609">
                  <c:v>91.188800000000001</c:v>
                </c:pt>
                <c:pt idx="610">
                  <c:v>80.141300000000001</c:v>
                </c:pt>
                <c:pt idx="611">
                  <c:v>127.7752</c:v>
                </c:pt>
                <c:pt idx="612">
                  <c:v>83.441900000000004</c:v>
                </c:pt>
                <c:pt idx="613">
                  <c:v>87.950599999999994</c:v>
                </c:pt>
                <c:pt idx="614">
                  <c:v>136.85769999999999</c:v>
                </c:pt>
                <c:pt idx="615">
                  <c:v>95.886499999999998</c:v>
                </c:pt>
                <c:pt idx="616">
                  <c:v>88.446200000000005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66.484399999999994</c:v>
                </c:pt>
                <c:pt idx="621">
                  <c:v>104.569</c:v>
                </c:pt>
                <c:pt idx="622">
                  <c:v>93.180099999999996</c:v>
                </c:pt>
                <c:pt idx="623">
                  <c:v>102.00839999999999</c:v>
                </c:pt>
                <c:pt idx="624">
                  <c:v>81.950100000000006</c:v>
                </c:pt>
                <c:pt idx="625">
                  <c:v>165.37440000000001</c:v>
                </c:pt>
                <c:pt idx="626">
                  <c:v>77.730699999999999</c:v>
                </c:pt>
                <c:pt idx="627">
                  <c:v>89.056299999999993</c:v>
                </c:pt>
                <c:pt idx="628">
                  <c:v>92.738799999999998</c:v>
                </c:pt>
                <c:pt idx="629">
                  <c:v>143.8964</c:v>
                </c:pt>
                <c:pt idx="630">
                  <c:v>87.296400000000006</c:v>
                </c:pt>
                <c:pt idx="631">
                  <c:v>235.17769999999999</c:v>
                </c:pt>
                <c:pt idx="632">
                  <c:v>57.021900000000002</c:v>
                </c:pt>
                <c:pt idx="633">
                  <c:v>72.390900000000002</c:v>
                </c:pt>
                <c:pt idx="634">
                  <c:v>115.4366</c:v>
                </c:pt>
                <c:pt idx="635">
                  <c:v>75.303899999999999</c:v>
                </c:pt>
                <c:pt idx="636">
                  <c:v>94.051400000000001</c:v>
                </c:pt>
                <c:pt idx="637">
                  <c:v>76.026799999999994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88.140100000000004</c:v>
                </c:pt>
                <c:pt idx="641">
                  <c:v>98.306200000000004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69.406300000000002</c:v>
                </c:pt>
                <c:pt idx="647">
                  <c:v>159.13669999999999</c:v>
                </c:pt>
                <c:pt idx="648">
                  <c:v>88.998199999999997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64.048500000000004</c:v>
                </c:pt>
                <c:pt idx="656">
                  <c:v>63.856499999999997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71.257499999999993</c:v>
                </c:pt>
                <c:pt idx="661">
                  <c:v>75.750799999999998</c:v>
                </c:pt>
                <c:pt idx="662">
                  <c:v>153.61699999999999</c:v>
                </c:pt>
                <c:pt idx="663">
                  <c:v>76.414599999999993</c:v>
                </c:pt>
                <c:pt idx="664">
                  <c:v>88.134399999999999</c:v>
                </c:pt>
                <c:pt idx="665">
                  <c:v>94.340699999999998</c:v>
                </c:pt>
                <c:pt idx="666">
                  <c:v>104.5757</c:v>
                </c:pt>
                <c:pt idx="667">
                  <c:v>86.260900000000007</c:v>
                </c:pt>
                <c:pt idx="668">
                  <c:v>173.571</c:v>
                </c:pt>
                <c:pt idx="669">
                  <c:v>80.236900000000006</c:v>
                </c:pt>
                <c:pt idx="670">
                  <c:v>161.7397</c:v>
                </c:pt>
                <c:pt idx="671">
                  <c:v>128.6121</c:v>
                </c:pt>
                <c:pt idx="672">
                  <c:v>78.811099999999996</c:v>
                </c:pt>
                <c:pt idx="673">
                  <c:v>124.4199</c:v>
                </c:pt>
                <c:pt idx="674">
                  <c:v>91.874499999999998</c:v>
                </c:pt>
                <c:pt idx="675">
                  <c:v>116.8023</c:v>
                </c:pt>
                <c:pt idx="676">
                  <c:v>97.101699999999994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85.677999999999997</c:v>
                </c:pt>
                <c:pt idx="680">
                  <c:v>103.3694</c:v>
                </c:pt>
                <c:pt idx="681">
                  <c:v>63.368099999999998</c:v>
                </c:pt>
                <c:pt idx="682">
                  <c:v>164.2148</c:v>
                </c:pt>
                <c:pt idx="683">
                  <c:v>66.032700000000006</c:v>
                </c:pt>
                <c:pt idx="684">
                  <c:v>74.786699999999996</c:v>
                </c:pt>
                <c:pt idx="685">
                  <c:v>143.31880000000001</c:v>
                </c:pt>
                <c:pt idx="686">
                  <c:v>78.0518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84.664599999999993</c:v>
                </c:pt>
                <c:pt idx="691">
                  <c:v>101.0564</c:v>
                </c:pt>
                <c:pt idx="692">
                  <c:v>92.707800000000006</c:v>
                </c:pt>
                <c:pt idx="693">
                  <c:v>162.8201</c:v>
                </c:pt>
                <c:pt idx="694">
                  <c:v>76.981899999999996</c:v>
                </c:pt>
                <c:pt idx="695">
                  <c:v>112.595</c:v>
                </c:pt>
                <c:pt idx="696">
                  <c:v>87.872</c:v>
                </c:pt>
                <c:pt idx="697">
                  <c:v>135.61959999999999</c:v>
                </c:pt>
                <c:pt idx="698">
                  <c:v>95.136700000000005</c:v>
                </c:pt>
                <c:pt idx="699">
                  <c:v>64.903499999999994</c:v>
                </c:pt>
                <c:pt idx="700">
                  <c:v>78.739699999999999</c:v>
                </c:pt>
                <c:pt idx="701">
                  <c:v>100.7</c:v>
                </c:pt>
                <c:pt idx="702">
                  <c:v>75.702100000000002</c:v>
                </c:pt>
                <c:pt idx="703">
                  <c:v>98.638999999999996</c:v>
                </c:pt>
                <c:pt idx="704">
                  <c:v>76.1126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82.183800000000005</c:v>
                </c:pt>
                <c:pt idx="708">
                  <c:v>74.089100000000002</c:v>
                </c:pt>
                <c:pt idx="709">
                  <c:v>66.576400000000007</c:v>
                </c:pt>
                <c:pt idx="710">
                  <c:v>90.19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78.629900000000006</c:v>
                </c:pt>
                <c:pt idx="716">
                  <c:v>105.07040000000001</c:v>
                </c:pt>
                <c:pt idx="717">
                  <c:v>83.644199999999998</c:v>
                </c:pt>
                <c:pt idx="718">
                  <c:v>74.377700000000004</c:v>
                </c:pt>
                <c:pt idx="719">
                  <c:v>94.951099999999997</c:v>
                </c:pt>
                <c:pt idx="720">
                  <c:v>109.2971</c:v>
                </c:pt>
                <c:pt idx="721">
                  <c:v>97.900899999999993</c:v>
                </c:pt>
                <c:pt idx="722">
                  <c:v>116.1161</c:v>
                </c:pt>
                <c:pt idx="723">
                  <c:v>92.399299999999997</c:v>
                </c:pt>
                <c:pt idx="724">
                  <c:v>75.365899999999996</c:v>
                </c:pt>
                <c:pt idx="725">
                  <c:v>76.669600000000003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70.190700000000007</c:v>
                </c:pt>
                <c:pt idx="731">
                  <c:v>71.994</c:v>
                </c:pt>
                <c:pt idx="732">
                  <c:v>75.202100000000002</c:v>
                </c:pt>
                <c:pt idx="733">
                  <c:v>70.148899999999998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56.767899999999997</c:v>
                </c:pt>
                <c:pt idx="739">
                  <c:v>75.978399999999993</c:v>
                </c:pt>
                <c:pt idx="740">
                  <c:v>119.6972</c:v>
                </c:pt>
                <c:pt idx="741">
                  <c:v>82.893500000000003</c:v>
                </c:pt>
                <c:pt idx="742">
                  <c:v>59.430199999999999</c:v>
                </c:pt>
                <c:pt idx="743">
                  <c:v>126.0103</c:v>
                </c:pt>
                <c:pt idx="744">
                  <c:v>79.687700000000007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90.098200000000006</c:v>
                </c:pt>
                <c:pt idx="748">
                  <c:v>91.4345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80.325800000000001</c:v>
                </c:pt>
                <c:pt idx="754">
                  <c:v>63.472200000000001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85.527900000000002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88.854200000000006</c:v>
                </c:pt>
                <c:pt idx="764">
                  <c:v>93.759299999999996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77.171099999999996</c:v>
                </c:pt>
                <c:pt idx="770">
                  <c:v>149.22669999999999</c:v>
                </c:pt>
                <c:pt idx="771">
                  <c:v>81.218800000000002</c:v>
                </c:pt>
                <c:pt idx="772">
                  <c:v>207.41679999999999</c:v>
                </c:pt>
                <c:pt idx="773">
                  <c:v>87.352800000000002</c:v>
                </c:pt>
                <c:pt idx="774">
                  <c:v>89.529899999999998</c:v>
                </c:pt>
                <c:pt idx="775">
                  <c:v>85.046499999999995</c:v>
                </c:pt>
                <c:pt idx="776">
                  <c:v>101.0745</c:v>
                </c:pt>
                <c:pt idx="777">
                  <c:v>79.497799999999998</c:v>
                </c:pt>
                <c:pt idx="778">
                  <c:v>101.89100000000001</c:v>
                </c:pt>
                <c:pt idx="779">
                  <c:v>93.801100000000005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73.022999999999996</c:v>
                </c:pt>
                <c:pt idx="784">
                  <c:v>111.90730000000001</c:v>
                </c:pt>
                <c:pt idx="785">
                  <c:v>71.754099999999994</c:v>
                </c:pt>
                <c:pt idx="786">
                  <c:v>127.6467</c:v>
                </c:pt>
                <c:pt idx="787">
                  <c:v>86.228300000000004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60.1631</c:v>
                </c:pt>
                <c:pt idx="791">
                  <c:v>72.136399999999995</c:v>
                </c:pt>
                <c:pt idx="792">
                  <c:v>97.886600000000001</c:v>
                </c:pt>
                <c:pt idx="793">
                  <c:v>102.37130000000001</c:v>
                </c:pt>
                <c:pt idx="794">
                  <c:v>88.432699999999997</c:v>
                </c:pt>
                <c:pt idx="795">
                  <c:v>113.4186</c:v>
                </c:pt>
                <c:pt idx="796">
                  <c:v>85.992199999999997</c:v>
                </c:pt>
                <c:pt idx="797">
                  <c:v>99.741100000000003</c:v>
                </c:pt>
                <c:pt idx="798">
                  <c:v>88.781099999999995</c:v>
                </c:pt>
                <c:pt idx="799">
                  <c:v>90.605199999999996</c:v>
                </c:pt>
                <c:pt idx="800">
                  <c:v>138.75649999999999</c:v>
                </c:pt>
                <c:pt idx="801">
                  <c:v>87.479799999999997</c:v>
                </c:pt>
                <c:pt idx="802">
                  <c:v>80.887699999999995</c:v>
                </c:pt>
                <c:pt idx="803">
                  <c:v>137.19370000000001</c:v>
                </c:pt>
                <c:pt idx="804">
                  <c:v>59.7699</c:v>
                </c:pt>
                <c:pt idx="805">
                  <c:v>115.82380000000001</c:v>
                </c:pt>
                <c:pt idx="806">
                  <c:v>98.171000000000006</c:v>
                </c:pt>
                <c:pt idx="807">
                  <c:v>76.793099999999995</c:v>
                </c:pt>
                <c:pt idx="808">
                  <c:v>112.0441</c:v>
                </c:pt>
                <c:pt idx="809">
                  <c:v>96.614400000000003</c:v>
                </c:pt>
                <c:pt idx="810">
                  <c:v>60.217599999999997</c:v>
                </c:pt>
                <c:pt idx="811">
                  <c:v>153.8939</c:v>
                </c:pt>
                <c:pt idx="812">
                  <c:v>160.4958</c:v>
                </c:pt>
                <c:pt idx="813">
                  <c:v>86.602900000000005</c:v>
                </c:pt>
                <c:pt idx="814">
                  <c:v>62.3538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81.704700000000003</c:v>
                </c:pt>
                <c:pt idx="820">
                  <c:v>80.186599999999999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80.2804</c:v>
                </c:pt>
                <c:pt idx="825">
                  <c:v>66.698999999999998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95.379199999999997</c:v>
                </c:pt>
                <c:pt idx="831">
                  <c:v>88.963200000000001</c:v>
                </c:pt>
                <c:pt idx="832">
                  <c:v>69.972700000000003</c:v>
                </c:pt>
                <c:pt idx="833">
                  <c:v>124.39100000000001</c:v>
                </c:pt>
                <c:pt idx="834">
                  <c:v>90.379300000000001</c:v>
                </c:pt>
                <c:pt idx="835">
                  <c:v>61.206400000000002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72.7791</c:v>
                </c:pt>
                <c:pt idx="839">
                  <c:v>72.011700000000005</c:v>
                </c:pt>
                <c:pt idx="840">
                  <c:v>145.9075</c:v>
                </c:pt>
                <c:pt idx="841">
                  <c:v>77.0535</c:v>
                </c:pt>
                <c:pt idx="842">
                  <c:v>93.730400000000003</c:v>
                </c:pt>
                <c:pt idx="843">
                  <c:v>162.8552</c:v>
                </c:pt>
                <c:pt idx="844">
                  <c:v>72.593000000000004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98.843400000000003</c:v>
                </c:pt>
                <c:pt idx="852">
                  <c:v>107.6875</c:v>
                </c:pt>
                <c:pt idx="853">
                  <c:v>66.6036</c:v>
                </c:pt>
                <c:pt idx="854">
                  <c:v>195.36099999999999</c:v>
                </c:pt>
                <c:pt idx="855">
                  <c:v>82.928600000000003</c:v>
                </c:pt>
                <c:pt idx="856">
                  <c:v>79.709400000000002</c:v>
                </c:pt>
                <c:pt idx="857">
                  <c:v>91.718599999999995</c:v>
                </c:pt>
                <c:pt idx="858">
                  <c:v>83.821399999999997</c:v>
                </c:pt>
                <c:pt idx="859">
                  <c:v>123.0249</c:v>
                </c:pt>
                <c:pt idx="860">
                  <c:v>118.5188</c:v>
                </c:pt>
                <c:pt idx="861">
                  <c:v>64.0578</c:v>
                </c:pt>
                <c:pt idx="862">
                  <c:v>58.859400000000001</c:v>
                </c:pt>
                <c:pt idx="863">
                  <c:v>91.711399999999998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77.653599999999997</c:v>
                </c:pt>
                <c:pt idx="869">
                  <c:v>99.212699999999998</c:v>
                </c:pt>
                <c:pt idx="870">
                  <c:v>86.038700000000006</c:v>
                </c:pt>
                <c:pt idx="871">
                  <c:v>57.8127</c:v>
                </c:pt>
                <c:pt idx="872">
                  <c:v>61.267899999999997</c:v>
                </c:pt>
                <c:pt idx="873">
                  <c:v>100.431</c:v>
                </c:pt>
                <c:pt idx="874">
                  <c:v>61.410499999999999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95.641599999999997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70.983500000000006</c:v>
                </c:pt>
                <c:pt idx="882">
                  <c:v>49.658000000000001</c:v>
                </c:pt>
                <c:pt idx="883">
                  <c:v>91.572599999999994</c:v>
                </c:pt>
                <c:pt idx="884">
                  <c:v>75.389799999999994</c:v>
                </c:pt>
                <c:pt idx="885">
                  <c:v>101.19110000000001</c:v>
                </c:pt>
                <c:pt idx="886">
                  <c:v>61.947099999999999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69.413200000000003</c:v>
                </c:pt>
                <c:pt idx="890">
                  <c:v>65.543700000000001</c:v>
                </c:pt>
                <c:pt idx="891">
                  <c:v>118.4162</c:v>
                </c:pt>
                <c:pt idx="892">
                  <c:v>103.6491</c:v>
                </c:pt>
                <c:pt idx="893">
                  <c:v>64.267200000000003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71.069999999999993</c:v>
                </c:pt>
                <c:pt idx="898">
                  <c:v>130.84399999999999</c:v>
                </c:pt>
                <c:pt idx="899">
                  <c:v>92.224999999999994</c:v>
                </c:pt>
                <c:pt idx="900">
                  <c:v>79.061599999999999</c:v>
                </c:pt>
                <c:pt idx="901">
                  <c:v>104.1075</c:v>
                </c:pt>
                <c:pt idx="902">
                  <c:v>99.425700000000006</c:v>
                </c:pt>
                <c:pt idx="903">
                  <c:v>71.199700000000007</c:v>
                </c:pt>
                <c:pt idx="904">
                  <c:v>89.467299999999994</c:v>
                </c:pt>
                <c:pt idx="905">
                  <c:v>82.000900000000001</c:v>
                </c:pt>
                <c:pt idx="906">
                  <c:v>85.997100000000003</c:v>
                </c:pt>
                <c:pt idx="907">
                  <c:v>98.722700000000003</c:v>
                </c:pt>
                <c:pt idx="908">
                  <c:v>75.162499999999994</c:v>
                </c:pt>
                <c:pt idx="909">
                  <c:v>108.997</c:v>
                </c:pt>
                <c:pt idx="910">
                  <c:v>86.066400000000002</c:v>
                </c:pt>
                <c:pt idx="911">
                  <c:v>98.756399999999999</c:v>
                </c:pt>
                <c:pt idx="912">
                  <c:v>93.554199999999994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82.9602</c:v>
                </c:pt>
                <c:pt idx="916">
                  <c:v>72.508600000000001</c:v>
                </c:pt>
                <c:pt idx="917">
                  <c:v>132.9691</c:v>
                </c:pt>
                <c:pt idx="918">
                  <c:v>68.381799999999998</c:v>
                </c:pt>
                <c:pt idx="919">
                  <c:v>73.394099999999995</c:v>
                </c:pt>
                <c:pt idx="920">
                  <c:v>92.134799999999998</c:v>
                </c:pt>
                <c:pt idx="921">
                  <c:v>89.898499999999999</c:v>
                </c:pt>
                <c:pt idx="922">
                  <c:v>130.03649999999999</c:v>
                </c:pt>
                <c:pt idx="923">
                  <c:v>87.877700000000004</c:v>
                </c:pt>
                <c:pt idx="924">
                  <c:v>82.846800000000002</c:v>
                </c:pt>
                <c:pt idx="925">
                  <c:v>88.422399999999996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75.786699999999996</c:v>
                </c:pt>
                <c:pt idx="932">
                  <c:v>67.120400000000004</c:v>
                </c:pt>
                <c:pt idx="933">
                  <c:v>60.976799999999997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81.438599999999994</c:v>
                </c:pt>
                <c:pt idx="938">
                  <c:v>88.859399999999994</c:v>
                </c:pt>
                <c:pt idx="939">
                  <c:v>73.334299999999999</c:v>
                </c:pt>
                <c:pt idx="940">
                  <c:v>88.719499999999996</c:v>
                </c:pt>
                <c:pt idx="941">
                  <c:v>163.6482</c:v>
                </c:pt>
                <c:pt idx="942">
                  <c:v>50.221400000000003</c:v>
                </c:pt>
                <c:pt idx="943">
                  <c:v>93.685900000000004</c:v>
                </c:pt>
                <c:pt idx="944">
                  <c:v>54.074100000000001</c:v>
                </c:pt>
                <c:pt idx="945">
                  <c:v>93.277199999999993</c:v>
                </c:pt>
                <c:pt idx="946">
                  <c:v>109.0628</c:v>
                </c:pt>
                <c:pt idx="947">
                  <c:v>94.174400000000006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92.683199999999999</c:v>
                </c:pt>
                <c:pt idx="951">
                  <c:v>81.709699999999998</c:v>
                </c:pt>
                <c:pt idx="952">
                  <c:v>80.438100000000006</c:v>
                </c:pt>
                <c:pt idx="953">
                  <c:v>79.499200000000002</c:v>
                </c:pt>
                <c:pt idx="954">
                  <c:v>86.261099999999999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99.282200000000003</c:v>
                </c:pt>
                <c:pt idx="958">
                  <c:v>118.218</c:v>
                </c:pt>
                <c:pt idx="959">
                  <c:v>92.959299999999999</c:v>
                </c:pt>
                <c:pt idx="960">
                  <c:v>108.9186</c:v>
                </c:pt>
                <c:pt idx="961">
                  <c:v>60.816600000000001</c:v>
                </c:pt>
                <c:pt idx="962">
                  <c:v>86.6023</c:v>
                </c:pt>
                <c:pt idx="963">
                  <c:v>91.376199999999997</c:v>
                </c:pt>
                <c:pt idx="964">
                  <c:v>89.765600000000006</c:v>
                </c:pt>
                <c:pt idx="965">
                  <c:v>111.4491</c:v>
                </c:pt>
                <c:pt idx="966">
                  <c:v>80.743099999999998</c:v>
                </c:pt>
                <c:pt idx="967">
                  <c:v>73.159400000000005</c:v>
                </c:pt>
                <c:pt idx="968">
                  <c:v>176.7784</c:v>
                </c:pt>
                <c:pt idx="969">
                  <c:v>95.773700000000005</c:v>
                </c:pt>
                <c:pt idx="970">
                  <c:v>122.7127</c:v>
                </c:pt>
                <c:pt idx="971">
                  <c:v>71.037999999999997</c:v>
                </c:pt>
                <c:pt idx="972">
                  <c:v>108.8023</c:v>
                </c:pt>
                <c:pt idx="973">
                  <c:v>106.0287</c:v>
                </c:pt>
                <c:pt idx="974">
                  <c:v>80.885599999999997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29.907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86.724599999999995</c:v>
                </c:pt>
                <c:pt idx="984">
                  <c:v>91.236000000000004</c:v>
                </c:pt>
                <c:pt idx="985">
                  <c:v>73.479900000000001</c:v>
                </c:pt>
                <c:pt idx="986">
                  <c:v>107.2128</c:v>
                </c:pt>
                <c:pt idx="987">
                  <c:v>92.698499999999996</c:v>
                </c:pt>
                <c:pt idx="988">
                  <c:v>82.496399999999994</c:v>
                </c:pt>
                <c:pt idx="989">
                  <c:v>149.32050000000001</c:v>
                </c:pt>
                <c:pt idx="990">
                  <c:v>98.299000000000007</c:v>
                </c:pt>
                <c:pt idx="991">
                  <c:v>75.260099999999994</c:v>
                </c:pt>
                <c:pt idx="992">
                  <c:v>67.332400000000007</c:v>
                </c:pt>
                <c:pt idx="993">
                  <c:v>90.301699999999997</c:v>
                </c:pt>
                <c:pt idx="994">
                  <c:v>77.787599999999998</c:v>
                </c:pt>
                <c:pt idx="995">
                  <c:v>74.455799999999996</c:v>
                </c:pt>
                <c:pt idx="996">
                  <c:v>169.77799999999999</c:v>
                </c:pt>
                <c:pt idx="997">
                  <c:v>84.463700000000003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xVal>
          <c:yVal>
            <c:numRef>
              <c:f>'Asset or Nothing Call Option'!$S$2:$S$1001</c:f>
              <c:numCache>
                <c:formatCode>0.00</c:formatCode>
                <c:ptCount val="1000"/>
                <c:pt idx="0">
                  <c:v>4.4783999999999997</c:v>
                </c:pt>
                <c:pt idx="1">
                  <c:v>20.444900000000001</c:v>
                </c:pt>
                <c:pt idx="2">
                  <c:v>164.49979999999999</c:v>
                </c:pt>
                <c:pt idx="3">
                  <c:v>3.6135999999999999</c:v>
                </c:pt>
                <c:pt idx="4">
                  <c:v>35.970700000000001</c:v>
                </c:pt>
                <c:pt idx="5">
                  <c:v>137.19820000000001</c:v>
                </c:pt>
                <c:pt idx="6">
                  <c:v>-2.6867999999999999</c:v>
                </c:pt>
                <c:pt idx="7">
                  <c:v>2.3443000000000001</c:v>
                </c:pt>
                <c:pt idx="8">
                  <c:v>0.92800000000000005</c:v>
                </c:pt>
                <c:pt idx="9">
                  <c:v>26.718800000000002</c:v>
                </c:pt>
                <c:pt idx="10">
                  <c:v>-6.2222999999999997</c:v>
                </c:pt>
                <c:pt idx="11">
                  <c:v>65.590900000000005</c:v>
                </c:pt>
                <c:pt idx="12">
                  <c:v>144.7782</c:v>
                </c:pt>
                <c:pt idx="13">
                  <c:v>24.369800000000001</c:v>
                </c:pt>
                <c:pt idx="14">
                  <c:v>-5.2454999999999998</c:v>
                </c:pt>
                <c:pt idx="15">
                  <c:v>55.008400000000002</c:v>
                </c:pt>
                <c:pt idx="16">
                  <c:v>8.7239000000000004</c:v>
                </c:pt>
                <c:pt idx="17">
                  <c:v>56.876100000000001</c:v>
                </c:pt>
                <c:pt idx="18">
                  <c:v>38.190600000000003</c:v>
                </c:pt>
                <c:pt idx="19">
                  <c:v>94.2928</c:v>
                </c:pt>
                <c:pt idx="20">
                  <c:v>5.6604000000000001</c:v>
                </c:pt>
                <c:pt idx="21">
                  <c:v>125.2987</c:v>
                </c:pt>
                <c:pt idx="22">
                  <c:v>135.45939999999999</c:v>
                </c:pt>
                <c:pt idx="23">
                  <c:v>83.007000000000005</c:v>
                </c:pt>
                <c:pt idx="24">
                  <c:v>135.65039999999999</c:v>
                </c:pt>
                <c:pt idx="25">
                  <c:v>143.1558</c:v>
                </c:pt>
                <c:pt idx="26">
                  <c:v>2.3412000000000002</c:v>
                </c:pt>
                <c:pt idx="27">
                  <c:v>119.4246</c:v>
                </c:pt>
                <c:pt idx="28">
                  <c:v>134.16120000000001</c:v>
                </c:pt>
                <c:pt idx="29">
                  <c:v>173.43690000000001</c:v>
                </c:pt>
                <c:pt idx="30">
                  <c:v>156.36429999999999</c:v>
                </c:pt>
                <c:pt idx="31">
                  <c:v>24.265599999999999</c:v>
                </c:pt>
                <c:pt idx="32">
                  <c:v>109.8105</c:v>
                </c:pt>
                <c:pt idx="33">
                  <c:v>60.310099999999998</c:v>
                </c:pt>
                <c:pt idx="34">
                  <c:v>4.0262000000000002</c:v>
                </c:pt>
                <c:pt idx="35">
                  <c:v>9.4076000000000004</c:v>
                </c:pt>
                <c:pt idx="36">
                  <c:v>92.7864</c:v>
                </c:pt>
                <c:pt idx="37">
                  <c:v>3.4424000000000001</c:v>
                </c:pt>
                <c:pt idx="38">
                  <c:v>116.15089999999999</c:v>
                </c:pt>
                <c:pt idx="39">
                  <c:v>-4.4284999999999997</c:v>
                </c:pt>
                <c:pt idx="40">
                  <c:v>10.6775</c:v>
                </c:pt>
                <c:pt idx="41">
                  <c:v>139.5437</c:v>
                </c:pt>
                <c:pt idx="42">
                  <c:v>95.207099999999997</c:v>
                </c:pt>
                <c:pt idx="43">
                  <c:v>0.52310000000000001</c:v>
                </c:pt>
                <c:pt idx="44">
                  <c:v>131.2998</c:v>
                </c:pt>
                <c:pt idx="45">
                  <c:v>99.0792</c:v>
                </c:pt>
                <c:pt idx="46">
                  <c:v>91.388199999999998</c:v>
                </c:pt>
                <c:pt idx="47">
                  <c:v>24.7193</c:v>
                </c:pt>
                <c:pt idx="48">
                  <c:v>105.83369999999999</c:v>
                </c:pt>
                <c:pt idx="49">
                  <c:v>115.0577</c:v>
                </c:pt>
                <c:pt idx="50">
                  <c:v>21.813199999999998</c:v>
                </c:pt>
                <c:pt idx="51">
                  <c:v>5.9328000000000003</c:v>
                </c:pt>
                <c:pt idx="52">
                  <c:v>-15.154999999999999</c:v>
                </c:pt>
                <c:pt idx="53">
                  <c:v>9.9268000000000001</c:v>
                </c:pt>
                <c:pt idx="54">
                  <c:v>93.144999999999996</c:v>
                </c:pt>
                <c:pt idx="55">
                  <c:v>-0.19409999999999999</c:v>
                </c:pt>
                <c:pt idx="56">
                  <c:v>115.7231</c:v>
                </c:pt>
                <c:pt idx="57">
                  <c:v>7.1805000000000003</c:v>
                </c:pt>
                <c:pt idx="58">
                  <c:v>7.9196</c:v>
                </c:pt>
                <c:pt idx="59">
                  <c:v>68.179000000000002</c:v>
                </c:pt>
                <c:pt idx="60">
                  <c:v>101.306</c:v>
                </c:pt>
                <c:pt idx="61">
                  <c:v>14.9908</c:v>
                </c:pt>
                <c:pt idx="62">
                  <c:v>78.566400000000002</c:v>
                </c:pt>
                <c:pt idx="63">
                  <c:v>150.66909999999999</c:v>
                </c:pt>
                <c:pt idx="64">
                  <c:v>-4.2949999999999999</c:v>
                </c:pt>
                <c:pt idx="65">
                  <c:v>22.121500000000001</c:v>
                </c:pt>
                <c:pt idx="66">
                  <c:v>67.165999999999997</c:v>
                </c:pt>
                <c:pt idx="67">
                  <c:v>134.50550000000001</c:v>
                </c:pt>
                <c:pt idx="68">
                  <c:v>-0.76139999999999997</c:v>
                </c:pt>
                <c:pt idx="69">
                  <c:v>141.21469999999999</c:v>
                </c:pt>
                <c:pt idx="70">
                  <c:v>5.6440000000000001</c:v>
                </c:pt>
                <c:pt idx="71">
                  <c:v>6.6879999999999997</c:v>
                </c:pt>
                <c:pt idx="72">
                  <c:v>63.792700000000004</c:v>
                </c:pt>
                <c:pt idx="73">
                  <c:v>33.2117</c:v>
                </c:pt>
                <c:pt idx="74">
                  <c:v>-4.3251999999999997</c:v>
                </c:pt>
                <c:pt idx="75">
                  <c:v>190.42619999999999</c:v>
                </c:pt>
                <c:pt idx="76">
                  <c:v>33.7333</c:v>
                </c:pt>
                <c:pt idx="77">
                  <c:v>158.97800000000001</c:v>
                </c:pt>
                <c:pt idx="78">
                  <c:v>8.1217000000000006</c:v>
                </c:pt>
                <c:pt idx="79">
                  <c:v>84.654200000000003</c:v>
                </c:pt>
                <c:pt idx="80">
                  <c:v>8.7207000000000008</c:v>
                </c:pt>
                <c:pt idx="81">
                  <c:v>144.06780000000001</c:v>
                </c:pt>
                <c:pt idx="82">
                  <c:v>127.3947</c:v>
                </c:pt>
                <c:pt idx="83">
                  <c:v>141.74250000000001</c:v>
                </c:pt>
                <c:pt idx="84">
                  <c:v>112.6223</c:v>
                </c:pt>
                <c:pt idx="85">
                  <c:v>109.6551</c:v>
                </c:pt>
                <c:pt idx="86">
                  <c:v>61.342399999999998</c:v>
                </c:pt>
                <c:pt idx="87">
                  <c:v>161.34460000000001</c:v>
                </c:pt>
                <c:pt idx="88">
                  <c:v>163.01150000000001</c:v>
                </c:pt>
                <c:pt idx="89">
                  <c:v>175.86500000000001</c:v>
                </c:pt>
                <c:pt idx="90">
                  <c:v>24.796600000000002</c:v>
                </c:pt>
                <c:pt idx="91">
                  <c:v>129.88890000000001</c:v>
                </c:pt>
                <c:pt idx="92">
                  <c:v>6.1546000000000003</c:v>
                </c:pt>
                <c:pt idx="93">
                  <c:v>161.7364</c:v>
                </c:pt>
                <c:pt idx="94">
                  <c:v>111.7149</c:v>
                </c:pt>
                <c:pt idx="95">
                  <c:v>14.4659</c:v>
                </c:pt>
                <c:pt idx="96">
                  <c:v>5.0324999999999998</c:v>
                </c:pt>
                <c:pt idx="97">
                  <c:v>78.9041</c:v>
                </c:pt>
                <c:pt idx="98">
                  <c:v>150.97730000000001</c:v>
                </c:pt>
                <c:pt idx="99">
                  <c:v>51.171100000000003</c:v>
                </c:pt>
                <c:pt idx="100">
                  <c:v>-8.7378</c:v>
                </c:pt>
                <c:pt idx="101">
                  <c:v>131.16749999999999</c:v>
                </c:pt>
                <c:pt idx="102">
                  <c:v>8.0394000000000005</c:v>
                </c:pt>
                <c:pt idx="103">
                  <c:v>58.169499999999999</c:v>
                </c:pt>
                <c:pt idx="104">
                  <c:v>-2.3075000000000001</c:v>
                </c:pt>
                <c:pt idx="105">
                  <c:v>90.1327</c:v>
                </c:pt>
                <c:pt idx="106">
                  <c:v>1.1846000000000001</c:v>
                </c:pt>
                <c:pt idx="107">
                  <c:v>10.4788</c:v>
                </c:pt>
                <c:pt idx="108">
                  <c:v>-6.4443999999999999</c:v>
                </c:pt>
                <c:pt idx="109">
                  <c:v>-2.2578999999999998</c:v>
                </c:pt>
                <c:pt idx="110">
                  <c:v>-1.2307999999999999</c:v>
                </c:pt>
                <c:pt idx="111">
                  <c:v>68.095100000000002</c:v>
                </c:pt>
                <c:pt idx="112">
                  <c:v>47.936399999999999</c:v>
                </c:pt>
                <c:pt idx="113">
                  <c:v>63.515300000000003</c:v>
                </c:pt>
                <c:pt idx="114">
                  <c:v>13.704700000000001</c:v>
                </c:pt>
                <c:pt idx="115">
                  <c:v>91.938500000000005</c:v>
                </c:pt>
                <c:pt idx="116">
                  <c:v>148.0821</c:v>
                </c:pt>
                <c:pt idx="117">
                  <c:v>0.80230000000000001</c:v>
                </c:pt>
                <c:pt idx="118">
                  <c:v>-3.2324000000000002</c:v>
                </c:pt>
                <c:pt idx="119">
                  <c:v>-4.7622</c:v>
                </c:pt>
                <c:pt idx="120">
                  <c:v>132.37350000000001</c:v>
                </c:pt>
                <c:pt idx="121">
                  <c:v>107.79510000000001</c:v>
                </c:pt>
                <c:pt idx="122">
                  <c:v>-24.092099999999999</c:v>
                </c:pt>
                <c:pt idx="123">
                  <c:v>163.15029999999999</c:v>
                </c:pt>
                <c:pt idx="124">
                  <c:v>116.5668</c:v>
                </c:pt>
                <c:pt idx="125">
                  <c:v>113.01600000000001</c:v>
                </c:pt>
                <c:pt idx="126">
                  <c:v>-8.1021999999999998</c:v>
                </c:pt>
                <c:pt idx="127">
                  <c:v>-11.203900000000001</c:v>
                </c:pt>
                <c:pt idx="128">
                  <c:v>-3.0849000000000002</c:v>
                </c:pt>
                <c:pt idx="129">
                  <c:v>57.592399999999998</c:v>
                </c:pt>
                <c:pt idx="130">
                  <c:v>146.572</c:v>
                </c:pt>
                <c:pt idx="131">
                  <c:v>73.281400000000005</c:v>
                </c:pt>
                <c:pt idx="132">
                  <c:v>128.31909999999999</c:v>
                </c:pt>
                <c:pt idx="133">
                  <c:v>85.234300000000005</c:v>
                </c:pt>
                <c:pt idx="134">
                  <c:v>6.51</c:v>
                </c:pt>
                <c:pt idx="135">
                  <c:v>164.11070000000001</c:v>
                </c:pt>
                <c:pt idx="136">
                  <c:v>218.91990000000001</c:v>
                </c:pt>
                <c:pt idx="137">
                  <c:v>120.9239</c:v>
                </c:pt>
                <c:pt idx="138">
                  <c:v>18.576499999999999</c:v>
                </c:pt>
                <c:pt idx="139">
                  <c:v>6.0021000000000004</c:v>
                </c:pt>
                <c:pt idx="140">
                  <c:v>-3.7913000000000001</c:v>
                </c:pt>
                <c:pt idx="141">
                  <c:v>118.11879999999999</c:v>
                </c:pt>
                <c:pt idx="142">
                  <c:v>0.68879999999999997</c:v>
                </c:pt>
                <c:pt idx="143">
                  <c:v>210.4419</c:v>
                </c:pt>
                <c:pt idx="144">
                  <c:v>114.29389999999999</c:v>
                </c:pt>
                <c:pt idx="145">
                  <c:v>27.044499999999999</c:v>
                </c:pt>
                <c:pt idx="146">
                  <c:v>123.545</c:v>
                </c:pt>
                <c:pt idx="147">
                  <c:v>143.9281</c:v>
                </c:pt>
                <c:pt idx="148">
                  <c:v>130.8655</c:v>
                </c:pt>
                <c:pt idx="149">
                  <c:v>122.8719</c:v>
                </c:pt>
                <c:pt idx="150">
                  <c:v>149.286</c:v>
                </c:pt>
                <c:pt idx="151">
                  <c:v>116.5462</c:v>
                </c:pt>
                <c:pt idx="152">
                  <c:v>35.5944</c:v>
                </c:pt>
                <c:pt idx="153">
                  <c:v>-0.215</c:v>
                </c:pt>
                <c:pt idx="154">
                  <c:v>83.449799999999996</c:v>
                </c:pt>
                <c:pt idx="155">
                  <c:v>197.80250000000001</c:v>
                </c:pt>
                <c:pt idx="156">
                  <c:v>114.718</c:v>
                </c:pt>
                <c:pt idx="157">
                  <c:v>-1.41E-2</c:v>
                </c:pt>
                <c:pt idx="158">
                  <c:v>-1.7307999999999999</c:v>
                </c:pt>
                <c:pt idx="159">
                  <c:v>37.6815</c:v>
                </c:pt>
                <c:pt idx="160">
                  <c:v>44.684899999999999</c:v>
                </c:pt>
                <c:pt idx="161">
                  <c:v>34.690399999999997</c:v>
                </c:pt>
                <c:pt idx="162">
                  <c:v>147.8544</c:v>
                </c:pt>
                <c:pt idx="163">
                  <c:v>118.5205</c:v>
                </c:pt>
                <c:pt idx="164">
                  <c:v>169.17660000000001</c:v>
                </c:pt>
                <c:pt idx="165">
                  <c:v>137.60749999999999</c:v>
                </c:pt>
                <c:pt idx="166">
                  <c:v>7.0890000000000004</c:v>
                </c:pt>
                <c:pt idx="167">
                  <c:v>115.8982</c:v>
                </c:pt>
                <c:pt idx="168">
                  <c:v>46.526200000000003</c:v>
                </c:pt>
                <c:pt idx="169">
                  <c:v>25.261900000000001</c:v>
                </c:pt>
                <c:pt idx="170">
                  <c:v>125.2988</c:v>
                </c:pt>
                <c:pt idx="171">
                  <c:v>16.6615</c:v>
                </c:pt>
                <c:pt idx="172">
                  <c:v>5.9028999999999998</c:v>
                </c:pt>
                <c:pt idx="173">
                  <c:v>139.6079</c:v>
                </c:pt>
                <c:pt idx="174">
                  <c:v>5.5236999999999998</c:v>
                </c:pt>
                <c:pt idx="175">
                  <c:v>44.172499999999999</c:v>
                </c:pt>
                <c:pt idx="176">
                  <c:v>132.25290000000001</c:v>
                </c:pt>
                <c:pt idx="177">
                  <c:v>-18.1083</c:v>
                </c:pt>
                <c:pt idx="178">
                  <c:v>37.180999999999997</c:v>
                </c:pt>
                <c:pt idx="179">
                  <c:v>52.7896</c:v>
                </c:pt>
                <c:pt idx="180">
                  <c:v>200.10679999999999</c:v>
                </c:pt>
                <c:pt idx="181">
                  <c:v>132.98480000000001</c:v>
                </c:pt>
                <c:pt idx="182">
                  <c:v>147.43129999999999</c:v>
                </c:pt>
                <c:pt idx="183">
                  <c:v>46.808</c:v>
                </c:pt>
                <c:pt idx="184">
                  <c:v>6.3807</c:v>
                </c:pt>
                <c:pt idx="185">
                  <c:v>1.0102</c:v>
                </c:pt>
                <c:pt idx="186">
                  <c:v>104.6728</c:v>
                </c:pt>
                <c:pt idx="187">
                  <c:v>148.364</c:v>
                </c:pt>
                <c:pt idx="188">
                  <c:v>29.006</c:v>
                </c:pt>
                <c:pt idx="189">
                  <c:v>5.1717000000000004</c:v>
                </c:pt>
                <c:pt idx="190">
                  <c:v>133.13650000000001</c:v>
                </c:pt>
                <c:pt idx="191">
                  <c:v>8.3000000000000001E-3</c:v>
                </c:pt>
                <c:pt idx="192">
                  <c:v>77.7727</c:v>
                </c:pt>
                <c:pt idx="193">
                  <c:v>64.761899999999997</c:v>
                </c:pt>
                <c:pt idx="194">
                  <c:v>53.934699999999999</c:v>
                </c:pt>
                <c:pt idx="195">
                  <c:v>116.41630000000001</c:v>
                </c:pt>
                <c:pt idx="196">
                  <c:v>2.4165999999999999</c:v>
                </c:pt>
                <c:pt idx="197">
                  <c:v>-0.19719999999999999</c:v>
                </c:pt>
                <c:pt idx="198">
                  <c:v>18.318899999999999</c:v>
                </c:pt>
                <c:pt idx="199">
                  <c:v>161.86490000000001</c:v>
                </c:pt>
                <c:pt idx="200">
                  <c:v>3.5226000000000002</c:v>
                </c:pt>
                <c:pt idx="201">
                  <c:v>-2.6922999999999999</c:v>
                </c:pt>
                <c:pt idx="202">
                  <c:v>226.82929999999999</c:v>
                </c:pt>
                <c:pt idx="203">
                  <c:v>18.207599999999999</c:v>
                </c:pt>
                <c:pt idx="204">
                  <c:v>16.681699999999999</c:v>
                </c:pt>
                <c:pt idx="205">
                  <c:v>82.142600000000002</c:v>
                </c:pt>
                <c:pt idx="206">
                  <c:v>101.4798</c:v>
                </c:pt>
                <c:pt idx="207">
                  <c:v>44.401800000000001</c:v>
                </c:pt>
                <c:pt idx="208">
                  <c:v>-8.8556000000000008</c:v>
                </c:pt>
                <c:pt idx="209">
                  <c:v>142.04259999999999</c:v>
                </c:pt>
                <c:pt idx="210">
                  <c:v>110.3115</c:v>
                </c:pt>
                <c:pt idx="211">
                  <c:v>62.761600000000001</c:v>
                </c:pt>
                <c:pt idx="212">
                  <c:v>-2.8628</c:v>
                </c:pt>
                <c:pt idx="213">
                  <c:v>145.53639999999999</c:v>
                </c:pt>
                <c:pt idx="214">
                  <c:v>-3.6400999999999999</c:v>
                </c:pt>
                <c:pt idx="215">
                  <c:v>-4.2089999999999996</c:v>
                </c:pt>
                <c:pt idx="216">
                  <c:v>4.0218999999999996</c:v>
                </c:pt>
                <c:pt idx="217">
                  <c:v>134.26509999999999</c:v>
                </c:pt>
                <c:pt idx="218">
                  <c:v>158.47030000000001</c:v>
                </c:pt>
                <c:pt idx="219">
                  <c:v>-12.3855</c:v>
                </c:pt>
                <c:pt idx="220">
                  <c:v>7.1993</c:v>
                </c:pt>
                <c:pt idx="221">
                  <c:v>-3.7378</c:v>
                </c:pt>
                <c:pt idx="222">
                  <c:v>60.476100000000002</c:v>
                </c:pt>
                <c:pt idx="223">
                  <c:v>3.1800000000000002E-2</c:v>
                </c:pt>
                <c:pt idx="224">
                  <c:v>93.464299999999994</c:v>
                </c:pt>
                <c:pt idx="225">
                  <c:v>-8.4983000000000004</c:v>
                </c:pt>
                <c:pt idx="226">
                  <c:v>164.53280000000001</c:v>
                </c:pt>
                <c:pt idx="227">
                  <c:v>141.24940000000001</c:v>
                </c:pt>
                <c:pt idx="228">
                  <c:v>112.0059</c:v>
                </c:pt>
                <c:pt idx="229">
                  <c:v>-9.4259000000000004</c:v>
                </c:pt>
                <c:pt idx="230">
                  <c:v>185.58099999999999</c:v>
                </c:pt>
                <c:pt idx="231">
                  <c:v>201.65620000000001</c:v>
                </c:pt>
                <c:pt idx="232">
                  <c:v>0.94550000000000001</c:v>
                </c:pt>
                <c:pt idx="233">
                  <c:v>-4.3811</c:v>
                </c:pt>
                <c:pt idx="234">
                  <c:v>125.8218</c:v>
                </c:pt>
                <c:pt idx="235">
                  <c:v>88.391300000000001</c:v>
                </c:pt>
                <c:pt idx="236">
                  <c:v>24.621500000000001</c:v>
                </c:pt>
                <c:pt idx="237">
                  <c:v>59.475299999999997</c:v>
                </c:pt>
                <c:pt idx="238">
                  <c:v>63.666600000000003</c:v>
                </c:pt>
                <c:pt idx="239">
                  <c:v>142.56729999999999</c:v>
                </c:pt>
                <c:pt idx="240">
                  <c:v>125.8158</c:v>
                </c:pt>
                <c:pt idx="241">
                  <c:v>96.524600000000007</c:v>
                </c:pt>
                <c:pt idx="242">
                  <c:v>94.832099999999997</c:v>
                </c:pt>
                <c:pt idx="243">
                  <c:v>5.4321000000000002</c:v>
                </c:pt>
                <c:pt idx="244">
                  <c:v>127.8049</c:v>
                </c:pt>
                <c:pt idx="245">
                  <c:v>171.34469999999999</c:v>
                </c:pt>
                <c:pt idx="246">
                  <c:v>105.03019999999999</c:v>
                </c:pt>
                <c:pt idx="247">
                  <c:v>3.4489000000000001</c:v>
                </c:pt>
                <c:pt idx="248">
                  <c:v>103.39190000000001</c:v>
                </c:pt>
                <c:pt idx="249">
                  <c:v>46.986499999999999</c:v>
                </c:pt>
                <c:pt idx="250">
                  <c:v>59.243099999999998</c:v>
                </c:pt>
                <c:pt idx="251">
                  <c:v>59.2179</c:v>
                </c:pt>
                <c:pt idx="252">
                  <c:v>-8.3329000000000004</c:v>
                </c:pt>
                <c:pt idx="253">
                  <c:v>213.43379999999999</c:v>
                </c:pt>
                <c:pt idx="254">
                  <c:v>128.62129999999999</c:v>
                </c:pt>
                <c:pt idx="255">
                  <c:v>15.073700000000001</c:v>
                </c:pt>
                <c:pt idx="256">
                  <c:v>91.650599999999997</c:v>
                </c:pt>
                <c:pt idx="257">
                  <c:v>11.2737</c:v>
                </c:pt>
                <c:pt idx="258">
                  <c:v>49.846299999999999</c:v>
                </c:pt>
                <c:pt idx="259">
                  <c:v>117.5501</c:v>
                </c:pt>
                <c:pt idx="260">
                  <c:v>109.7949</c:v>
                </c:pt>
                <c:pt idx="261">
                  <c:v>11.7591</c:v>
                </c:pt>
                <c:pt idx="262">
                  <c:v>-2.5244</c:v>
                </c:pt>
                <c:pt idx="263">
                  <c:v>27.741199999999999</c:v>
                </c:pt>
                <c:pt idx="264">
                  <c:v>12.2645</c:v>
                </c:pt>
                <c:pt idx="265">
                  <c:v>107.08029999999999</c:v>
                </c:pt>
                <c:pt idx="266">
                  <c:v>89.4589</c:v>
                </c:pt>
                <c:pt idx="267">
                  <c:v>-3.3292999999999999</c:v>
                </c:pt>
                <c:pt idx="268">
                  <c:v>87.977599999999995</c:v>
                </c:pt>
                <c:pt idx="269">
                  <c:v>24.237300000000001</c:v>
                </c:pt>
                <c:pt idx="270">
                  <c:v>182.9734</c:v>
                </c:pt>
                <c:pt idx="271">
                  <c:v>143.75909999999999</c:v>
                </c:pt>
                <c:pt idx="272">
                  <c:v>-2.0247999999999999</c:v>
                </c:pt>
                <c:pt idx="273">
                  <c:v>16.213999999999999</c:v>
                </c:pt>
                <c:pt idx="274">
                  <c:v>154.11850000000001</c:v>
                </c:pt>
                <c:pt idx="275">
                  <c:v>99.899900000000002</c:v>
                </c:pt>
                <c:pt idx="276">
                  <c:v>10.9307</c:v>
                </c:pt>
                <c:pt idx="277">
                  <c:v>-1.7891999999999999</c:v>
                </c:pt>
                <c:pt idx="278">
                  <c:v>133.4769</c:v>
                </c:pt>
                <c:pt idx="279">
                  <c:v>1.2077</c:v>
                </c:pt>
                <c:pt idx="280">
                  <c:v>9.798</c:v>
                </c:pt>
                <c:pt idx="281">
                  <c:v>-4.7530999999999999</c:v>
                </c:pt>
                <c:pt idx="282">
                  <c:v>-5.4265999999999996</c:v>
                </c:pt>
                <c:pt idx="283">
                  <c:v>104.6172</c:v>
                </c:pt>
                <c:pt idx="284">
                  <c:v>1.1044</c:v>
                </c:pt>
                <c:pt idx="285">
                  <c:v>11.5595</c:v>
                </c:pt>
                <c:pt idx="286">
                  <c:v>99.8095</c:v>
                </c:pt>
                <c:pt idx="287">
                  <c:v>8.8874999999999993</c:v>
                </c:pt>
                <c:pt idx="288">
                  <c:v>0.14990000000000001</c:v>
                </c:pt>
                <c:pt idx="289">
                  <c:v>90.083500000000001</c:v>
                </c:pt>
                <c:pt idx="290">
                  <c:v>-0.37119999999999997</c:v>
                </c:pt>
                <c:pt idx="291">
                  <c:v>151.74610000000001</c:v>
                </c:pt>
                <c:pt idx="292">
                  <c:v>12.887499999999999</c:v>
                </c:pt>
                <c:pt idx="293">
                  <c:v>2.1419999999999999</c:v>
                </c:pt>
                <c:pt idx="294">
                  <c:v>-7.6520000000000001</c:v>
                </c:pt>
                <c:pt idx="295">
                  <c:v>-11.4527</c:v>
                </c:pt>
                <c:pt idx="296">
                  <c:v>118.7402</c:v>
                </c:pt>
                <c:pt idx="297">
                  <c:v>4.9654999999999996</c:v>
                </c:pt>
                <c:pt idx="298">
                  <c:v>6.6344000000000003</c:v>
                </c:pt>
                <c:pt idx="299">
                  <c:v>138.1977</c:v>
                </c:pt>
                <c:pt idx="300">
                  <c:v>168.24809999999999</c:v>
                </c:pt>
                <c:pt idx="301">
                  <c:v>130.2501</c:v>
                </c:pt>
                <c:pt idx="302">
                  <c:v>15.3428</c:v>
                </c:pt>
                <c:pt idx="303">
                  <c:v>96.606899999999996</c:v>
                </c:pt>
                <c:pt idx="304">
                  <c:v>60.5914</c:v>
                </c:pt>
                <c:pt idx="305">
                  <c:v>3.8368000000000002</c:v>
                </c:pt>
                <c:pt idx="306">
                  <c:v>115.1635</c:v>
                </c:pt>
                <c:pt idx="307">
                  <c:v>58.959099999999999</c:v>
                </c:pt>
                <c:pt idx="308">
                  <c:v>179.76169999999999</c:v>
                </c:pt>
                <c:pt idx="309">
                  <c:v>54.248800000000003</c:v>
                </c:pt>
                <c:pt idx="310">
                  <c:v>7.8215000000000003</c:v>
                </c:pt>
                <c:pt idx="311">
                  <c:v>142.69210000000001</c:v>
                </c:pt>
                <c:pt idx="312">
                  <c:v>13.054600000000001</c:v>
                </c:pt>
                <c:pt idx="313">
                  <c:v>124.23350000000001</c:v>
                </c:pt>
                <c:pt idx="314">
                  <c:v>123.9914</c:v>
                </c:pt>
                <c:pt idx="315">
                  <c:v>-1.2894000000000001</c:v>
                </c:pt>
                <c:pt idx="316">
                  <c:v>5.9156000000000004</c:v>
                </c:pt>
                <c:pt idx="317">
                  <c:v>93.538899999999998</c:v>
                </c:pt>
                <c:pt idx="318">
                  <c:v>115.6448</c:v>
                </c:pt>
                <c:pt idx="319">
                  <c:v>120.55549999999999</c:v>
                </c:pt>
                <c:pt idx="320">
                  <c:v>258.42680000000001</c:v>
                </c:pt>
                <c:pt idx="321">
                  <c:v>156.8449</c:v>
                </c:pt>
                <c:pt idx="322">
                  <c:v>1.6364000000000001</c:v>
                </c:pt>
                <c:pt idx="323">
                  <c:v>115.60169999999999</c:v>
                </c:pt>
                <c:pt idx="324">
                  <c:v>-1.621</c:v>
                </c:pt>
                <c:pt idx="325">
                  <c:v>52.434399999999997</c:v>
                </c:pt>
                <c:pt idx="326">
                  <c:v>42.522799999999997</c:v>
                </c:pt>
                <c:pt idx="327">
                  <c:v>53.021900000000002</c:v>
                </c:pt>
                <c:pt idx="328">
                  <c:v>25.965800000000002</c:v>
                </c:pt>
                <c:pt idx="329">
                  <c:v>-4.0077999999999996</c:v>
                </c:pt>
                <c:pt idx="330">
                  <c:v>-1.09E-2</c:v>
                </c:pt>
                <c:pt idx="331">
                  <c:v>118.3663</c:v>
                </c:pt>
                <c:pt idx="332">
                  <c:v>2.2101999999999999</c:v>
                </c:pt>
                <c:pt idx="333">
                  <c:v>-2.7597999999999998</c:v>
                </c:pt>
                <c:pt idx="334">
                  <c:v>115.3977</c:v>
                </c:pt>
                <c:pt idx="335">
                  <c:v>59.188000000000002</c:v>
                </c:pt>
                <c:pt idx="336">
                  <c:v>-1.1415</c:v>
                </c:pt>
                <c:pt idx="337">
                  <c:v>38.746000000000002</c:v>
                </c:pt>
                <c:pt idx="338">
                  <c:v>-0.88549999999999995</c:v>
                </c:pt>
                <c:pt idx="339">
                  <c:v>-10.3315</c:v>
                </c:pt>
                <c:pt idx="340">
                  <c:v>148.85429999999999</c:v>
                </c:pt>
                <c:pt idx="341">
                  <c:v>18.467700000000001</c:v>
                </c:pt>
                <c:pt idx="342">
                  <c:v>49.924399999999999</c:v>
                </c:pt>
                <c:pt idx="343">
                  <c:v>11.378500000000001</c:v>
                </c:pt>
                <c:pt idx="344">
                  <c:v>23.6035</c:v>
                </c:pt>
                <c:pt idx="345">
                  <c:v>98.000900000000001</c:v>
                </c:pt>
                <c:pt idx="346">
                  <c:v>135.35919999999999</c:v>
                </c:pt>
                <c:pt idx="347">
                  <c:v>2.5072999999999999</c:v>
                </c:pt>
                <c:pt idx="348">
                  <c:v>16.358699999999999</c:v>
                </c:pt>
                <c:pt idx="349">
                  <c:v>34.736499999999999</c:v>
                </c:pt>
                <c:pt idx="350">
                  <c:v>4.7313000000000001</c:v>
                </c:pt>
                <c:pt idx="351">
                  <c:v>-25.335699999999999</c:v>
                </c:pt>
                <c:pt idx="352">
                  <c:v>143.7953</c:v>
                </c:pt>
                <c:pt idx="353">
                  <c:v>9.2484000000000002</c:v>
                </c:pt>
                <c:pt idx="354">
                  <c:v>3.8123</c:v>
                </c:pt>
                <c:pt idx="355">
                  <c:v>30.286999999999999</c:v>
                </c:pt>
                <c:pt idx="356">
                  <c:v>108.569</c:v>
                </c:pt>
                <c:pt idx="357">
                  <c:v>-11.0123</c:v>
                </c:pt>
                <c:pt idx="358">
                  <c:v>42.367600000000003</c:v>
                </c:pt>
                <c:pt idx="359">
                  <c:v>83.103700000000003</c:v>
                </c:pt>
                <c:pt idx="360">
                  <c:v>-0.82189999999999996</c:v>
                </c:pt>
                <c:pt idx="361">
                  <c:v>31.3186</c:v>
                </c:pt>
                <c:pt idx="362">
                  <c:v>103.4427</c:v>
                </c:pt>
                <c:pt idx="363">
                  <c:v>2.762</c:v>
                </c:pt>
                <c:pt idx="364">
                  <c:v>151.44030000000001</c:v>
                </c:pt>
                <c:pt idx="365">
                  <c:v>10.1198</c:v>
                </c:pt>
                <c:pt idx="366">
                  <c:v>-2.5196999999999998</c:v>
                </c:pt>
                <c:pt idx="367">
                  <c:v>89.594200000000001</c:v>
                </c:pt>
                <c:pt idx="368">
                  <c:v>117.8494</c:v>
                </c:pt>
                <c:pt idx="369">
                  <c:v>-1.498</c:v>
                </c:pt>
                <c:pt idx="370">
                  <c:v>159.0968</c:v>
                </c:pt>
                <c:pt idx="371">
                  <c:v>23.074200000000001</c:v>
                </c:pt>
                <c:pt idx="372">
                  <c:v>62.587400000000002</c:v>
                </c:pt>
                <c:pt idx="373">
                  <c:v>113.9867</c:v>
                </c:pt>
                <c:pt idx="374">
                  <c:v>2.8818000000000001</c:v>
                </c:pt>
                <c:pt idx="375">
                  <c:v>58.016399999999997</c:v>
                </c:pt>
                <c:pt idx="376">
                  <c:v>85.114199999999997</c:v>
                </c:pt>
                <c:pt idx="377">
                  <c:v>-4.2799999999999998E-2</c:v>
                </c:pt>
                <c:pt idx="378">
                  <c:v>42.887500000000003</c:v>
                </c:pt>
                <c:pt idx="379">
                  <c:v>105.5677</c:v>
                </c:pt>
                <c:pt idx="380">
                  <c:v>-0.65469999999999995</c:v>
                </c:pt>
                <c:pt idx="381">
                  <c:v>123.1005</c:v>
                </c:pt>
                <c:pt idx="382">
                  <c:v>10.260300000000001</c:v>
                </c:pt>
                <c:pt idx="383">
                  <c:v>32.2515</c:v>
                </c:pt>
                <c:pt idx="384">
                  <c:v>90.758899999999997</c:v>
                </c:pt>
                <c:pt idx="385">
                  <c:v>-12.748100000000001</c:v>
                </c:pt>
                <c:pt idx="386">
                  <c:v>20.672999999999998</c:v>
                </c:pt>
                <c:pt idx="387">
                  <c:v>104.8105</c:v>
                </c:pt>
                <c:pt idx="388">
                  <c:v>154.57380000000001</c:v>
                </c:pt>
                <c:pt idx="389">
                  <c:v>55.320099999999996</c:v>
                </c:pt>
                <c:pt idx="390">
                  <c:v>-0.85270000000000001</c:v>
                </c:pt>
                <c:pt idx="391">
                  <c:v>147.37280000000001</c:v>
                </c:pt>
                <c:pt idx="392">
                  <c:v>108.4126</c:v>
                </c:pt>
                <c:pt idx="393">
                  <c:v>1.1359999999999999</c:v>
                </c:pt>
                <c:pt idx="394">
                  <c:v>155.58840000000001</c:v>
                </c:pt>
                <c:pt idx="395">
                  <c:v>5.0327999999999999</c:v>
                </c:pt>
                <c:pt idx="396">
                  <c:v>112.1484</c:v>
                </c:pt>
                <c:pt idx="397">
                  <c:v>131.7612</c:v>
                </c:pt>
                <c:pt idx="398">
                  <c:v>17.0471</c:v>
                </c:pt>
                <c:pt idx="399">
                  <c:v>14.8706</c:v>
                </c:pt>
                <c:pt idx="400">
                  <c:v>40.395899999999997</c:v>
                </c:pt>
                <c:pt idx="401">
                  <c:v>167.6276</c:v>
                </c:pt>
                <c:pt idx="402">
                  <c:v>84.531599999999997</c:v>
                </c:pt>
                <c:pt idx="403">
                  <c:v>170.48939999999999</c:v>
                </c:pt>
                <c:pt idx="404">
                  <c:v>-2.0226000000000002</c:v>
                </c:pt>
                <c:pt idx="405">
                  <c:v>15.4689</c:v>
                </c:pt>
                <c:pt idx="406">
                  <c:v>132.20519999999999</c:v>
                </c:pt>
                <c:pt idx="407">
                  <c:v>11.878299999999999</c:v>
                </c:pt>
                <c:pt idx="408">
                  <c:v>44.180700000000002</c:v>
                </c:pt>
                <c:pt idx="409">
                  <c:v>-4.6303999999999998</c:v>
                </c:pt>
                <c:pt idx="410">
                  <c:v>2.3641999999999999</c:v>
                </c:pt>
                <c:pt idx="411">
                  <c:v>155.76660000000001</c:v>
                </c:pt>
                <c:pt idx="412">
                  <c:v>146.71019999999999</c:v>
                </c:pt>
                <c:pt idx="413">
                  <c:v>137.2636</c:v>
                </c:pt>
                <c:pt idx="414">
                  <c:v>73.651600000000002</c:v>
                </c:pt>
                <c:pt idx="415">
                  <c:v>129.6566</c:v>
                </c:pt>
                <c:pt idx="416">
                  <c:v>61.764899999999997</c:v>
                </c:pt>
                <c:pt idx="417">
                  <c:v>1.3813</c:v>
                </c:pt>
                <c:pt idx="418">
                  <c:v>14.3125</c:v>
                </c:pt>
                <c:pt idx="419">
                  <c:v>88.570599999999999</c:v>
                </c:pt>
                <c:pt idx="420">
                  <c:v>127.7647</c:v>
                </c:pt>
                <c:pt idx="421">
                  <c:v>181.42760000000001</c:v>
                </c:pt>
                <c:pt idx="422">
                  <c:v>149.09520000000001</c:v>
                </c:pt>
                <c:pt idx="423">
                  <c:v>132.74090000000001</c:v>
                </c:pt>
                <c:pt idx="424">
                  <c:v>173.04480000000001</c:v>
                </c:pt>
                <c:pt idx="425">
                  <c:v>59.957599999999999</c:v>
                </c:pt>
                <c:pt idx="426">
                  <c:v>0.96289999999999998</c:v>
                </c:pt>
                <c:pt idx="427">
                  <c:v>-1.5747</c:v>
                </c:pt>
                <c:pt idx="428">
                  <c:v>115.53189999999999</c:v>
                </c:pt>
                <c:pt idx="429">
                  <c:v>3.7082999999999999</c:v>
                </c:pt>
                <c:pt idx="430">
                  <c:v>-30.786000000000001</c:v>
                </c:pt>
                <c:pt idx="431">
                  <c:v>108.2944</c:v>
                </c:pt>
                <c:pt idx="432">
                  <c:v>91.6982</c:v>
                </c:pt>
                <c:pt idx="433">
                  <c:v>146.9854</c:v>
                </c:pt>
                <c:pt idx="434">
                  <c:v>-2.0146000000000002</c:v>
                </c:pt>
                <c:pt idx="435">
                  <c:v>109.224</c:v>
                </c:pt>
                <c:pt idx="436">
                  <c:v>-1.0318000000000001</c:v>
                </c:pt>
                <c:pt idx="437">
                  <c:v>107.7295</c:v>
                </c:pt>
                <c:pt idx="438">
                  <c:v>122.5437</c:v>
                </c:pt>
                <c:pt idx="439">
                  <c:v>95.486999999999995</c:v>
                </c:pt>
                <c:pt idx="440">
                  <c:v>-3.8250000000000002</c:v>
                </c:pt>
                <c:pt idx="441">
                  <c:v>65.874700000000004</c:v>
                </c:pt>
                <c:pt idx="442">
                  <c:v>139.5642</c:v>
                </c:pt>
                <c:pt idx="443">
                  <c:v>78.046400000000006</c:v>
                </c:pt>
                <c:pt idx="444">
                  <c:v>16.3431</c:v>
                </c:pt>
                <c:pt idx="445">
                  <c:v>11.469200000000001</c:v>
                </c:pt>
                <c:pt idx="446">
                  <c:v>137.78729999999999</c:v>
                </c:pt>
                <c:pt idx="447">
                  <c:v>8.6795000000000009</c:v>
                </c:pt>
                <c:pt idx="448">
                  <c:v>114.4239</c:v>
                </c:pt>
                <c:pt idx="449">
                  <c:v>144.26499999999999</c:v>
                </c:pt>
                <c:pt idx="450">
                  <c:v>81.927099999999996</c:v>
                </c:pt>
                <c:pt idx="451">
                  <c:v>112.6237</c:v>
                </c:pt>
                <c:pt idx="452">
                  <c:v>88.316599999999994</c:v>
                </c:pt>
                <c:pt idx="453">
                  <c:v>167.6987</c:v>
                </c:pt>
                <c:pt idx="454">
                  <c:v>127.5639</c:v>
                </c:pt>
                <c:pt idx="455">
                  <c:v>96.411799999999999</c:v>
                </c:pt>
                <c:pt idx="456">
                  <c:v>162.6688</c:v>
                </c:pt>
                <c:pt idx="457">
                  <c:v>-7.8312999999999997</c:v>
                </c:pt>
                <c:pt idx="458">
                  <c:v>2.3098999999999998</c:v>
                </c:pt>
                <c:pt idx="459">
                  <c:v>-4.9398999999999997</c:v>
                </c:pt>
                <c:pt idx="460">
                  <c:v>-1.7786</c:v>
                </c:pt>
                <c:pt idx="461">
                  <c:v>48.169800000000002</c:v>
                </c:pt>
                <c:pt idx="462">
                  <c:v>39.902500000000003</c:v>
                </c:pt>
                <c:pt idx="463">
                  <c:v>100.88209999999999</c:v>
                </c:pt>
                <c:pt idx="464">
                  <c:v>-1.3989</c:v>
                </c:pt>
                <c:pt idx="465">
                  <c:v>-1.0650999999999999</c:v>
                </c:pt>
                <c:pt idx="466">
                  <c:v>2.0573000000000001</c:v>
                </c:pt>
                <c:pt idx="467">
                  <c:v>0.82950000000000002</c:v>
                </c:pt>
                <c:pt idx="468">
                  <c:v>42.409799999999997</c:v>
                </c:pt>
                <c:pt idx="469">
                  <c:v>142.03550000000001</c:v>
                </c:pt>
                <c:pt idx="470">
                  <c:v>88.799800000000005</c:v>
                </c:pt>
                <c:pt idx="471">
                  <c:v>111.3192</c:v>
                </c:pt>
                <c:pt idx="472">
                  <c:v>157.04230000000001</c:v>
                </c:pt>
                <c:pt idx="473">
                  <c:v>159.94059999999999</c:v>
                </c:pt>
                <c:pt idx="474">
                  <c:v>14.2918</c:v>
                </c:pt>
                <c:pt idx="475">
                  <c:v>63.904499999999999</c:v>
                </c:pt>
                <c:pt idx="476">
                  <c:v>47.285299999999999</c:v>
                </c:pt>
                <c:pt idx="477">
                  <c:v>54.076099999999997</c:v>
                </c:pt>
                <c:pt idx="478">
                  <c:v>103.0455</c:v>
                </c:pt>
                <c:pt idx="479">
                  <c:v>70.019800000000004</c:v>
                </c:pt>
                <c:pt idx="480">
                  <c:v>193.65379999999999</c:v>
                </c:pt>
                <c:pt idx="481">
                  <c:v>164.50470000000001</c:v>
                </c:pt>
                <c:pt idx="482">
                  <c:v>127.6084</c:v>
                </c:pt>
                <c:pt idx="483">
                  <c:v>18.760000000000002</c:v>
                </c:pt>
                <c:pt idx="484">
                  <c:v>80.687700000000007</c:v>
                </c:pt>
                <c:pt idx="485">
                  <c:v>-0.45169999999999999</c:v>
                </c:pt>
                <c:pt idx="486">
                  <c:v>16.626799999999999</c:v>
                </c:pt>
                <c:pt idx="487">
                  <c:v>17.613</c:v>
                </c:pt>
                <c:pt idx="488">
                  <c:v>-2.7557999999999998</c:v>
                </c:pt>
                <c:pt idx="489">
                  <c:v>-4.8920000000000003</c:v>
                </c:pt>
                <c:pt idx="490">
                  <c:v>132.16399999999999</c:v>
                </c:pt>
                <c:pt idx="491">
                  <c:v>15.7248</c:v>
                </c:pt>
                <c:pt idx="492">
                  <c:v>-2.8372999999999999</c:v>
                </c:pt>
                <c:pt idx="493">
                  <c:v>94.816800000000001</c:v>
                </c:pt>
                <c:pt idx="494">
                  <c:v>-8.2688000000000006</c:v>
                </c:pt>
                <c:pt idx="495">
                  <c:v>187.1858</c:v>
                </c:pt>
                <c:pt idx="496">
                  <c:v>22.739799999999999</c:v>
                </c:pt>
                <c:pt idx="497">
                  <c:v>173.9091</c:v>
                </c:pt>
                <c:pt idx="498">
                  <c:v>-15.252700000000001</c:v>
                </c:pt>
                <c:pt idx="499">
                  <c:v>57.340600000000002</c:v>
                </c:pt>
                <c:pt idx="500">
                  <c:v>120.90309999999999</c:v>
                </c:pt>
                <c:pt idx="501">
                  <c:v>120.2676</c:v>
                </c:pt>
                <c:pt idx="502">
                  <c:v>40.8444</c:v>
                </c:pt>
                <c:pt idx="503">
                  <c:v>88.425399999999996</c:v>
                </c:pt>
                <c:pt idx="504">
                  <c:v>128.744</c:v>
                </c:pt>
                <c:pt idx="505">
                  <c:v>63.773600000000002</c:v>
                </c:pt>
                <c:pt idx="506">
                  <c:v>27.2102</c:v>
                </c:pt>
                <c:pt idx="507">
                  <c:v>85.5642</c:v>
                </c:pt>
                <c:pt idx="508">
                  <c:v>282.61320000000001</c:v>
                </c:pt>
                <c:pt idx="509">
                  <c:v>129.13499999999999</c:v>
                </c:pt>
                <c:pt idx="510">
                  <c:v>106.5663</c:v>
                </c:pt>
                <c:pt idx="511">
                  <c:v>72.024100000000004</c:v>
                </c:pt>
                <c:pt idx="512">
                  <c:v>5.5824999999999996</c:v>
                </c:pt>
                <c:pt idx="513">
                  <c:v>90.302000000000007</c:v>
                </c:pt>
                <c:pt idx="514">
                  <c:v>114.18210000000001</c:v>
                </c:pt>
                <c:pt idx="515">
                  <c:v>18.433299999999999</c:v>
                </c:pt>
                <c:pt idx="516">
                  <c:v>134.61330000000001</c:v>
                </c:pt>
                <c:pt idx="517">
                  <c:v>80.726600000000005</c:v>
                </c:pt>
                <c:pt idx="518">
                  <c:v>220.49510000000001</c:v>
                </c:pt>
                <c:pt idx="519">
                  <c:v>11.882899999999999</c:v>
                </c:pt>
                <c:pt idx="520">
                  <c:v>101.2028</c:v>
                </c:pt>
                <c:pt idx="521">
                  <c:v>-20.960899999999999</c:v>
                </c:pt>
                <c:pt idx="522">
                  <c:v>127.75839999999999</c:v>
                </c:pt>
                <c:pt idx="523">
                  <c:v>117.9772</c:v>
                </c:pt>
                <c:pt idx="524">
                  <c:v>80.549300000000002</c:v>
                </c:pt>
                <c:pt idx="525">
                  <c:v>162.74969999999999</c:v>
                </c:pt>
                <c:pt idx="526">
                  <c:v>-5.2836999999999996</c:v>
                </c:pt>
                <c:pt idx="527">
                  <c:v>46.705300000000001</c:v>
                </c:pt>
                <c:pt idx="528">
                  <c:v>22.8705</c:v>
                </c:pt>
                <c:pt idx="529">
                  <c:v>88.375100000000003</c:v>
                </c:pt>
                <c:pt idx="530">
                  <c:v>1.7886</c:v>
                </c:pt>
                <c:pt idx="531">
                  <c:v>125.9923</c:v>
                </c:pt>
                <c:pt idx="532">
                  <c:v>66.322999999999993</c:v>
                </c:pt>
                <c:pt idx="533">
                  <c:v>125.4165</c:v>
                </c:pt>
                <c:pt idx="534">
                  <c:v>177.57550000000001</c:v>
                </c:pt>
                <c:pt idx="535">
                  <c:v>61.133600000000001</c:v>
                </c:pt>
                <c:pt idx="536">
                  <c:v>70.196399999999997</c:v>
                </c:pt>
                <c:pt idx="537">
                  <c:v>-5.8379000000000003</c:v>
                </c:pt>
                <c:pt idx="538">
                  <c:v>99.229299999999995</c:v>
                </c:pt>
                <c:pt idx="539">
                  <c:v>54.679900000000004</c:v>
                </c:pt>
                <c:pt idx="540">
                  <c:v>36.750900000000001</c:v>
                </c:pt>
                <c:pt idx="541">
                  <c:v>-7.4664000000000001</c:v>
                </c:pt>
                <c:pt idx="542">
                  <c:v>113.7972</c:v>
                </c:pt>
                <c:pt idx="543">
                  <c:v>180.7818</c:v>
                </c:pt>
                <c:pt idx="544">
                  <c:v>64.290899999999993</c:v>
                </c:pt>
                <c:pt idx="545">
                  <c:v>17.3597</c:v>
                </c:pt>
                <c:pt idx="546">
                  <c:v>-0.42959999999999998</c:v>
                </c:pt>
                <c:pt idx="547">
                  <c:v>168.30029999999999</c:v>
                </c:pt>
                <c:pt idx="548">
                  <c:v>-1.4259999999999999</c:v>
                </c:pt>
                <c:pt idx="549">
                  <c:v>4.1531000000000002</c:v>
                </c:pt>
                <c:pt idx="550">
                  <c:v>-2.3864999999999998</c:v>
                </c:pt>
                <c:pt idx="551">
                  <c:v>180.19470000000001</c:v>
                </c:pt>
                <c:pt idx="552">
                  <c:v>59.301400000000001</c:v>
                </c:pt>
                <c:pt idx="553">
                  <c:v>65.892799999999994</c:v>
                </c:pt>
                <c:pt idx="554">
                  <c:v>3.6252</c:v>
                </c:pt>
                <c:pt idx="555">
                  <c:v>50.106999999999999</c:v>
                </c:pt>
                <c:pt idx="556">
                  <c:v>29.0014</c:v>
                </c:pt>
                <c:pt idx="557">
                  <c:v>66.821700000000007</c:v>
                </c:pt>
                <c:pt idx="558">
                  <c:v>103.40260000000001</c:v>
                </c:pt>
                <c:pt idx="559">
                  <c:v>11.0732</c:v>
                </c:pt>
                <c:pt idx="560">
                  <c:v>112.6429</c:v>
                </c:pt>
                <c:pt idx="561">
                  <c:v>1.7926</c:v>
                </c:pt>
                <c:pt idx="562">
                  <c:v>133.42449999999999</c:v>
                </c:pt>
                <c:pt idx="563">
                  <c:v>135.7842</c:v>
                </c:pt>
                <c:pt idx="564">
                  <c:v>-6.5114000000000001</c:v>
                </c:pt>
                <c:pt idx="565">
                  <c:v>-4.0023999999999997</c:v>
                </c:pt>
                <c:pt idx="566">
                  <c:v>58.6145</c:v>
                </c:pt>
                <c:pt idx="567">
                  <c:v>126.83029999999999</c:v>
                </c:pt>
                <c:pt idx="568">
                  <c:v>32.537799999999997</c:v>
                </c:pt>
                <c:pt idx="569">
                  <c:v>-2.2469000000000001</c:v>
                </c:pt>
                <c:pt idx="570">
                  <c:v>6.3455000000000004</c:v>
                </c:pt>
                <c:pt idx="571">
                  <c:v>86.356200000000001</c:v>
                </c:pt>
                <c:pt idx="572">
                  <c:v>-0.2273</c:v>
                </c:pt>
                <c:pt idx="573">
                  <c:v>90.921599999999998</c:v>
                </c:pt>
                <c:pt idx="574">
                  <c:v>15.5845</c:v>
                </c:pt>
                <c:pt idx="575">
                  <c:v>36.561999999999998</c:v>
                </c:pt>
                <c:pt idx="576">
                  <c:v>-34.701099999999997</c:v>
                </c:pt>
                <c:pt idx="577">
                  <c:v>138.47319999999999</c:v>
                </c:pt>
                <c:pt idx="578">
                  <c:v>-0.91359999999999997</c:v>
                </c:pt>
                <c:pt idx="579">
                  <c:v>113.5652</c:v>
                </c:pt>
                <c:pt idx="580">
                  <c:v>138.9563</c:v>
                </c:pt>
                <c:pt idx="581">
                  <c:v>166.12119999999999</c:v>
                </c:pt>
                <c:pt idx="582">
                  <c:v>114.021</c:v>
                </c:pt>
                <c:pt idx="583">
                  <c:v>148.55240000000001</c:v>
                </c:pt>
                <c:pt idx="584">
                  <c:v>36.641800000000003</c:v>
                </c:pt>
                <c:pt idx="585">
                  <c:v>25.2225</c:v>
                </c:pt>
                <c:pt idx="586">
                  <c:v>70.583600000000004</c:v>
                </c:pt>
                <c:pt idx="587">
                  <c:v>154.9736</c:v>
                </c:pt>
                <c:pt idx="588">
                  <c:v>34.943899999999999</c:v>
                </c:pt>
                <c:pt idx="589">
                  <c:v>53.836100000000002</c:v>
                </c:pt>
                <c:pt idx="590">
                  <c:v>81.189700000000002</c:v>
                </c:pt>
                <c:pt idx="591">
                  <c:v>118.26</c:v>
                </c:pt>
                <c:pt idx="592">
                  <c:v>137.48609999999999</c:v>
                </c:pt>
                <c:pt idx="593">
                  <c:v>18.495799999999999</c:v>
                </c:pt>
                <c:pt idx="594">
                  <c:v>42.410499999999999</c:v>
                </c:pt>
                <c:pt idx="595">
                  <c:v>100.6024</c:v>
                </c:pt>
                <c:pt idx="596">
                  <c:v>9.6928000000000001</c:v>
                </c:pt>
                <c:pt idx="597">
                  <c:v>-7.6087999999999996</c:v>
                </c:pt>
                <c:pt idx="598">
                  <c:v>22.471299999999999</c:v>
                </c:pt>
                <c:pt idx="599">
                  <c:v>3.9601999999999999</c:v>
                </c:pt>
                <c:pt idx="600">
                  <c:v>121.7569</c:v>
                </c:pt>
                <c:pt idx="601">
                  <c:v>70.784099999999995</c:v>
                </c:pt>
                <c:pt idx="602">
                  <c:v>150.99610000000001</c:v>
                </c:pt>
                <c:pt idx="603">
                  <c:v>138.4314</c:v>
                </c:pt>
                <c:pt idx="604">
                  <c:v>95.235799999999998</c:v>
                </c:pt>
                <c:pt idx="605">
                  <c:v>3.1183999999999998</c:v>
                </c:pt>
                <c:pt idx="606">
                  <c:v>126.96380000000001</c:v>
                </c:pt>
                <c:pt idx="607">
                  <c:v>-2.5731999999999999</c:v>
                </c:pt>
                <c:pt idx="608">
                  <c:v>74.663899999999998</c:v>
                </c:pt>
                <c:pt idx="609">
                  <c:v>23.120100000000001</c:v>
                </c:pt>
                <c:pt idx="610">
                  <c:v>-1.1851</c:v>
                </c:pt>
                <c:pt idx="611">
                  <c:v>140.71809999999999</c:v>
                </c:pt>
                <c:pt idx="612">
                  <c:v>7.1848000000000001</c:v>
                </c:pt>
                <c:pt idx="613">
                  <c:v>0.78029999999999999</c:v>
                </c:pt>
                <c:pt idx="614">
                  <c:v>133.40790000000001</c:v>
                </c:pt>
                <c:pt idx="615">
                  <c:v>34.436</c:v>
                </c:pt>
                <c:pt idx="616">
                  <c:v>5.3845000000000001</c:v>
                </c:pt>
                <c:pt idx="617">
                  <c:v>113.5311</c:v>
                </c:pt>
                <c:pt idx="618">
                  <c:v>117.6474</c:v>
                </c:pt>
                <c:pt idx="619">
                  <c:v>123.3338</c:v>
                </c:pt>
                <c:pt idx="620">
                  <c:v>8.7499999999999994E-2</c:v>
                </c:pt>
                <c:pt idx="621">
                  <c:v>72.469099999999997</c:v>
                </c:pt>
                <c:pt idx="622">
                  <c:v>18.349399999999999</c:v>
                </c:pt>
                <c:pt idx="623">
                  <c:v>59.913400000000003</c:v>
                </c:pt>
                <c:pt idx="624">
                  <c:v>-2.5608</c:v>
                </c:pt>
                <c:pt idx="625">
                  <c:v>167.01</c:v>
                </c:pt>
                <c:pt idx="626">
                  <c:v>6.1782000000000004</c:v>
                </c:pt>
                <c:pt idx="627">
                  <c:v>12.273899999999999</c:v>
                </c:pt>
                <c:pt idx="628">
                  <c:v>24.128399999999999</c:v>
                </c:pt>
                <c:pt idx="629">
                  <c:v>141.10769999999999</c:v>
                </c:pt>
                <c:pt idx="630">
                  <c:v>16.276900000000001</c:v>
                </c:pt>
                <c:pt idx="631">
                  <c:v>239.71350000000001</c:v>
                </c:pt>
                <c:pt idx="632">
                  <c:v>2.6387999999999998</c:v>
                </c:pt>
                <c:pt idx="633">
                  <c:v>-1.0739000000000001</c:v>
                </c:pt>
                <c:pt idx="634">
                  <c:v>127.19970000000001</c:v>
                </c:pt>
                <c:pt idx="635">
                  <c:v>0.20960000000000001</c:v>
                </c:pt>
                <c:pt idx="636">
                  <c:v>20.317799999999998</c:v>
                </c:pt>
                <c:pt idx="637">
                  <c:v>5.9909999999999997</c:v>
                </c:pt>
                <c:pt idx="638">
                  <c:v>194.93780000000001</c:v>
                </c:pt>
                <c:pt idx="639">
                  <c:v>78.373500000000007</c:v>
                </c:pt>
                <c:pt idx="640">
                  <c:v>1.5442</c:v>
                </c:pt>
                <c:pt idx="641">
                  <c:v>52.951900000000002</c:v>
                </c:pt>
                <c:pt idx="642">
                  <c:v>152.06700000000001</c:v>
                </c:pt>
                <c:pt idx="643">
                  <c:v>115.0141</c:v>
                </c:pt>
                <c:pt idx="644">
                  <c:v>74.572299999999998</c:v>
                </c:pt>
                <c:pt idx="645">
                  <c:v>192.64660000000001</c:v>
                </c:pt>
                <c:pt idx="646">
                  <c:v>-5.8101000000000003</c:v>
                </c:pt>
                <c:pt idx="647">
                  <c:v>155.27850000000001</c:v>
                </c:pt>
                <c:pt idx="648">
                  <c:v>12.1717</c:v>
                </c:pt>
                <c:pt idx="649">
                  <c:v>102.6066</c:v>
                </c:pt>
                <c:pt idx="650">
                  <c:v>99.844499999999996</c:v>
                </c:pt>
                <c:pt idx="651">
                  <c:v>178.68709999999999</c:v>
                </c:pt>
                <c:pt idx="652">
                  <c:v>106.27719999999999</c:v>
                </c:pt>
                <c:pt idx="653">
                  <c:v>150.04519999999999</c:v>
                </c:pt>
                <c:pt idx="654">
                  <c:v>90.696700000000007</c:v>
                </c:pt>
                <c:pt idx="655">
                  <c:v>-1.5847</c:v>
                </c:pt>
                <c:pt idx="656">
                  <c:v>-15.727499999999999</c:v>
                </c:pt>
                <c:pt idx="657">
                  <c:v>99.046800000000005</c:v>
                </c:pt>
                <c:pt idx="658">
                  <c:v>73.752399999999994</c:v>
                </c:pt>
                <c:pt idx="659">
                  <c:v>146.62530000000001</c:v>
                </c:pt>
                <c:pt idx="660">
                  <c:v>-11.118499999999999</c:v>
                </c:pt>
                <c:pt idx="661">
                  <c:v>-13.5951</c:v>
                </c:pt>
                <c:pt idx="662">
                  <c:v>159.9289</c:v>
                </c:pt>
                <c:pt idx="663">
                  <c:v>-9.6105</c:v>
                </c:pt>
                <c:pt idx="664">
                  <c:v>-3.3563000000000001</c:v>
                </c:pt>
                <c:pt idx="665">
                  <c:v>21.065799999999999</c:v>
                </c:pt>
                <c:pt idx="666">
                  <c:v>67.584900000000005</c:v>
                </c:pt>
                <c:pt idx="667">
                  <c:v>-6.8599999999999994E-2</c:v>
                </c:pt>
                <c:pt idx="668">
                  <c:v>176.2433</c:v>
                </c:pt>
                <c:pt idx="669">
                  <c:v>8.1647999999999996</c:v>
                </c:pt>
                <c:pt idx="670">
                  <c:v>159.33160000000001</c:v>
                </c:pt>
                <c:pt idx="671">
                  <c:v>135.4778</c:v>
                </c:pt>
                <c:pt idx="672">
                  <c:v>-9.3857999999999997</c:v>
                </c:pt>
                <c:pt idx="673">
                  <c:v>147.51560000000001</c:v>
                </c:pt>
                <c:pt idx="674">
                  <c:v>20.253299999999999</c:v>
                </c:pt>
                <c:pt idx="675">
                  <c:v>108.7576</c:v>
                </c:pt>
                <c:pt idx="676">
                  <c:v>30.438400000000001</c:v>
                </c:pt>
                <c:pt idx="677">
                  <c:v>135.63120000000001</c:v>
                </c:pt>
                <c:pt idx="678">
                  <c:v>138.42310000000001</c:v>
                </c:pt>
                <c:pt idx="679">
                  <c:v>-0.65769999999999995</c:v>
                </c:pt>
                <c:pt idx="680">
                  <c:v>66.950199999999995</c:v>
                </c:pt>
                <c:pt idx="681">
                  <c:v>-8.1050000000000004</c:v>
                </c:pt>
                <c:pt idx="682">
                  <c:v>160.8313</c:v>
                </c:pt>
                <c:pt idx="683">
                  <c:v>1.0767</c:v>
                </c:pt>
                <c:pt idx="684">
                  <c:v>12.2736</c:v>
                </c:pt>
                <c:pt idx="685">
                  <c:v>153.0703</c:v>
                </c:pt>
                <c:pt idx="686">
                  <c:v>5.6414</c:v>
                </c:pt>
                <c:pt idx="687">
                  <c:v>139.77930000000001</c:v>
                </c:pt>
                <c:pt idx="688">
                  <c:v>69.421800000000005</c:v>
                </c:pt>
                <c:pt idx="689">
                  <c:v>117.8997</c:v>
                </c:pt>
                <c:pt idx="690">
                  <c:v>0.81710000000000005</c:v>
                </c:pt>
                <c:pt idx="691">
                  <c:v>57.450099999999999</c:v>
                </c:pt>
                <c:pt idx="692">
                  <c:v>25.8139</c:v>
                </c:pt>
                <c:pt idx="693">
                  <c:v>170.00899999999999</c:v>
                </c:pt>
                <c:pt idx="694">
                  <c:v>-11.758599999999999</c:v>
                </c:pt>
                <c:pt idx="695">
                  <c:v>95.271799999999999</c:v>
                </c:pt>
                <c:pt idx="696">
                  <c:v>12.340999999999999</c:v>
                </c:pt>
                <c:pt idx="697">
                  <c:v>143.08699999999999</c:v>
                </c:pt>
                <c:pt idx="698">
                  <c:v>42.938699999999997</c:v>
                </c:pt>
                <c:pt idx="699">
                  <c:v>-1.7575000000000001</c:v>
                </c:pt>
                <c:pt idx="700">
                  <c:v>9.8004999999999995</c:v>
                </c:pt>
                <c:pt idx="701">
                  <c:v>55.506700000000002</c:v>
                </c:pt>
                <c:pt idx="702">
                  <c:v>6.6715</c:v>
                </c:pt>
                <c:pt idx="703">
                  <c:v>49.659300000000002</c:v>
                </c:pt>
                <c:pt idx="704">
                  <c:v>8.1231000000000009</c:v>
                </c:pt>
                <c:pt idx="705">
                  <c:v>115.29040000000001</c:v>
                </c:pt>
                <c:pt idx="706">
                  <c:v>81.268799999999999</c:v>
                </c:pt>
                <c:pt idx="707">
                  <c:v>9.0625999999999998</c:v>
                </c:pt>
                <c:pt idx="708">
                  <c:v>3.5531000000000001</c:v>
                </c:pt>
                <c:pt idx="709">
                  <c:v>-0.73499999999999999</c:v>
                </c:pt>
                <c:pt idx="710">
                  <c:v>18.540500000000002</c:v>
                </c:pt>
                <c:pt idx="711">
                  <c:v>94.533199999999994</c:v>
                </c:pt>
                <c:pt idx="712">
                  <c:v>116.7597</c:v>
                </c:pt>
                <c:pt idx="713">
                  <c:v>146.95429999999999</c:v>
                </c:pt>
                <c:pt idx="714">
                  <c:v>69.241299999999995</c:v>
                </c:pt>
                <c:pt idx="715">
                  <c:v>4.0469999999999997</c:v>
                </c:pt>
                <c:pt idx="716">
                  <c:v>68.797399999999996</c:v>
                </c:pt>
                <c:pt idx="717">
                  <c:v>4.0993000000000004</c:v>
                </c:pt>
                <c:pt idx="718">
                  <c:v>-0.42499999999999999</c:v>
                </c:pt>
                <c:pt idx="719">
                  <c:v>31.0032</c:v>
                </c:pt>
                <c:pt idx="720">
                  <c:v>90.260900000000007</c:v>
                </c:pt>
                <c:pt idx="721">
                  <c:v>47.893500000000003</c:v>
                </c:pt>
                <c:pt idx="722">
                  <c:v>100.4879</c:v>
                </c:pt>
                <c:pt idx="723">
                  <c:v>27.8568</c:v>
                </c:pt>
                <c:pt idx="724">
                  <c:v>-5.1002999999999998</c:v>
                </c:pt>
                <c:pt idx="725">
                  <c:v>11.4754</c:v>
                </c:pt>
                <c:pt idx="726">
                  <c:v>59.406999999999996</c:v>
                </c:pt>
                <c:pt idx="727">
                  <c:v>149.97239999999999</c:v>
                </c:pt>
                <c:pt idx="728">
                  <c:v>131.30760000000001</c:v>
                </c:pt>
                <c:pt idx="729">
                  <c:v>118.1987</c:v>
                </c:pt>
                <c:pt idx="730">
                  <c:v>0.5736</c:v>
                </c:pt>
                <c:pt idx="731">
                  <c:v>1.1689000000000001</c:v>
                </c:pt>
                <c:pt idx="732">
                  <c:v>-5.8773999999999997</c:v>
                </c:pt>
                <c:pt idx="733">
                  <c:v>4.5959000000000003</c:v>
                </c:pt>
                <c:pt idx="734">
                  <c:v>135.6046</c:v>
                </c:pt>
                <c:pt idx="735">
                  <c:v>135.5462</c:v>
                </c:pt>
                <c:pt idx="736">
                  <c:v>176.12450000000001</c:v>
                </c:pt>
                <c:pt idx="737">
                  <c:v>92.094499999999996</c:v>
                </c:pt>
                <c:pt idx="738">
                  <c:v>-5.1414</c:v>
                </c:pt>
                <c:pt idx="739">
                  <c:v>7.5389999999999997</c:v>
                </c:pt>
                <c:pt idx="740">
                  <c:v>112.2201</c:v>
                </c:pt>
                <c:pt idx="741">
                  <c:v>-3.5863999999999998</c:v>
                </c:pt>
                <c:pt idx="742">
                  <c:v>-9.1325000000000003</c:v>
                </c:pt>
                <c:pt idx="743">
                  <c:v>137.47800000000001</c:v>
                </c:pt>
                <c:pt idx="744">
                  <c:v>-2.0998000000000001</c:v>
                </c:pt>
                <c:pt idx="745">
                  <c:v>140.6694</c:v>
                </c:pt>
                <c:pt idx="746">
                  <c:v>156.84100000000001</c:v>
                </c:pt>
                <c:pt idx="747">
                  <c:v>10.939399999999999</c:v>
                </c:pt>
                <c:pt idx="748">
                  <c:v>22.808599999999998</c:v>
                </c:pt>
                <c:pt idx="749">
                  <c:v>113.42610000000001</c:v>
                </c:pt>
                <c:pt idx="750">
                  <c:v>110.1953</c:v>
                </c:pt>
                <c:pt idx="751">
                  <c:v>92.917400000000001</c:v>
                </c:pt>
                <c:pt idx="752">
                  <c:v>168.74449999999999</c:v>
                </c:pt>
                <c:pt idx="753">
                  <c:v>-2.9651000000000001</c:v>
                </c:pt>
                <c:pt idx="754">
                  <c:v>0.48870000000000002</c:v>
                </c:pt>
                <c:pt idx="755">
                  <c:v>84.301400000000001</c:v>
                </c:pt>
                <c:pt idx="756">
                  <c:v>189.06440000000001</c:v>
                </c:pt>
                <c:pt idx="757">
                  <c:v>15.3903</c:v>
                </c:pt>
                <c:pt idx="758">
                  <c:v>150.3313</c:v>
                </c:pt>
                <c:pt idx="759">
                  <c:v>91.4345</c:v>
                </c:pt>
                <c:pt idx="760">
                  <c:v>158.26599999999999</c:v>
                </c:pt>
                <c:pt idx="761">
                  <c:v>115.47410000000001</c:v>
                </c:pt>
                <c:pt idx="762">
                  <c:v>142.44159999999999</c:v>
                </c:pt>
                <c:pt idx="763">
                  <c:v>22.1083</c:v>
                </c:pt>
                <c:pt idx="764">
                  <c:v>8.1783999999999999</c:v>
                </c:pt>
                <c:pt idx="765">
                  <c:v>152.74809999999999</c:v>
                </c:pt>
                <c:pt idx="766">
                  <c:v>124.9157</c:v>
                </c:pt>
                <c:pt idx="767">
                  <c:v>139.50550000000001</c:v>
                </c:pt>
                <c:pt idx="768">
                  <c:v>147.4134</c:v>
                </c:pt>
                <c:pt idx="769">
                  <c:v>6.8090999999999999</c:v>
                </c:pt>
                <c:pt idx="770">
                  <c:v>150.75460000000001</c:v>
                </c:pt>
                <c:pt idx="771">
                  <c:v>-14.6189</c:v>
                </c:pt>
                <c:pt idx="772">
                  <c:v>215.89400000000001</c:v>
                </c:pt>
                <c:pt idx="773">
                  <c:v>14.490500000000001</c:v>
                </c:pt>
                <c:pt idx="774">
                  <c:v>17.016999999999999</c:v>
                </c:pt>
                <c:pt idx="775">
                  <c:v>12.005100000000001</c:v>
                </c:pt>
                <c:pt idx="776">
                  <c:v>62.2988</c:v>
                </c:pt>
                <c:pt idx="777">
                  <c:v>6.1379999999999999</c:v>
                </c:pt>
                <c:pt idx="778">
                  <c:v>62.937899999999999</c:v>
                </c:pt>
                <c:pt idx="779">
                  <c:v>22.805299999999999</c:v>
                </c:pt>
                <c:pt idx="780">
                  <c:v>101.09439999999999</c:v>
                </c:pt>
                <c:pt idx="781">
                  <c:v>167.49260000000001</c:v>
                </c:pt>
                <c:pt idx="782">
                  <c:v>117.7825</c:v>
                </c:pt>
                <c:pt idx="783">
                  <c:v>-3.4630000000000001</c:v>
                </c:pt>
                <c:pt idx="784">
                  <c:v>109.04900000000001</c:v>
                </c:pt>
                <c:pt idx="785">
                  <c:v>-2.7195</c:v>
                </c:pt>
                <c:pt idx="786">
                  <c:v>143.2201</c:v>
                </c:pt>
                <c:pt idx="787">
                  <c:v>17.405899999999999</c:v>
                </c:pt>
                <c:pt idx="788">
                  <c:v>143.52119999999999</c:v>
                </c:pt>
                <c:pt idx="789">
                  <c:v>160.88130000000001</c:v>
                </c:pt>
                <c:pt idx="790">
                  <c:v>-9.3100000000000002E-2</c:v>
                </c:pt>
                <c:pt idx="791">
                  <c:v>1.3066</c:v>
                </c:pt>
                <c:pt idx="792">
                  <c:v>44.399799999999999</c:v>
                </c:pt>
                <c:pt idx="793">
                  <c:v>53.438200000000002</c:v>
                </c:pt>
                <c:pt idx="794">
                  <c:v>19.051600000000001</c:v>
                </c:pt>
                <c:pt idx="795">
                  <c:v>108.0673</c:v>
                </c:pt>
                <c:pt idx="796">
                  <c:v>13.832700000000001</c:v>
                </c:pt>
                <c:pt idx="797">
                  <c:v>47.874600000000001</c:v>
                </c:pt>
                <c:pt idx="798">
                  <c:v>-1.6952</c:v>
                </c:pt>
                <c:pt idx="799">
                  <c:v>12.1456</c:v>
                </c:pt>
                <c:pt idx="800">
                  <c:v>136.92930000000001</c:v>
                </c:pt>
                <c:pt idx="801">
                  <c:v>12.651400000000001</c:v>
                </c:pt>
                <c:pt idx="802">
                  <c:v>6.5481999999999996</c:v>
                </c:pt>
                <c:pt idx="803">
                  <c:v>139.71960000000001</c:v>
                </c:pt>
                <c:pt idx="804">
                  <c:v>-4.0831999999999997</c:v>
                </c:pt>
                <c:pt idx="805">
                  <c:v>134.1036</c:v>
                </c:pt>
                <c:pt idx="806">
                  <c:v>35.279499999999999</c:v>
                </c:pt>
                <c:pt idx="807">
                  <c:v>6.8926999999999996</c:v>
                </c:pt>
                <c:pt idx="808">
                  <c:v>101.6375</c:v>
                </c:pt>
                <c:pt idx="809">
                  <c:v>35.938600000000001</c:v>
                </c:pt>
                <c:pt idx="810">
                  <c:v>-6.5731999999999999</c:v>
                </c:pt>
                <c:pt idx="811">
                  <c:v>152.53309999999999</c:v>
                </c:pt>
                <c:pt idx="812">
                  <c:v>158.41130000000001</c:v>
                </c:pt>
                <c:pt idx="813">
                  <c:v>9.7022999999999993</c:v>
                </c:pt>
                <c:pt idx="814">
                  <c:v>-1.5578000000000001</c:v>
                </c:pt>
                <c:pt idx="815">
                  <c:v>143.55019999999999</c:v>
                </c:pt>
                <c:pt idx="816">
                  <c:v>141.36429999999999</c:v>
                </c:pt>
                <c:pt idx="817">
                  <c:v>126.2804</c:v>
                </c:pt>
                <c:pt idx="818">
                  <c:v>64.603800000000007</c:v>
                </c:pt>
                <c:pt idx="819">
                  <c:v>9.2521000000000004</c:v>
                </c:pt>
                <c:pt idx="820">
                  <c:v>-2.0731999999999999</c:v>
                </c:pt>
                <c:pt idx="821">
                  <c:v>139.82210000000001</c:v>
                </c:pt>
                <c:pt idx="822">
                  <c:v>170.5676</c:v>
                </c:pt>
                <c:pt idx="823">
                  <c:v>123.3801</c:v>
                </c:pt>
                <c:pt idx="824">
                  <c:v>-0.93769999999999998</c:v>
                </c:pt>
                <c:pt idx="825">
                  <c:v>-13.479900000000001</c:v>
                </c:pt>
                <c:pt idx="826">
                  <c:v>132.03299999999999</c:v>
                </c:pt>
                <c:pt idx="827">
                  <c:v>76.170900000000003</c:v>
                </c:pt>
                <c:pt idx="828">
                  <c:v>180.4239</c:v>
                </c:pt>
                <c:pt idx="829">
                  <c:v>138.60509999999999</c:v>
                </c:pt>
                <c:pt idx="830">
                  <c:v>23.309000000000001</c:v>
                </c:pt>
                <c:pt idx="831">
                  <c:v>25.170200000000001</c:v>
                </c:pt>
                <c:pt idx="832">
                  <c:v>-4.3845999999999998</c:v>
                </c:pt>
                <c:pt idx="833">
                  <c:v>119.08669999999999</c:v>
                </c:pt>
                <c:pt idx="834">
                  <c:v>3.0211000000000001</c:v>
                </c:pt>
                <c:pt idx="835">
                  <c:v>3.7031000000000001</c:v>
                </c:pt>
                <c:pt idx="836">
                  <c:v>133.02330000000001</c:v>
                </c:pt>
                <c:pt idx="837">
                  <c:v>132.11250000000001</c:v>
                </c:pt>
                <c:pt idx="838">
                  <c:v>-11.331300000000001</c:v>
                </c:pt>
                <c:pt idx="839">
                  <c:v>0.71330000000000005</c:v>
                </c:pt>
                <c:pt idx="840">
                  <c:v>147.8271</c:v>
                </c:pt>
                <c:pt idx="841">
                  <c:v>7.3190999999999997</c:v>
                </c:pt>
                <c:pt idx="842">
                  <c:v>32.363399999999999</c:v>
                </c:pt>
                <c:pt idx="843">
                  <c:v>166.29310000000001</c:v>
                </c:pt>
                <c:pt idx="844">
                  <c:v>-13.808</c:v>
                </c:pt>
                <c:pt idx="845">
                  <c:v>144.07980000000001</c:v>
                </c:pt>
                <c:pt idx="846">
                  <c:v>140.14250000000001</c:v>
                </c:pt>
                <c:pt idx="847">
                  <c:v>75.909400000000005</c:v>
                </c:pt>
                <c:pt idx="848">
                  <c:v>133.77420000000001</c:v>
                </c:pt>
                <c:pt idx="849">
                  <c:v>129.90639999999999</c:v>
                </c:pt>
                <c:pt idx="850">
                  <c:v>113.1972</c:v>
                </c:pt>
                <c:pt idx="851">
                  <c:v>48.722799999999999</c:v>
                </c:pt>
                <c:pt idx="852">
                  <c:v>88.316900000000004</c:v>
                </c:pt>
                <c:pt idx="853">
                  <c:v>-2.9</c:v>
                </c:pt>
                <c:pt idx="854">
                  <c:v>196.24590000000001</c:v>
                </c:pt>
                <c:pt idx="855">
                  <c:v>4.0991</c:v>
                </c:pt>
                <c:pt idx="856">
                  <c:v>3.1421999999999999</c:v>
                </c:pt>
                <c:pt idx="857">
                  <c:v>22.905799999999999</c:v>
                </c:pt>
                <c:pt idx="858">
                  <c:v>-27.884799999999998</c:v>
                </c:pt>
                <c:pt idx="859">
                  <c:v>118.5748</c:v>
                </c:pt>
                <c:pt idx="860">
                  <c:v>124.1056</c:v>
                </c:pt>
                <c:pt idx="861">
                  <c:v>1.7235</c:v>
                </c:pt>
                <c:pt idx="862">
                  <c:v>-1.2242999999999999</c:v>
                </c:pt>
                <c:pt idx="863">
                  <c:v>18.890599999999999</c:v>
                </c:pt>
                <c:pt idx="864">
                  <c:v>86.1447</c:v>
                </c:pt>
                <c:pt idx="865">
                  <c:v>80.382300000000001</c:v>
                </c:pt>
                <c:pt idx="866">
                  <c:v>128.86269999999999</c:v>
                </c:pt>
                <c:pt idx="867">
                  <c:v>45.335099999999997</c:v>
                </c:pt>
                <c:pt idx="868">
                  <c:v>-23.570399999999999</c:v>
                </c:pt>
                <c:pt idx="869">
                  <c:v>46.5242</c:v>
                </c:pt>
                <c:pt idx="870">
                  <c:v>-5.6768000000000001</c:v>
                </c:pt>
                <c:pt idx="871">
                  <c:v>-0.51990000000000003</c:v>
                </c:pt>
                <c:pt idx="872">
                  <c:v>-3.4437000000000002</c:v>
                </c:pt>
                <c:pt idx="873">
                  <c:v>50.045699999999997</c:v>
                </c:pt>
                <c:pt idx="874">
                  <c:v>-6.3354999999999997</c:v>
                </c:pt>
                <c:pt idx="875">
                  <c:v>121.96980000000001</c:v>
                </c:pt>
                <c:pt idx="876">
                  <c:v>146.905</c:v>
                </c:pt>
                <c:pt idx="877">
                  <c:v>50.624099999999999</c:v>
                </c:pt>
                <c:pt idx="878">
                  <c:v>116.4037</c:v>
                </c:pt>
                <c:pt idx="879">
                  <c:v>60.482399999999998</c:v>
                </c:pt>
                <c:pt idx="880">
                  <c:v>93.261300000000006</c:v>
                </c:pt>
                <c:pt idx="881">
                  <c:v>-0.4743</c:v>
                </c:pt>
                <c:pt idx="882">
                  <c:v>2.0464000000000002</c:v>
                </c:pt>
                <c:pt idx="883">
                  <c:v>25.011500000000002</c:v>
                </c:pt>
                <c:pt idx="884">
                  <c:v>-4.8247999999999998</c:v>
                </c:pt>
                <c:pt idx="885">
                  <c:v>45.568600000000004</c:v>
                </c:pt>
                <c:pt idx="886">
                  <c:v>-17.152200000000001</c:v>
                </c:pt>
                <c:pt idx="887">
                  <c:v>194.78290000000001</c:v>
                </c:pt>
                <c:pt idx="888">
                  <c:v>106.07980000000001</c:v>
                </c:pt>
                <c:pt idx="889">
                  <c:v>-4.0412999999999997</c:v>
                </c:pt>
                <c:pt idx="890">
                  <c:v>-1.5229999999999999</c:v>
                </c:pt>
                <c:pt idx="891">
                  <c:v>122.0885</c:v>
                </c:pt>
                <c:pt idx="892">
                  <c:v>77.736199999999997</c:v>
                </c:pt>
                <c:pt idx="893">
                  <c:v>0.39129999999999998</c:v>
                </c:pt>
                <c:pt idx="894">
                  <c:v>94.418700000000001</c:v>
                </c:pt>
                <c:pt idx="895">
                  <c:v>118.17059999999999</c:v>
                </c:pt>
                <c:pt idx="896">
                  <c:v>149.61859999999999</c:v>
                </c:pt>
                <c:pt idx="897">
                  <c:v>1.2992999999999999</c:v>
                </c:pt>
                <c:pt idx="898">
                  <c:v>126.6116</c:v>
                </c:pt>
                <c:pt idx="899">
                  <c:v>19.224699999999999</c:v>
                </c:pt>
                <c:pt idx="900">
                  <c:v>4.4249999999999998</c:v>
                </c:pt>
                <c:pt idx="901">
                  <c:v>69.574700000000007</c:v>
                </c:pt>
                <c:pt idx="902">
                  <c:v>50.159700000000001</c:v>
                </c:pt>
                <c:pt idx="903">
                  <c:v>4.7144000000000004</c:v>
                </c:pt>
                <c:pt idx="904">
                  <c:v>6.0457000000000001</c:v>
                </c:pt>
                <c:pt idx="905">
                  <c:v>-9.7475000000000005</c:v>
                </c:pt>
                <c:pt idx="906">
                  <c:v>4.2782999999999998</c:v>
                </c:pt>
                <c:pt idx="907">
                  <c:v>59.519399999999997</c:v>
                </c:pt>
                <c:pt idx="908">
                  <c:v>0.67749999999999999</c:v>
                </c:pt>
                <c:pt idx="909">
                  <c:v>101.88930000000001</c:v>
                </c:pt>
                <c:pt idx="910">
                  <c:v>11.1058</c:v>
                </c:pt>
                <c:pt idx="911">
                  <c:v>45.438400000000001</c:v>
                </c:pt>
                <c:pt idx="912">
                  <c:v>23.625499999999999</c:v>
                </c:pt>
                <c:pt idx="913">
                  <c:v>121.4555</c:v>
                </c:pt>
                <c:pt idx="914">
                  <c:v>54.782699999999998</c:v>
                </c:pt>
                <c:pt idx="915">
                  <c:v>8.9197000000000006</c:v>
                </c:pt>
                <c:pt idx="916">
                  <c:v>-6.6246999999999998</c:v>
                </c:pt>
                <c:pt idx="917">
                  <c:v>137.5214</c:v>
                </c:pt>
                <c:pt idx="918">
                  <c:v>-16.0899</c:v>
                </c:pt>
                <c:pt idx="919">
                  <c:v>-0.93279999999999996</c:v>
                </c:pt>
                <c:pt idx="920">
                  <c:v>10.4877</c:v>
                </c:pt>
                <c:pt idx="921">
                  <c:v>24.119499999999999</c:v>
                </c:pt>
                <c:pt idx="922">
                  <c:v>140.11600000000001</c:v>
                </c:pt>
                <c:pt idx="923">
                  <c:v>10.117100000000001</c:v>
                </c:pt>
                <c:pt idx="924">
                  <c:v>-15.0817</c:v>
                </c:pt>
                <c:pt idx="925">
                  <c:v>-6.6978</c:v>
                </c:pt>
                <c:pt idx="926">
                  <c:v>100.6574</c:v>
                </c:pt>
                <c:pt idx="927">
                  <c:v>120.4265</c:v>
                </c:pt>
                <c:pt idx="928">
                  <c:v>80.101699999999994</c:v>
                </c:pt>
                <c:pt idx="929">
                  <c:v>163.52709999999999</c:v>
                </c:pt>
                <c:pt idx="930">
                  <c:v>149.92250000000001</c:v>
                </c:pt>
                <c:pt idx="931">
                  <c:v>-17.7498</c:v>
                </c:pt>
                <c:pt idx="932">
                  <c:v>-0.30990000000000001</c:v>
                </c:pt>
                <c:pt idx="933">
                  <c:v>-0.82050000000000001</c:v>
                </c:pt>
                <c:pt idx="934">
                  <c:v>105.5325</c:v>
                </c:pt>
                <c:pt idx="935">
                  <c:v>157.5548</c:v>
                </c:pt>
                <c:pt idx="936">
                  <c:v>53.536700000000003</c:v>
                </c:pt>
                <c:pt idx="937">
                  <c:v>-15.1106</c:v>
                </c:pt>
                <c:pt idx="938">
                  <c:v>6.4828000000000001</c:v>
                </c:pt>
                <c:pt idx="939">
                  <c:v>-3.7856999999999998</c:v>
                </c:pt>
                <c:pt idx="940">
                  <c:v>10.017899999999999</c:v>
                </c:pt>
                <c:pt idx="941">
                  <c:v>161.03299999999999</c:v>
                </c:pt>
                <c:pt idx="942">
                  <c:v>-2.2589999999999999</c:v>
                </c:pt>
                <c:pt idx="943">
                  <c:v>20.5275</c:v>
                </c:pt>
                <c:pt idx="944">
                  <c:v>1.4258999999999999</c:v>
                </c:pt>
                <c:pt idx="945">
                  <c:v>39.136299999999999</c:v>
                </c:pt>
                <c:pt idx="946">
                  <c:v>97.913799999999995</c:v>
                </c:pt>
                <c:pt idx="947">
                  <c:v>23.9252</c:v>
                </c:pt>
                <c:pt idx="948">
                  <c:v>76.665800000000004</c:v>
                </c:pt>
                <c:pt idx="949">
                  <c:v>91.347399999999993</c:v>
                </c:pt>
                <c:pt idx="950">
                  <c:v>11.0816</c:v>
                </c:pt>
                <c:pt idx="951">
                  <c:v>7.6810999999999998</c:v>
                </c:pt>
                <c:pt idx="952">
                  <c:v>-16.817699999999999</c:v>
                </c:pt>
                <c:pt idx="953">
                  <c:v>-17.8689</c:v>
                </c:pt>
                <c:pt idx="954">
                  <c:v>7.1016000000000004</c:v>
                </c:pt>
                <c:pt idx="955">
                  <c:v>217.64859999999999</c:v>
                </c:pt>
                <c:pt idx="956">
                  <c:v>128.19569999999999</c:v>
                </c:pt>
                <c:pt idx="957">
                  <c:v>22.0184</c:v>
                </c:pt>
                <c:pt idx="958">
                  <c:v>121.1644</c:v>
                </c:pt>
                <c:pt idx="959">
                  <c:v>22.4208</c:v>
                </c:pt>
                <c:pt idx="960">
                  <c:v>85.9345</c:v>
                </c:pt>
                <c:pt idx="961">
                  <c:v>-5.0918999999999999</c:v>
                </c:pt>
                <c:pt idx="962">
                  <c:v>5.4084000000000003</c:v>
                </c:pt>
                <c:pt idx="963">
                  <c:v>24.774799999999999</c:v>
                </c:pt>
                <c:pt idx="964">
                  <c:v>10.3781</c:v>
                </c:pt>
                <c:pt idx="965">
                  <c:v>98.070899999999995</c:v>
                </c:pt>
                <c:pt idx="966">
                  <c:v>-10.654</c:v>
                </c:pt>
                <c:pt idx="967">
                  <c:v>-0.28589999999999999</c:v>
                </c:pt>
                <c:pt idx="968">
                  <c:v>172.7791</c:v>
                </c:pt>
                <c:pt idx="969">
                  <c:v>29.6784</c:v>
                </c:pt>
                <c:pt idx="970">
                  <c:v>125.11369999999999</c:v>
                </c:pt>
                <c:pt idx="971">
                  <c:v>-2.6595</c:v>
                </c:pt>
                <c:pt idx="972">
                  <c:v>83.129000000000005</c:v>
                </c:pt>
                <c:pt idx="973">
                  <c:v>69.268500000000003</c:v>
                </c:pt>
                <c:pt idx="974">
                  <c:v>10.2219</c:v>
                </c:pt>
                <c:pt idx="975">
                  <c:v>119.76949999999999</c:v>
                </c:pt>
                <c:pt idx="976">
                  <c:v>101.2452</c:v>
                </c:pt>
                <c:pt idx="977">
                  <c:v>-4.1021999999999998</c:v>
                </c:pt>
                <c:pt idx="978">
                  <c:v>133.42840000000001</c:v>
                </c:pt>
                <c:pt idx="979">
                  <c:v>58.923200000000001</c:v>
                </c:pt>
                <c:pt idx="980">
                  <c:v>167.19149999999999</c:v>
                </c:pt>
                <c:pt idx="981">
                  <c:v>157.88849999999999</c:v>
                </c:pt>
                <c:pt idx="982">
                  <c:v>141.40309999999999</c:v>
                </c:pt>
                <c:pt idx="983">
                  <c:v>-7.6317000000000004</c:v>
                </c:pt>
                <c:pt idx="984">
                  <c:v>18.1723</c:v>
                </c:pt>
                <c:pt idx="985">
                  <c:v>-7.7492999999999999</c:v>
                </c:pt>
                <c:pt idx="986">
                  <c:v>82.447599999999994</c:v>
                </c:pt>
                <c:pt idx="987">
                  <c:v>25.854399999999998</c:v>
                </c:pt>
                <c:pt idx="988">
                  <c:v>0.32690000000000002</c:v>
                </c:pt>
                <c:pt idx="989">
                  <c:v>158.09870000000001</c:v>
                </c:pt>
                <c:pt idx="990">
                  <c:v>46.388599999999997</c:v>
                </c:pt>
                <c:pt idx="991">
                  <c:v>-19.55</c:v>
                </c:pt>
                <c:pt idx="992">
                  <c:v>-6.3769</c:v>
                </c:pt>
                <c:pt idx="993">
                  <c:v>27.4161</c:v>
                </c:pt>
                <c:pt idx="994">
                  <c:v>0.80469999999999997</c:v>
                </c:pt>
                <c:pt idx="995">
                  <c:v>-2.1634000000000002</c:v>
                </c:pt>
                <c:pt idx="996">
                  <c:v>171.9589</c:v>
                </c:pt>
                <c:pt idx="997">
                  <c:v>7.2762000000000002</c:v>
                </c:pt>
                <c:pt idx="998">
                  <c:v>83.46</c:v>
                </c:pt>
                <c:pt idx="999">
                  <c:v>139.81219999999999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3-45AF-B7CB-0FB9024C6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463872"/>
        <c:axId val="563462888"/>
      </c:scatterChart>
      <c:valAx>
        <c:axId val="56346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462888"/>
        <c:crosses val="autoZero"/>
        <c:crossBetween val="midCat"/>
      </c:valAx>
      <c:valAx>
        <c:axId val="5634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46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'Asset or Nothing Call Option'!$R$1</c:f>
              <c:strCache>
                <c:ptCount val="1"/>
                <c:pt idx="0">
                  <c:v>cAN(t)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'Asset or Nothing Call Option'!$Q$2:$Q$1001</c:f>
              <c:numCache>
                <c:formatCode>0.00</c:formatCode>
                <c:ptCount val="1000"/>
                <c:pt idx="0">
                  <c:v>78.589399999999998</c:v>
                </c:pt>
                <c:pt idx="1">
                  <c:v>92.377200000000002</c:v>
                </c:pt>
                <c:pt idx="2">
                  <c:v>169.07560000000001</c:v>
                </c:pt>
                <c:pt idx="3">
                  <c:v>77.093999999999994</c:v>
                </c:pt>
                <c:pt idx="4">
                  <c:v>94.879099999999994</c:v>
                </c:pt>
                <c:pt idx="5">
                  <c:v>133.9563</c:v>
                </c:pt>
                <c:pt idx="6">
                  <c:v>72.2303</c:v>
                </c:pt>
                <c:pt idx="7">
                  <c:v>56.083500000000001</c:v>
                </c:pt>
                <c:pt idx="8">
                  <c:v>64.493200000000002</c:v>
                </c:pt>
                <c:pt idx="9">
                  <c:v>91.530299999999997</c:v>
                </c:pt>
                <c:pt idx="10">
                  <c:v>77.169499999999999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90.763000000000005</c:v>
                </c:pt>
                <c:pt idx="14">
                  <c:v>73.142099999999999</c:v>
                </c:pt>
                <c:pt idx="15">
                  <c:v>100.86409999999999</c:v>
                </c:pt>
                <c:pt idx="16">
                  <c:v>83.646600000000007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70.857900000000001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72.296599999999998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79.515000000000001</c:v>
                </c:pt>
                <c:pt idx="35">
                  <c:v>79.402799999999999</c:v>
                </c:pt>
                <c:pt idx="36">
                  <c:v>108.84229999999999</c:v>
                </c:pt>
                <c:pt idx="37">
                  <c:v>67.859300000000005</c:v>
                </c:pt>
                <c:pt idx="38">
                  <c:v>120.6168</c:v>
                </c:pt>
                <c:pt idx="39">
                  <c:v>51.927100000000003</c:v>
                </c:pt>
                <c:pt idx="40">
                  <c:v>90.278999999999996</c:v>
                </c:pt>
                <c:pt idx="41">
                  <c:v>143.7158</c:v>
                </c:pt>
                <c:pt idx="42">
                  <c:v>112.6417</c:v>
                </c:pt>
                <c:pt idx="43">
                  <c:v>64.528899999999993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91.094899999999996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86.885900000000007</c:v>
                </c:pt>
                <c:pt idx="51">
                  <c:v>69.339699999999993</c:v>
                </c:pt>
                <c:pt idx="52">
                  <c:v>71.402199999999993</c:v>
                </c:pt>
                <c:pt idx="53">
                  <c:v>81.929400000000001</c:v>
                </c:pt>
                <c:pt idx="54">
                  <c:v>110.2734</c:v>
                </c:pt>
                <c:pt idx="55">
                  <c:v>70.046899999999994</c:v>
                </c:pt>
                <c:pt idx="56">
                  <c:v>117.4097</c:v>
                </c:pt>
                <c:pt idx="57">
                  <c:v>82.724299999999999</c:v>
                </c:pt>
                <c:pt idx="58">
                  <c:v>90.621700000000004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86.135800000000003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73.533199999999994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70.035899999999998</c:v>
                </c:pt>
                <c:pt idx="69">
                  <c:v>145.65870000000001</c:v>
                </c:pt>
                <c:pt idx="70">
                  <c:v>79.495000000000005</c:v>
                </c:pt>
                <c:pt idx="71">
                  <c:v>89.553899999999999</c:v>
                </c:pt>
                <c:pt idx="72">
                  <c:v>101.3502</c:v>
                </c:pt>
                <c:pt idx="73">
                  <c:v>94.299300000000002</c:v>
                </c:pt>
                <c:pt idx="74">
                  <c:v>71.534400000000005</c:v>
                </c:pt>
                <c:pt idx="75">
                  <c:v>196.56819999999999</c:v>
                </c:pt>
                <c:pt idx="76">
                  <c:v>96.1785</c:v>
                </c:pt>
                <c:pt idx="77">
                  <c:v>159.8614</c:v>
                </c:pt>
                <c:pt idx="78">
                  <c:v>79.9465</c:v>
                </c:pt>
                <c:pt idx="79">
                  <c:v>110.8716</c:v>
                </c:pt>
                <c:pt idx="80">
                  <c:v>87.653300000000002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99.766599999999997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93.790300000000002</c:v>
                </c:pt>
                <c:pt idx="91">
                  <c:v>134.92910000000001</c:v>
                </c:pt>
                <c:pt idx="92">
                  <c:v>75.308800000000005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89.384699999999995</c:v>
                </c:pt>
                <c:pt idx="96">
                  <c:v>82.407799999999995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99.442599999999999</c:v>
                </c:pt>
                <c:pt idx="100">
                  <c:v>65.859399999999994</c:v>
                </c:pt>
                <c:pt idx="101">
                  <c:v>127.3869</c:v>
                </c:pt>
                <c:pt idx="102">
                  <c:v>74.643600000000006</c:v>
                </c:pt>
                <c:pt idx="103">
                  <c:v>102.2422</c:v>
                </c:pt>
                <c:pt idx="104">
                  <c:v>76.535700000000006</c:v>
                </c:pt>
                <c:pt idx="105">
                  <c:v>108.90470000000001</c:v>
                </c:pt>
                <c:pt idx="106">
                  <c:v>78.556600000000003</c:v>
                </c:pt>
                <c:pt idx="107">
                  <c:v>81.685400000000001</c:v>
                </c:pt>
                <c:pt idx="108">
                  <c:v>75.696799999999996</c:v>
                </c:pt>
                <c:pt idx="109">
                  <c:v>82.570999999999998</c:v>
                </c:pt>
                <c:pt idx="110">
                  <c:v>62.514800000000001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81.607600000000005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77.149500000000003</c:v>
                </c:pt>
                <c:pt idx="118">
                  <c:v>69.350499999999997</c:v>
                </c:pt>
                <c:pt idx="119">
                  <c:v>73.230999999999995</c:v>
                </c:pt>
                <c:pt idx="120">
                  <c:v>114.8745</c:v>
                </c:pt>
                <c:pt idx="121">
                  <c:v>114.8939</c:v>
                </c:pt>
                <c:pt idx="122">
                  <c:v>81.293499999999995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83.7303</c:v>
                </c:pt>
                <c:pt idx="127">
                  <c:v>71.985100000000003</c:v>
                </c:pt>
                <c:pt idx="128">
                  <c:v>74.073999999999998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84.021900000000002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88.171800000000005</c:v>
                </c:pt>
                <c:pt idx="139">
                  <c:v>69.460300000000004</c:v>
                </c:pt>
                <c:pt idx="140">
                  <c:v>58.509300000000003</c:v>
                </c:pt>
                <c:pt idx="141">
                  <c:v>125.2116</c:v>
                </c:pt>
                <c:pt idx="142">
                  <c:v>76.105199999999996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95.381299999999996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98.075999999999993</c:v>
                </c:pt>
                <c:pt idx="153">
                  <c:v>69.544700000000006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73.568399999999997</c:v>
                </c:pt>
                <c:pt idx="158">
                  <c:v>75.186400000000006</c:v>
                </c:pt>
                <c:pt idx="159">
                  <c:v>97.480699999999999</c:v>
                </c:pt>
                <c:pt idx="160">
                  <c:v>99.088399999999993</c:v>
                </c:pt>
                <c:pt idx="161">
                  <c:v>95.641999999999996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90.348600000000005</c:v>
                </c:pt>
                <c:pt idx="167">
                  <c:v>117.9217</c:v>
                </c:pt>
                <c:pt idx="168">
                  <c:v>97.553299999999993</c:v>
                </c:pt>
                <c:pt idx="169">
                  <c:v>90.797499999999999</c:v>
                </c:pt>
                <c:pt idx="170">
                  <c:v>122.5309</c:v>
                </c:pt>
                <c:pt idx="171">
                  <c:v>87.5321</c:v>
                </c:pt>
                <c:pt idx="172">
                  <c:v>83.827200000000005</c:v>
                </c:pt>
                <c:pt idx="173">
                  <c:v>127.3792</c:v>
                </c:pt>
                <c:pt idx="174">
                  <c:v>71.304100000000005</c:v>
                </c:pt>
                <c:pt idx="175">
                  <c:v>95.600300000000004</c:v>
                </c:pt>
                <c:pt idx="176">
                  <c:v>141.2645</c:v>
                </c:pt>
                <c:pt idx="177">
                  <c:v>81.89</c:v>
                </c:pt>
                <c:pt idx="178">
                  <c:v>95.611599999999996</c:v>
                </c:pt>
                <c:pt idx="179">
                  <c:v>99.8523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78.326899999999995</c:v>
                </c:pt>
                <c:pt idx="185">
                  <c:v>71.076999999999998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93.571100000000001</c:v>
                </c:pt>
                <c:pt idx="189">
                  <c:v>56.063200000000002</c:v>
                </c:pt>
                <c:pt idx="190">
                  <c:v>131.9862</c:v>
                </c:pt>
                <c:pt idx="191">
                  <c:v>41.500799999999998</c:v>
                </c:pt>
                <c:pt idx="192">
                  <c:v>109.4092</c:v>
                </c:pt>
                <c:pt idx="193">
                  <c:v>100.9547</c:v>
                </c:pt>
                <c:pt idx="194">
                  <c:v>98.317899999999995</c:v>
                </c:pt>
                <c:pt idx="195">
                  <c:v>116.3783</c:v>
                </c:pt>
                <c:pt idx="196">
                  <c:v>71.898700000000005</c:v>
                </c:pt>
                <c:pt idx="197">
                  <c:v>58.203499999999998</c:v>
                </c:pt>
                <c:pt idx="198">
                  <c:v>86.563999999999993</c:v>
                </c:pt>
                <c:pt idx="199">
                  <c:v>161.45359999999999</c:v>
                </c:pt>
                <c:pt idx="200">
                  <c:v>69.260400000000004</c:v>
                </c:pt>
                <c:pt idx="201">
                  <c:v>79.515699999999995</c:v>
                </c:pt>
                <c:pt idx="202">
                  <c:v>224.876</c:v>
                </c:pt>
                <c:pt idx="203">
                  <c:v>90.320099999999996</c:v>
                </c:pt>
                <c:pt idx="204">
                  <c:v>89.007800000000003</c:v>
                </c:pt>
                <c:pt idx="205">
                  <c:v>100.8552</c:v>
                </c:pt>
                <c:pt idx="206">
                  <c:v>113.9264</c:v>
                </c:pt>
                <c:pt idx="207">
                  <c:v>97.242400000000004</c:v>
                </c:pt>
                <c:pt idx="208">
                  <c:v>79.648300000000006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56.948099999999997</c:v>
                </c:pt>
                <c:pt idx="213">
                  <c:v>144.22219999999999</c:v>
                </c:pt>
                <c:pt idx="214">
                  <c:v>69.971800000000002</c:v>
                </c:pt>
                <c:pt idx="215">
                  <c:v>50.393300000000004</c:v>
                </c:pt>
                <c:pt idx="216">
                  <c:v>66.471500000000006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82.926100000000005</c:v>
                </c:pt>
                <c:pt idx="220">
                  <c:v>91.952200000000005</c:v>
                </c:pt>
                <c:pt idx="221">
                  <c:v>77.956199999999995</c:v>
                </c:pt>
                <c:pt idx="222">
                  <c:v>97.599299999999999</c:v>
                </c:pt>
                <c:pt idx="223">
                  <c:v>74.110200000000006</c:v>
                </c:pt>
                <c:pt idx="224">
                  <c:v>111.64230000000001</c:v>
                </c:pt>
                <c:pt idx="225">
                  <c:v>67.264300000000006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69.850300000000004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74.151700000000005</c:v>
                </c:pt>
                <c:pt idx="233">
                  <c:v>41.369599999999998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94.363900000000001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78.381100000000004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73.026899999999998</c:v>
                </c:pt>
                <c:pt idx="248">
                  <c:v>112.12009999999999</c:v>
                </c:pt>
                <c:pt idx="249">
                  <c:v>100.11199999999999</c:v>
                </c:pt>
                <c:pt idx="250">
                  <c:v>99.668899999999994</c:v>
                </c:pt>
                <c:pt idx="251">
                  <c:v>102.2496</c:v>
                </c:pt>
                <c:pt idx="252">
                  <c:v>81.403899999999993</c:v>
                </c:pt>
                <c:pt idx="253">
                  <c:v>207.8408</c:v>
                </c:pt>
                <c:pt idx="254">
                  <c:v>124.7543</c:v>
                </c:pt>
                <c:pt idx="255">
                  <c:v>88.122799999999998</c:v>
                </c:pt>
                <c:pt idx="256">
                  <c:v>113.6266</c:v>
                </c:pt>
                <c:pt idx="257">
                  <c:v>92.844700000000003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81.802899999999994</c:v>
                </c:pt>
                <c:pt idx="262">
                  <c:v>59.605200000000004</c:v>
                </c:pt>
                <c:pt idx="263">
                  <c:v>95.667400000000001</c:v>
                </c:pt>
                <c:pt idx="264">
                  <c:v>83.794700000000006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60.709600000000002</c:v>
                </c:pt>
                <c:pt idx="268">
                  <c:v>106.31489999999999</c:v>
                </c:pt>
                <c:pt idx="269">
                  <c:v>92.859499999999997</c:v>
                </c:pt>
                <c:pt idx="270">
                  <c:v>178.9699</c:v>
                </c:pt>
                <c:pt idx="271">
                  <c:v>138.5557</c:v>
                </c:pt>
                <c:pt idx="272">
                  <c:v>62.613900000000001</c:v>
                </c:pt>
                <c:pt idx="273">
                  <c:v>90.7393</c:v>
                </c:pt>
                <c:pt idx="274">
                  <c:v>151.1952</c:v>
                </c:pt>
                <c:pt idx="275">
                  <c:v>112.9901</c:v>
                </c:pt>
                <c:pt idx="276">
                  <c:v>87.6327</c:v>
                </c:pt>
                <c:pt idx="277">
                  <c:v>66.144599999999997</c:v>
                </c:pt>
                <c:pt idx="278">
                  <c:v>136.76609999999999</c:v>
                </c:pt>
                <c:pt idx="279">
                  <c:v>50.3108</c:v>
                </c:pt>
                <c:pt idx="280">
                  <c:v>74.007599999999996</c:v>
                </c:pt>
                <c:pt idx="281">
                  <c:v>70.3172</c:v>
                </c:pt>
                <c:pt idx="282">
                  <c:v>72.924599999999998</c:v>
                </c:pt>
                <c:pt idx="283">
                  <c:v>120.42789999999999</c:v>
                </c:pt>
                <c:pt idx="284">
                  <c:v>58.406799999999997</c:v>
                </c:pt>
                <c:pt idx="285">
                  <c:v>87.974800000000002</c:v>
                </c:pt>
                <c:pt idx="286">
                  <c:v>112.3961</c:v>
                </c:pt>
                <c:pt idx="287">
                  <c:v>78.930099999999996</c:v>
                </c:pt>
                <c:pt idx="288">
                  <c:v>64.611999999999995</c:v>
                </c:pt>
                <c:pt idx="289">
                  <c:v>107.8442</c:v>
                </c:pt>
                <c:pt idx="290">
                  <c:v>72.5672</c:v>
                </c:pt>
                <c:pt idx="291">
                  <c:v>139.69810000000001</c:v>
                </c:pt>
                <c:pt idx="292">
                  <c:v>89.284899999999993</c:v>
                </c:pt>
                <c:pt idx="293">
                  <c:v>61.329099999999997</c:v>
                </c:pt>
                <c:pt idx="294">
                  <c:v>73.720600000000005</c:v>
                </c:pt>
                <c:pt idx="295">
                  <c:v>73.860500000000002</c:v>
                </c:pt>
                <c:pt idx="296">
                  <c:v>128.10730000000001</c:v>
                </c:pt>
                <c:pt idx="297">
                  <c:v>85.417500000000004</c:v>
                </c:pt>
                <c:pt idx="298">
                  <c:v>80.427899999999994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86.362700000000004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66.807699999999997</c:v>
                </c:pt>
                <c:pt idx="306">
                  <c:v>124.0968</c:v>
                </c:pt>
                <c:pt idx="307">
                  <c:v>99.782799999999995</c:v>
                </c:pt>
                <c:pt idx="308">
                  <c:v>174.79589999999999</c:v>
                </c:pt>
                <c:pt idx="309">
                  <c:v>98.053100000000001</c:v>
                </c:pt>
                <c:pt idx="310">
                  <c:v>71.720600000000005</c:v>
                </c:pt>
                <c:pt idx="311">
                  <c:v>127.39019999999999</c:v>
                </c:pt>
                <c:pt idx="312">
                  <c:v>84.472399999999993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66.716499999999996</c:v>
                </c:pt>
                <c:pt idx="316">
                  <c:v>76.077799999999996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73.471999999999994</c:v>
                </c:pt>
                <c:pt idx="323">
                  <c:v>129.77269999999999</c:v>
                </c:pt>
                <c:pt idx="324">
                  <c:v>76.733400000000003</c:v>
                </c:pt>
                <c:pt idx="325">
                  <c:v>100.48009999999999</c:v>
                </c:pt>
                <c:pt idx="326">
                  <c:v>97.197800000000001</c:v>
                </c:pt>
                <c:pt idx="327">
                  <c:v>100.87309999999999</c:v>
                </c:pt>
                <c:pt idx="328">
                  <c:v>91.104200000000006</c:v>
                </c:pt>
                <c:pt idx="329">
                  <c:v>59.067</c:v>
                </c:pt>
                <c:pt idx="330">
                  <c:v>83.042900000000003</c:v>
                </c:pt>
                <c:pt idx="331">
                  <c:v>121.80029999999999</c:v>
                </c:pt>
                <c:pt idx="332">
                  <c:v>57.674500000000002</c:v>
                </c:pt>
                <c:pt idx="333">
                  <c:v>66.701599999999999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66.778999999999996</c:v>
                </c:pt>
                <c:pt idx="337">
                  <c:v>96.759600000000006</c:v>
                </c:pt>
                <c:pt idx="338">
                  <c:v>62.647500000000001</c:v>
                </c:pt>
                <c:pt idx="339">
                  <c:v>75.797499999999999</c:v>
                </c:pt>
                <c:pt idx="340">
                  <c:v>147.00200000000001</c:v>
                </c:pt>
                <c:pt idx="341">
                  <c:v>88.860500000000002</c:v>
                </c:pt>
                <c:pt idx="342">
                  <c:v>100.0592</c:v>
                </c:pt>
                <c:pt idx="343">
                  <c:v>96.513800000000003</c:v>
                </c:pt>
                <c:pt idx="344">
                  <c:v>93.793599999999998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81.284400000000005</c:v>
                </c:pt>
                <c:pt idx="348">
                  <c:v>86.134299999999996</c:v>
                </c:pt>
                <c:pt idx="349">
                  <c:v>100.30929999999999</c:v>
                </c:pt>
                <c:pt idx="350">
                  <c:v>75.280600000000007</c:v>
                </c:pt>
                <c:pt idx="351">
                  <c:v>83.287700000000001</c:v>
                </c:pt>
                <c:pt idx="352">
                  <c:v>137.63159999999999</c:v>
                </c:pt>
                <c:pt idx="353">
                  <c:v>91.939300000000003</c:v>
                </c:pt>
                <c:pt idx="354">
                  <c:v>73.013800000000003</c:v>
                </c:pt>
                <c:pt idx="355">
                  <c:v>98.7393</c:v>
                </c:pt>
                <c:pt idx="356">
                  <c:v>114.5966</c:v>
                </c:pt>
                <c:pt idx="357">
                  <c:v>82.987200000000001</c:v>
                </c:pt>
                <c:pt idx="358">
                  <c:v>95.836699999999993</c:v>
                </c:pt>
                <c:pt idx="359">
                  <c:v>105.3274</c:v>
                </c:pt>
                <c:pt idx="360">
                  <c:v>66.857500000000002</c:v>
                </c:pt>
                <c:pt idx="361">
                  <c:v>96.597099999999998</c:v>
                </c:pt>
                <c:pt idx="362">
                  <c:v>111.2129</c:v>
                </c:pt>
                <c:pt idx="363">
                  <c:v>49.368099999999998</c:v>
                </c:pt>
                <c:pt idx="364">
                  <c:v>155.43950000000001</c:v>
                </c:pt>
                <c:pt idx="365">
                  <c:v>87.398200000000003</c:v>
                </c:pt>
                <c:pt idx="366">
                  <c:v>60.416400000000003</c:v>
                </c:pt>
                <c:pt idx="367">
                  <c:v>109.3099</c:v>
                </c:pt>
                <c:pt idx="368">
                  <c:v>119.3515</c:v>
                </c:pt>
                <c:pt idx="369">
                  <c:v>76.900700000000001</c:v>
                </c:pt>
                <c:pt idx="370">
                  <c:v>143.77510000000001</c:v>
                </c:pt>
                <c:pt idx="371">
                  <c:v>88.800899999999999</c:v>
                </c:pt>
                <c:pt idx="372">
                  <c:v>99.890199999999993</c:v>
                </c:pt>
                <c:pt idx="373">
                  <c:v>119.1769</c:v>
                </c:pt>
                <c:pt idx="374">
                  <c:v>86.5321</c:v>
                </c:pt>
                <c:pt idx="375">
                  <c:v>99.0608</c:v>
                </c:pt>
                <c:pt idx="376">
                  <c:v>110.23820000000001</c:v>
                </c:pt>
                <c:pt idx="377">
                  <c:v>62.285800000000002</c:v>
                </c:pt>
                <c:pt idx="378">
                  <c:v>97.153099999999995</c:v>
                </c:pt>
                <c:pt idx="379">
                  <c:v>114.4449</c:v>
                </c:pt>
                <c:pt idx="380">
                  <c:v>84.066699999999997</c:v>
                </c:pt>
                <c:pt idx="381">
                  <c:v>123.8245</c:v>
                </c:pt>
                <c:pt idx="382">
                  <c:v>84.137100000000004</c:v>
                </c:pt>
                <c:pt idx="383">
                  <c:v>91.746600000000001</c:v>
                </c:pt>
                <c:pt idx="384">
                  <c:v>109.1691</c:v>
                </c:pt>
                <c:pt idx="385">
                  <c:v>77.892399999999995</c:v>
                </c:pt>
                <c:pt idx="386">
                  <c:v>87.033000000000001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71.542699999999996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72.531099999999995</c:v>
                </c:pt>
                <c:pt idx="394">
                  <c:v>155.9221</c:v>
                </c:pt>
                <c:pt idx="395">
                  <c:v>84.199700000000007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86.338399999999993</c:v>
                </c:pt>
                <c:pt idx="399">
                  <c:v>82.684600000000003</c:v>
                </c:pt>
                <c:pt idx="400">
                  <c:v>97.389200000000002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54.199800000000003</c:v>
                </c:pt>
                <c:pt idx="405">
                  <c:v>85.654700000000005</c:v>
                </c:pt>
                <c:pt idx="406">
                  <c:v>130.05770000000001</c:v>
                </c:pt>
                <c:pt idx="407">
                  <c:v>92.024199999999993</c:v>
                </c:pt>
                <c:pt idx="408">
                  <c:v>95.750500000000002</c:v>
                </c:pt>
                <c:pt idx="409">
                  <c:v>51.245199999999997</c:v>
                </c:pt>
                <c:pt idx="410">
                  <c:v>70.628699999999995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75.020099999999999</c:v>
                </c:pt>
                <c:pt idx="418">
                  <c:v>91.845200000000006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73.242699999999999</c:v>
                </c:pt>
                <c:pt idx="427">
                  <c:v>67.488699999999994</c:v>
                </c:pt>
                <c:pt idx="428">
                  <c:v>127.15260000000001</c:v>
                </c:pt>
                <c:pt idx="429">
                  <c:v>74.560699999999997</c:v>
                </c:pt>
                <c:pt idx="430">
                  <c:v>71.860299999999995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57.713000000000001</c:v>
                </c:pt>
                <c:pt idx="435">
                  <c:v>119.54689999999999</c:v>
                </c:pt>
                <c:pt idx="436">
                  <c:v>81.215000000000003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74.727999999999994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90.0702</c:v>
                </c:pt>
                <c:pt idx="445">
                  <c:v>89.968699999999998</c:v>
                </c:pt>
                <c:pt idx="446">
                  <c:v>133.5326</c:v>
                </c:pt>
                <c:pt idx="447">
                  <c:v>67.803700000000006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69.797799999999995</c:v>
                </c:pt>
                <c:pt idx="458">
                  <c:v>88.998999999999995</c:v>
                </c:pt>
                <c:pt idx="459">
                  <c:v>79.9619</c:v>
                </c:pt>
                <c:pt idx="460">
                  <c:v>55.566600000000001</c:v>
                </c:pt>
                <c:pt idx="461">
                  <c:v>98.254800000000003</c:v>
                </c:pt>
                <c:pt idx="462">
                  <c:v>97.831400000000002</c:v>
                </c:pt>
                <c:pt idx="463">
                  <c:v>116.1472</c:v>
                </c:pt>
                <c:pt idx="464">
                  <c:v>40.594499999999996</c:v>
                </c:pt>
                <c:pt idx="465">
                  <c:v>73.348699999999994</c:v>
                </c:pt>
                <c:pt idx="466">
                  <c:v>65.918599999999998</c:v>
                </c:pt>
                <c:pt idx="467">
                  <c:v>64.796199999999999</c:v>
                </c:pt>
                <c:pt idx="468">
                  <c:v>99.334400000000002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88.719300000000004</c:v>
                </c:pt>
                <c:pt idx="475">
                  <c:v>103.6763</c:v>
                </c:pt>
                <c:pt idx="476">
                  <c:v>97.650400000000005</c:v>
                </c:pt>
                <c:pt idx="477">
                  <c:v>99.313000000000002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89.633200000000002</c:v>
                </c:pt>
                <c:pt idx="484">
                  <c:v>104.8809</c:v>
                </c:pt>
                <c:pt idx="485">
                  <c:v>53.971400000000003</c:v>
                </c:pt>
                <c:pt idx="486">
                  <c:v>86.795400000000001</c:v>
                </c:pt>
                <c:pt idx="487">
                  <c:v>90.1999</c:v>
                </c:pt>
                <c:pt idx="488">
                  <c:v>43.988300000000002</c:v>
                </c:pt>
                <c:pt idx="489">
                  <c:v>60.852600000000002</c:v>
                </c:pt>
                <c:pt idx="490">
                  <c:v>132.00640000000001</c:v>
                </c:pt>
                <c:pt idx="491">
                  <c:v>86.721299999999999</c:v>
                </c:pt>
                <c:pt idx="492">
                  <c:v>76.553600000000003</c:v>
                </c:pt>
                <c:pt idx="493">
                  <c:v>113.4224</c:v>
                </c:pt>
                <c:pt idx="494">
                  <c:v>74.127099999999999</c:v>
                </c:pt>
                <c:pt idx="495">
                  <c:v>184.44749999999999</c:v>
                </c:pt>
                <c:pt idx="496">
                  <c:v>91.499799999999993</c:v>
                </c:pt>
                <c:pt idx="497">
                  <c:v>173.74619999999999</c:v>
                </c:pt>
                <c:pt idx="498">
                  <c:v>73.3262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96.659800000000004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99.910300000000007</c:v>
                </c:pt>
                <c:pt idx="506">
                  <c:v>93.293999999999997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76.4405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89.660899999999998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86.433199999999999</c:v>
                </c:pt>
                <c:pt idx="520">
                  <c:v>115.7529</c:v>
                </c:pt>
                <c:pt idx="521">
                  <c:v>60.798900000000003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80.784999999999997</c:v>
                </c:pt>
                <c:pt idx="527">
                  <c:v>99.907200000000003</c:v>
                </c:pt>
                <c:pt idx="528">
                  <c:v>97.702600000000004</c:v>
                </c:pt>
                <c:pt idx="529">
                  <c:v>112.11920000000001</c:v>
                </c:pt>
                <c:pt idx="530">
                  <c:v>77.362300000000005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65.698899999999995</c:v>
                </c:pt>
                <c:pt idx="538">
                  <c:v>110.2265</c:v>
                </c:pt>
                <c:pt idx="539">
                  <c:v>99.793300000000002</c:v>
                </c:pt>
                <c:pt idx="540">
                  <c:v>97.526600000000002</c:v>
                </c:pt>
                <c:pt idx="541">
                  <c:v>69.930499999999995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82.602000000000004</c:v>
                </c:pt>
                <c:pt idx="546">
                  <c:v>76.847899999999996</c:v>
                </c:pt>
                <c:pt idx="547">
                  <c:v>161.23740000000001</c:v>
                </c:pt>
                <c:pt idx="548">
                  <c:v>78.704999999999998</c:v>
                </c:pt>
                <c:pt idx="549">
                  <c:v>63.5871</c:v>
                </c:pt>
                <c:pt idx="550">
                  <c:v>76.729600000000005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79.790599999999998</c:v>
                </c:pt>
                <c:pt idx="555">
                  <c:v>100.282</c:v>
                </c:pt>
                <c:pt idx="556">
                  <c:v>92.678299999999993</c:v>
                </c:pt>
                <c:pt idx="557">
                  <c:v>102.6949</c:v>
                </c:pt>
                <c:pt idx="558">
                  <c:v>115.3536</c:v>
                </c:pt>
                <c:pt idx="559">
                  <c:v>79.500500000000002</c:v>
                </c:pt>
                <c:pt idx="560">
                  <c:v>124.8287</c:v>
                </c:pt>
                <c:pt idx="561">
                  <c:v>73.589100000000002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82.351600000000005</c:v>
                </c:pt>
                <c:pt idx="565">
                  <c:v>65.746499999999997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94.295699999999997</c:v>
                </c:pt>
                <c:pt idx="569">
                  <c:v>59.000799999999998</c:v>
                </c:pt>
                <c:pt idx="570">
                  <c:v>86.906000000000006</c:v>
                </c:pt>
                <c:pt idx="571">
                  <c:v>106.4387</c:v>
                </c:pt>
                <c:pt idx="572">
                  <c:v>75.315200000000004</c:v>
                </c:pt>
                <c:pt idx="573">
                  <c:v>109.91759999999999</c:v>
                </c:pt>
                <c:pt idx="574">
                  <c:v>84.245800000000003</c:v>
                </c:pt>
                <c:pt idx="575">
                  <c:v>95.355000000000004</c:v>
                </c:pt>
                <c:pt idx="576">
                  <c:v>82.143799999999999</c:v>
                </c:pt>
                <c:pt idx="577">
                  <c:v>139.9427</c:v>
                </c:pt>
                <c:pt idx="578">
                  <c:v>78.0959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96.423299999999998</c:v>
                </c:pt>
                <c:pt idx="585">
                  <c:v>93.610600000000005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95.692999999999998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85.213099999999997</c:v>
                </c:pt>
                <c:pt idx="594">
                  <c:v>94.686499999999995</c:v>
                </c:pt>
                <c:pt idx="595">
                  <c:v>112.9845</c:v>
                </c:pt>
                <c:pt idx="596">
                  <c:v>77.2376</c:v>
                </c:pt>
                <c:pt idx="597">
                  <c:v>68.248000000000005</c:v>
                </c:pt>
                <c:pt idx="598">
                  <c:v>91.6126</c:v>
                </c:pt>
                <c:pt idx="599">
                  <c:v>81.852800000000002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61.447299999999998</c:v>
                </c:pt>
                <c:pt idx="606">
                  <c:v>128.30029999999999</c:v>
                </c:pt>
                <c:pt idx="607">
                  <c:v>85.870900000000006</c:v>
                </c:pt>
                <c:pt idx="608">
                  <c:v>109.2928</c:v>
                </c:pt>
                <c:pt idx="609">
                  <c:v>91.188800000000001</c:v>
                </c:pt>
                <c:pt idx="610">
                  <c:v>80.141300000000001</c:v>
                </c:pt>
                <c:pt idx="611">
                  <c:v>127.7752</c:v>
                </c:pt>
                <c:pt idx="612">
                  <c:v>83.441900000000004</c:v>
                </c:pt>
                <c:pt idx="613">
                  <c:v>87.950599999999994</c:v>
                </c:pt>
                <c:pt idx="614">
                  <c:v>136.85769999999999</c:v>
                </c:pt>
                <c:pt idx="615">
                  <c:v>95.886499999999998</c:v>
                </c:pt>
                <c:pt idx="616">
                  <c:v>88.446200000000005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66.484399999999994</c:v>
                </c:pt>
                <c:pt idx="621">
                  <c:v>104.569</c:v>
                </c:pt>
                <c:pt idx="622">
                  <c:v>93.180099999999996</c:v>
                </c:pt>
                <c:pt idx="623">
                  <c:v>102.00839999999999</c:v>
                </c:pt>
                <c:pt idx="624">
                  <c:v>81.950100000000006</c:v>
                </c:pt>
                <c:pt idx="625">
                  <c:v>165.37440000000001</c:v>
                </c:pt>
                <c:pt idx="626">
                  <c:v>77.730699999999999</c:v>
                </c:pt>
                <c:pt idx="627">
                  <c:v>89.056299999999993</c:v>
                </c:pt>
                <c:pt idx="628">
                  <c:v>92.738799999999998</c:v>
                </c:pt>
                <c:pt idx="629">
                  <c:v>143.8964</c:v>
                </c:pt>
                <c:pt idx="630">
                  <c:v>87.296400000000006</c:v>
                </c:pt>
                <c:pt idx="631">
                  <c:v>235.17769999999999</c:v>
                </c:pt>
                <c:pt idx="632">
                  <c:v>57.021900000000002</c:v>
                </c:pt>
                <c:pt idx="633">
                  <c:v>72.390900000000002</c:v>
                </c:pt>
                <c:pt idx="634">
                  <c:v>115.4366</c:v>
                </c:pt>
                <c:pt idx="635">
                  <c:v>75.303899999999999</c:v>
                </c:pt>
                <c:pt idx="636">
                  <c:v>94.051400000000001</c:v>
                </c:pt>
                <c:pt idx="637">
                  <c:v>76.026799999999994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88.140100000000004</c:v>
                </c:pt>
                <c:pt idx="641">
                  <c:v>98.306200000000004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69.406300000000002</c:v>
                </c:pt>
                <c:pt idx="647">
                  <c:v>159.13669999999999</c:v>
                </c:pt>
                <c:pt idx="648">
                  <c:v>88.998199999999997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64.048500000000004</c:v>
                </c:pt>
                <c:pt idx="656">
                  <c:v>63.856499999999997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71.257499999999993</c:v>
                </c:pt>
                <c:pt idx="661">
                  <c:v>75.750799999999998</c:v>
                </c:pt>
                <c:pt idx="662">
                  <c:v>153.61699999999999</c:v>
                </c:pt>
                <c:pt idx="663">
                  <c:v>76.414599999999993</c:v>
                </c:pt>
                <c:pt idx="664">
                  <c:v>88.134399999999999</c:v>
                </c:pt>
                <c:pt idx="665">
                  <c:v>94.340699999999998</c:v>
                </c:pt>
                <c:pt idx="666">
                  <c:v>104.5757</c:v>
                </c:pt>
                <c:pt idx="667">
                  <c:v>86.260900000000007</c:v>
                </c:pt>
                <c:pt idx="668">
                  <c:v>173.571</c:v>
                </c:pt>
                <c:pt idx="669">
                  <c:v>80.236900000000006</c:v>
                </c:pt>
                <c:pt idx="670">
                  <c:v>161.7397</c:v>
                </c:pt>
                <c:pt idx="671">
                  <c:v>128.6121</c:v>
                </c:pt>
                <c:pt idx="672">
                  <c:v>78.811099999999996</c:v>
                </c:pt>
                <c:pt idx="673">
                  <c:v>124.4199</c:v>
                </c:pt>
                <c:pt idx="674">
                  <c:v>91.874499999999998</c:v>
                </c:pt>
                <c:pt idx="675">
                  <c:v>116.8023</c:v>
                </c:pt>
                <c:pt idx="676">
                  <c:v>97.101699999999994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85.677999999999997</c:v>
                </c:pt>
                <c:pt idx="680">
                  <c:v>103.3694</c:v>
                </c:pt>
                <c:pt idx="681">
                  <c:v>63.368099999999998</c:v>
                </c:pt>
                <c:pt idx="682">
                  <c:v>164.2148</c:v>
                </c:pt>
                <c:pt idx="683">
                  <c:v>66.032700000000006</c:v>
                </c:pt>
                <c:pt idx="684">
                  <c:v>74.786699999999996</c:v>
                </c:pt>
                <c:pt idx="685">
                  <c:v>143.31880000000001</c:v>
                </c:pt>
                <c:pt idx="686">
                  <c:v>78.0518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84.664599999999993</c:v>
                </c:pt>
                <c:pt idx="691">
                  <c:v>101.0564</c:v>
                </c:pt>
                <c:pt idx="692">
                  <c:v>92.707800000000006</c:v>
                </c:pt>
                <c:pt idx="693">
                  <c:v>162.8201</c:v>
                </c:pt>
                <c:pt idx="694">
                  <c:v>76.981899999999996</c:v>
                </c:pt>
                <c:pt idx="695">
                  <c:v>112.595</c:v>
                </c:pt>
                <c:pt idx="696">
                  <c:v>87.872</c:v>
                </c:pt>
                <c:pt idx="697">
                  <c:v>135.61959999999999</c:v>
                </c:pt>
                <c:pt idx="698">
                  <c:v>95.136700000000005</c:v>
                </c:pt>
                <c:pt idx="699">
                  <c:v>64.903499999999994</c:v>
                </c:pt>
                <c:pt idx="700">
                  <c:v>78.739699999999999</c:v>
                </c:pt>
                <c:pt idx="701">
                  <c:v>100.7</c:v>
                </c:pt>
                <c:pt idx="702">
                  <c:v>75.702100000000002</c:v>
                </c:pt>
                <c:pt idx="703">
                  <c:v>98.638999999999996</c:v>
                </c:pt>
                <c:pt idx="704">
                  <c:v>76.1126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82.183800000000005</c:v>
                </c:pt>
                <c:pt idx="708">
                  <c:v>74.089100000000002</c:v>
                </c:pt>
                <c:pt idx="709">
                  <c:v>66.576400000000007</c:v>
                </c:pt>
                <c:pt idx="710">
                  <c:v>90.19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78.629900000000006</c:v>
                </c:pt>
                <c:pt idx="716">
                  <c:v>105.07040000000001</c:v>
                </c:pt>
                <c:pt idx="717">
                  <c:v>83.644199999999998</c:v>
                </c:pt>
                <c:pt idx="718">
                  <c:v>74.377700000000004</c:v>
                </c:pt>
                <c:pt idx="719">
                  <c:v>94.951099999999997</c:v>
                </c:pt>
                <c:pt idx="720">
                  <c:v>109.2971</c:v>
                </c:pt>
                <c:pt idx="721">
                  <c:v>97.900899999999993</c:v>
                </c:pt>
                <c:pt idx="722">
                  <c:v>116.1161</c:v>
                </c:pt>
                <c:pt idx="723">
                  <c:v>92.399299999999997</c:v>
                </c:pt>
                <c:pt idx="724">
                  <c:v>75.365899999999996</c:v>
                </c:pt>
                <c:pt idx="725">
                  <c:v>76.669600000000003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70.190700000000007</c:v>
                </c:pt>
                <c:pt idx="731">
                  <c:v>71.994</c:v>
                </c:pt>
                <c:pt idx="732">
                  <c:v>75.202100000000002</c:v>
                </c:pt>
                <c:pt idx="733">
                  <c:v>70.148899999999998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56.767899999999997</c:v>
                </c:pt>
                <c:pt idx="739">
                  <c:v>75.978399999999993</c:v>
                </c:pt>
                <c:pt idx="740">
                  <c:v>119.6972</c:v>
                </c:pt>
                <c:pt idx="741">
                  <c:v>82.893500000000003</c:v>
                </c:pt>
                <c:pt idx="742">
                  <c:v>59.430199999999999</c:v>
                </c:pt>
                <c:pt idx="743">
                  <c:v>126.0103</c:v>
                </c:pt>
                <c:pt idx="744">
                  <c:v>79.687700000000007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90.098200000000006</c:v>
                </c:pt>
                <c:pt idx="748">
                  <c:v>91.4345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80.325800000000001</c:v>
                </c:pt>
                <c:pt idx="754">
                  <c:v>63.472200000000001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85.527900000000002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88.854200000000006</c:v>
                </c:pt>
                <c:pt idx="764">
                  <c:v>93.759299999999996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77.171099999999996</c:v>
                </c:pt>
                <c:pt idx="770">
                  <c:v>149.22669999999999</c:v>
                </c:pt>
                <c:pt idx="771">
                  <c:v>81.218800000000002</c:v>
                </c:pt>
                <c:pt idx="772">
                  <c:v>207.41679999999999</c:v>
                </c:pt>
                <c:pt idx="773">
                  <c:v>87.352800000000002</c:v>
                </c:pt>
                <c:pt idx="774">
                  <c:v>89.529899999999998</c:v>
                </c:pt>
                <c:pt idx="775">
                  <c:v>85.046499999999995</c:v>
                </c:pt>
                <c:pt idx="776">
                  <c:v>101.0745</c:v>
                </c:pt>
                <c:pt idx="777">
                  <c:v>79.497799999999998</c:v>
                </c:pt>
                <c:pt idx="778">
                  <c:v>101.89100000000001</c:v>
                </c:pt>
                <c:pt idx="779">
                  <c:v>93.801100000000005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73.022999999999996</c:v>
                </c:pt>
                <c:pt idx="784">
                  <c:v>111.90730000000001</c:v>
                </c:pt>
                <c:pt idx="785">
                  <c:v>71.754099999999994</c:v>
                </c:pt>
                <c:pt idx="786">
                  <c:v>127.6467</c:v>
                </c:pt>
                <c:pt idx="787">
                  <c:v>86.228300000000004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60.1631</c:v>
                </c:pt>
                <c:pt idx="791">
                  <c:v>72.136399999999995</c:v>
                </c:pt>
                <c:pt idx="792">
                  <c:v>97.886600000000001</c:v>
                </c:pt>
                <c:pt idx="793">
                  <c:v>102.37130000000001</c:v>
                </c:pt>
                <c:pt idx="794">
                  <c:v>88.432699999999997</c:v>
                </c:pt>
                <c:pt idx="795">
                  <c:v>113.4186</c:v>
                </c:pt>
                <c:pt idx="796">
                  <c:v>85.992199999999997</c:v>
                </c:pt>
                <c:pt idx="797">
                  <c:v>99.741100000000003</c:v>
                </c:pt>
                <c:pt idx="798">
                  <c:v>88.781099999999995</c:v>
                </c:pt>
                <c:pt idx="799">
                  <c:v>90.605199999999996</c:v>
                </c:pt>
                <c:pt idx="800">
                  <c:v>138.75649999999999</c:v>
                </c:pt>
                <c:pt idx="801">
                  <c:v>87.479799999999997</c:v>
                </c:pt>
                <c:pt idx="802">
                  <c:v>80.887699999999995</c:v>
                </c:pt>
                <c:pt idx="803">
                  <c:v>137.19370000000001</c:v>
                </c:pt>
                <c:pt idx="804">
                  <c:v>59.7699</c:v>
                </c:pt>
                <c:pt idx="805">
                  <c:v>115.82380000000001</c:v>
                </c:pt>
                <c:pt idx="806">
                  <c:v>98.171000000000006</c:v>
                </c:pt>
                <c:pt idx="807">
                  <c:v>76.793099999999995</c:v>
                </c:pt>
                <c:pt idx="808">
                  <c:v>112.0441</c:v>
                </c:pt>
                <c:pt idx="809">
                  <c:v>96.614400000000003</c:v>
                </c:pt>
                <c:pt idx="810">
                  <c:v>60.217599999999997</c:v>
                </c:pt>
                <c:pt idx="811">
                  <c:v>153.8939</c:v>
                </c:pt>
                <c:pt idx="812">
                  <c:v>160.4958</c:v>
                </c:pt>
                <c:pt idx="813">
                  <c:v>86.602900000000005</c:v>
                </c:pt>
                <c:pt idx="814">
                  <c:v>62.3538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81.704700000000003</c:v>
                </c:pt>
                <c:pt idx="820">
                  <c:v>80.186599999999999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80.2804</c:v>
                </c:pt>
                <c:pt idx="825">
                  <c:v>66.698999999999998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95.379199999999997</c:v>
                </c:pt>
                <c:pt idx="831">
                  <c:v>88.963200000000001</c:v>
                </c:pt>
                <c:pt idx="832">
                  <c:v>69.972700000000003</c:v>
                </c:pt>
                <c:pt idx="833">
                  <c:v>124.39100000000001</c:v>
                </c:pt>
                <c:pt idx="834">
                  <c:v>90.379300000000001</c:v>
                </c:pt>
                <c:pt idx="835">
                  <c:v>61.206400000000002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72.7791</c:v>
                </c:pt>
                <c:pt idx="839">
                  <c:v>72.011700000000005</c:v>
                </c:pt>
                <c:pt idx="840">
                  <c:v>145.9075</c:v>
                </c:pt>
                <c:pt idx="841">
                  <c:v>77.0535</c:v>
                </c:pt>
                <c:pt idx="842">
                  <c:v>93.730400000000003</c:v>
                </c:pt>
                <c:pt idx="843">
                  <c:v>162.8552</c:v>
                </c:pt>
                <c:pt idx="844">
                  <c:v>72.593000000000004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98.843400000000003</c:v>
                </c:pt>
                <c:pt idx="852">
                  <c:v>107.6875</c:v>
                </c:pt>
                <c:pt idx="853">
                  <c:v>66.6036</c:v>
                </c:pt>
                <c:pt idx="854">
                  <c:v>195.36099999999999</c:v>
                </c:pt>
                <c:pt idx="855">
                  <c:v>82.928600000000003</c:v>
                </c:pt>
                <c:pt idx="856">
                  <c:v>79.709400000000002</c:v>
                </c:pt>
                <c:pt idx="857">
                  <c:v>91.718599999999995</c:v>
                </c:pt>
                <c:pt idx="858">
                  <c:v>83.821399999999997</c:v>
                </c:pt>
                <c:pt idx="859">
                  <c:v>123.0249</c:v>
                </c:pt>
                <c:pt idx="860">
                  <c:v>118.5188</c:v>
                </c:pt>
                <c:pt idx="861">
                  <c:v>64.0578</c:v>
                </c:pt>
                <c:pt idx="862">
                  <c:v>58.859400000000001</c:v>
                </c:pt>
                <c:pt idx="863">
                  <c:v>91.711399999999998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77.653599999999997</c:v>
                </c:pt>
                <c:pt idx="869">
                  <c:v>99.212699999999998</c:v>
                </c:pt>
                <c:pt idx="870">
                  <c:v>86.038700000000006</c:v>
                </c:pt>
                <c:pt idx="871">
                  <c:v>57.8127</c:v>
                </c:pt>
                <c:pt idx="872">
                  <c:v>61.267899999999997</c:v>
                </c:pt>
                <c:pt idx="873">
                  <c:v>100.431</c:v>
                </c:pt>
                <c:pt idx="874">
                  <c:v>61.410499999999999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95.641599999999997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70.983500000000006</c:v>
                </c:pt>
                <c:pt idx="882">
                  <c:v>49.658000000000001</c:v>
                </c:pt>
                <c:pt idx="883">
                  <c:v>91.572599999999994</c:v>
                </c:pt>
                <c:pt idx="884">
                  <c:v>75.389799999999994</c:v>
                </c:pt>
                <c:pt idx="885">
                  <c:v>101.19110000000001</c:v>
                </c:pt>
                <c:pt idx="886">
                  <c:v>61.947099999999999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69.413200000000003</c:v>
                </c:pt>
                <c:pt idx="890">
                  <c:v>65.543700000000001</c:v>
                </c:pt>
                <c:pt idx="891">
                  <c:v>118.4162</c:v>
                </c:pt>
                <c:pt idx="892">
                  <c:v>103.6491</c:v>
                </c:pt>
                <c:pt idx="893">
                  <c:v>64.267200000000003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71.069999999999993</c:v>
                </c:pt>
                <c:pt idx="898">
                  <c:v>130.84399999999999</c:v>
                </c:pt>
                <c:pt idx="899">
                  <c:v>92.224999999999994</c:v>
                </c:pt>
                <c:pt idx="900">
                  <c:v>79.061599999999999</c:v>
                </c:pt>
                <c:pt idx="901">
                  <c:v>104.1075</c:v>
                </c:pt>
                <c:pt idx="902">
                  <c:v>99.425700000000006</c:v>
                </c:pt>
                <c:pt idx="903">
                  <c:v>71.199700000000007</c:v>
                </c:pt>
                <c:pt idx="904">
                  <c:v>89.467299999999994</c:v>
                </c:pt>
                <c:pt idx="905">
                  <c:v>82.000900000000001</c:v>
                </c:pt>
                <c:pt idx="906">
                  <c:v>85.997100000000003</c:v>
                </c:pt>
                <c:pt idx="907">
                  <c:v>98.722700000000003</c:v>
                </c:pt>
                <c:pt idx="908">
                  <c:v>75.162499999999994</c:v>
                </c:pt>
                <c:pt idx="909">
                  <c:v>108.997</c:v>
                </c:pt>
                <c:pt idx="910">
                  <c:v>86.066400000000002</c:v>
                </c:pt>
                <c:pt idx="911">
                  <c:v>98.756399999999999</c:v>
                </c:pt>
                <c:pt idx="912">
                  <c:v>93.554199999999994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82.9602</c:v>
                </c:pt>
                <c:pt idx="916">
                  <c:v>72.508600000000001</c:v>
                </c:pt>
                <c:pt idx="917">
                  <c:v>132.9691</c:v>
                </c:pt>
                <c:pt idx="918">
                  <c:v>68.381799999999998</c:v>
                </c:pt>
                <c:pt idx="919">
                  <c:v>73.394099999999995</c:v>
                </c:pt>
                <c:pt idx="920">
                  <c:v>92.134799999999998</c:v>
                </c:pt>
                <c:pt idx="921">
                  <c:v>89.898499999999999</c:v>
                </c:pt>
                <c:pt idx="922">
                  <c:v>130.03649999999999</c:v>
                </c:pt>
                <c:pt idx="923">
                  <c:v>87.877700000000004</c:v>
                </c:pt>
                <c:pt idx="924">
                  <c:v>82.846800000000002</c:v>
                </c:pt>
                <c:pt idx="925">
                  <c:v>88.422399999999996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75.786699999999996</c:v>
                </c:pt>
                <c:pt idx="932">
                  <c:v>67.120400000000004</c:v>
                </c:pt>
                <c:pt idx="933">
                  <c:v>60.976799999999997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81.438599999999994</c:v>
                </c:pt>
                <c:pt idx="938">
                  <c:v>88.859399999999994</c:v>
                </c:pt>
                <c:pt idx="939">
                  <c:v>73.334299999999999</c:v>
                </c:pt>
                <c:pt idx="940">
                  <c:v>88.719499999999996</c:v>
                </c:pt>
                <c:pt idx="941">
                  <c:v>163.6482</c:v>
                </c:pt>
                <c:pt idx="942">
                  <c:v>50.221400000000003</c:v>
                </c:pt>
                <c:pt idx="943">
                  <c:v>93.685900000000004</c:v>
                </c:pt>
                <c:pt idx="944">
                  <c:v>54.074100000000001</c:v>
                </c:pt>
                <c:pt idx="945">
                  <c:v>93.277199999999993</c:v>
                </c:pt>
                <c:pt idx="946">
                  <c:v>109.0628</c:v>
                </c:pt>
                <c:pt idx="947">
                  <c:v>94.174400000000006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92.683199999999999</c:v>
                </c:pt>
                <c:pt idx="951">
                  <c:v>81.709699999999998</c:v>
                </c:pt>
                <c:pt idx="952">
                  <c:v>80.438100000000006</c:v>
                </c:pt>
                <c:pt idx="953">
                  <c:v>79.499200000000002</c:v>
                </c:pt>
                <c:pt idx="954">
                  <c:v>86.261099999999999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99.282200000000003</c:v>
                </c:pt>
                <c:pt idx="958">
                  <c:v>118.218</c:v>
                </c:pt>
                <c:pt idx="959">
                  <c:v>92.959299999999999</c:v>
                </c:pt>
                <c:pt idx="960">
                  <c:v>108.9186</c:v>
                </c:pt>
                <c:pt idx="961">
                  <c:v>60.816600000000001</c:v>
                </c:pt>
                <c:pt idx="962">
                  <c:v>86.6023</c:v>
                </c:pt>
                <c:pt idx="963">
                  <c:v>91.376199999999997</c:v>
                </c:pt>
                <c:pt idx="964">
                  <c:v>89.765600000000006</c:v>
                </c:pt>
                <c:pt idx="965">
                  <c:v>111.4491</c:v>
                </c:pt>
                <c:pt idx="966">
                  <c:v>80.743099999999998</c:v>
                </c:pt>
                <c:pt idx="967">
                  <c:v>73.159400000000005</c:v>
                </c:pt>
                <c:pt idx="968">
                  <c:v>176.7784</c:v>
                </c:pt>
                <c:pt idx="969">
                  <c:v>95.773700000000005</c:v>
                </c:pt>
                <c:pt idx="970">
                  <c:v>122.7127</c:v>
                </c:pt>
                <c:pt idx="971">
                  <c:v>71.037999999999997</c:v>
                </c:pt>
                <c:pt idx="972">
                  <c:v>108.8023</c:v>
                </c:pt>
                <c:pt idx="973">
                  <c:v>106.0287</c:v>
                </c:pt>
                <c:pt idx="974">
                  <c:v>80.885599999999997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29.907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86.724599999999995</c:v>
                </c:pt>
                <c:pt idx="984">
                  <c:v>91.236000000000004</c:v>
                </c:pt>
                <c:pt idx="985">
                  <c:v>73.479900000000001</c:v>
                </c:pt>
                <c:pt idx="986">
                  <c:v>107.2128</c:v>
                </c:pt>
                <c:pt idx="987">
                  <c:v>92.698499999999996</c:v>
                </c:pt>
                <c:pt idx="988">
                  <c:v>82.496399999999994</c:v>
                </c:pt>
                <c:pt idx="989">
                  <c:v>149.32050000000001</c:v>
                </c:pt>
                <c:pt idx="990">
                  <c:v>98.299000000000007</c:v>
                </c:pt>
                <c:pt idx="991">
                  <c:v>75.260099999999994</c:v>
                </c:pt>
                <c:pt idx="992">
                  <c:v>67.332400000000007</c:v>
                </c:pt>
                <c:pt idx="993">
                  <c:v>90.301699999999997</c:v>
                </c:pt>
                <c:pt idx="994">
                  <c:v>77.787599999999998</c:v>
                </c:pt>
                <c:pt idx="995">
                  <c:v>74.455799999999996</c:v>
                </c:pt>
                <c:pt idx="996">
                  <c:v>169.77799999999999</c:v>
                </c:pt>
                <c:pt idx="997">
                  <c:v>84.463700000000003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xVal>
          <c:yVal>
            <c:numRef>
              <c:f>'Asset or Nothing Call Option'!$R$2:$R$1001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169.07560000000001</c:v>
                </c:pt>
                <c:pt idx="3">
                  <c:v>0</c:v>
                </c:pt>
                <c:pt idx="4">
                  <c:v>0</c:v>
                </c:pt>
                <c:pt idx="5">
                  <c:v>133.9563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0</c:v>
                </c:pt>
                <c:pt idx="14">
                  <c:v>0</c:v>
                </c:pt>
                <c:pt idx="15">
                  <c:v>100.86409999999999</c:v>
                </c:pt>
                <c:pt idx="16">
                  <c:v>0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0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0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0</c:v>
                </c:pt>
                <c:pt idx="35">
                  <c:v>0</c:v>
                </c:pt>
                <c:pt idx="36">
                  <c:v>108.84229999999999</c:v>
                </c:pt>
                <c:pt idx="37">
                  <c:v>0</c:v>
                </c:pt>
                <c:pt idx="38">
                  <c:v>120.6168</c:v>
                </c:pt>
                <c:pt idx="39">
                  <c:v>0</c:v>
                </c:pt>
                <c:pt idx="40">
                  <c:v>0</c:v>
                </c:pt>
                <c:pt idx="41">
                  <c:v>143.7158</c:v>
                </c:pt>
                <c:pt idx="42">
                  <c:v>112.6417</c:v>
                </c:pt>
                <c:pt idx="43">
                  <c:v>0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0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110.2734</c:v>
                </c:pt>
                <c:pt idx="55">
                  <c:v>0</c:v>
                </c:pt>
                <c:pt idx="56">
                  <c:v>117.4097</c:v>
                </c:pt>
                <c:pt idx="57">
                  <c:v>0</c:v>
                </c:pt>
                <c:pt idx="58">
                  <c:v>0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0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0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0</c:v>
                </c:pt>
                <c:pt idx="69">
                  <c:v>145.65870000000001</c:v>
                </c:pt>
                <c:pt idx="70">
                  <c:v>0</c:v>
                </c:pt>
                <c:pt idx="71">
                  <c:v>0</c:v>
                </c:pt>
                <c:pt idx="72">
                  <c:v>101.3502</c:v>
                </c:pt>
                <c:pt idx="73">
                  <c:v>0</c:v>
                </c:pt>
                <c:pt idx="74">
                  <c:v>0</c:v>
                </c:pt>
                <c:pt idx="75">
                  <c:v>196.56819999999999</c:v>
                </c:pt>
                <c:pt idx="76">
                  <c:v>0</c:v>
                </c:pt>
                <c:pt idx="77">
                  <c:v>159.8614</c:v>
                </c:pt>
                <c:pt idx="78">
                  <c:v>0</c:v>
                </c:pt>
                <c:pt idx="79">
                  <c:v>110.8716</c:v>
                </c:pt>
                <c:pt idx="80">
                  <c:v>0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0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0</c:v>
                </c:pt>
                <c:pt idx="91">
                  <c:v>134.92910000000001</c:v>
                </c:pt>
                <c:pt idx="92">
                  <c:v>0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0</c:v>
                </c:pt>
                <c:pt idx="96">
                  <c:v>0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0</c:v>
                </c:pt>
                <c:pt idx="100">
                  <c:v>0</c:v>
                </c:pt>
                <c:pt idx="101">
                  <c:v>127.3869</c:v>
                </c:pt>
                <c:pt idx="102">
                  <c:v>0</c:v>
                </c:pt>
                <c:pt idx="103">
                  <c:v>102.2422</c:v>
                </c:pt>
                <c:pt idx="104">
                  <c:v>0</c:v>
                </c:pt>
                <c:pt idx="105">
                  <c:v>108.90470000000001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0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114.8745</c:v>
                </c:pt>
                <c:pt idx="121">
                  <c:v>114.8939</c:v>
                </c:pt>
                <c:pt idx="122">
                  <c:v>0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0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125.2116</c:v>
                </c:pt>
                <c:pt idx="142">
                  <c:v>0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0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0</c:v>
                </c:pt>
                <c:pt idx="153">
                  <c:v>0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0</c:v>
                </c:pt>
                <c:pt idx="167">
                  <c:v>117.9217</c:v>
                </c:pt>
                <c:pt idx="168">
                  <c:v>0</c:v>
                </c:pt>
                <c:pt idx="169">
                  <c:v>0</c:v>
                </c:pt>
                <c:pt idx="170">
                  <c:v>122.5309</c:v>
                </c:pt>
                <c:pt idx="171">
                  <c:v>0</c:v>
                </c:pt>
                <c:pt idx="172">
                  <c:v>0</c:v>
                </c:pt>
                <c:pt idx="173">
                  <c:v>127.3792</c:v>
                </c:pt>
                <c:pt idx="174">
                  <c:v>0</c:v>
                </c:pt>
                <c:pt idx="175">
                  <c:v>0</c:v>
                </c:pt>
                <c:pt idx="176">
                  <c:v>141.2645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0</c:v>
                </c:pt>
                <c:pt idx="185">
                  <c:v>0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0</c:v>
                </c:pt>
                <c:pt idx="189">
                  <c:v>0</c:v>
                </c:pt>
                <c:pt idx="190">
                  <c:v>131.9862</c:v>
                </c:pt>
                <c:pt idx="191">
                  <c:v>0</c:v>
                </c:pt>
                <c:pt idx="192">
                  <c:v>109.4092</c:v>
                </c:pt>
                <c:pt idx="193">
                  <c:v>100.9547</c:v>
                </c:pt>
                <c:pt idx="194">
                  <c:v>0</c:v>
                </c:pt>
                <c:pt idx="195">
                  <c:v>116.3783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161.45359999999999</c:v>
                </c:pt>
                <c:pt idx="200">
                  <c:v>0</c:v>
                </c:pt>
                <c:pt idx="201">
                  <c:v>0</c:v>
                </c:pt>
                <c:pt idx="202">
                  <c:v>224.876</c:v>
                </c:pt>
                <c:pt idx="203">
                  <c:v>0</c:v>
                </c:pt>
                <c:pt idx="204">
                  <c:v>0</c:v>
                </c:pt>
                <c:pt idx="205">
                  <c:v>100.8552</c:v>
                </c:pt>
                <c:pt idx="206">
                  <c:v>113.9264</c:v>
                </c:pt>
                <c:pt idx="207">
                  <c:v>0</c:v>
                </c:pt>
                <c:pt idx="208">
                  <c:v>0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0</c:v>
                </c:pt>
                <c:pt idx="213">
                  <c:v>144.22219999999999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111.64230000000001</c:v>
                </c:pt>
                <c:pt idx="225">
                  <c:v>0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0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0</c:v>
                </c:pt>
                <c:pt idx="233">
                  <c:v>0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0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0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0</c:v>
                </c:pt>
                <c:pt idx="248">
                  <c:v>112.12009999999999</c:v>
                </c:pt>
                <c:pt idx="249">
                  <c:v>100.1026</c:v>
                </c:pt>
                <c:pt idx="250">
                  <c:v>0</c:v>
                </c:pt>
                <c:pt idx="251">
                  <c:v>102.2496</c:v>
                </c:pt>
                <c:pt idx="252">
                  <c:v>0</c:v>
                </c:pt>
                <c:pt idx="253">
                  <c:v>207.8408</c:v>
                </c:pt>
                <c:pt idx="254">
                  <c:v>124.7543</c:v>
                </c:pt>
                <c:pt idx="255">
                  <c:v>0</c:v>
                </c:pt>
                <c:pt idx="256">
                  <c:v>113.6266</c:v>
                </c:pt>
                <c:pt idx="257">
                  <c:v>0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0</c:v>
                </c:pt>
                <c:pt idx="268">
                  <c:v>106.31489999999999</c:v>
                </c:pt>
                <c:pt idx="269">
                  <c:v>0</c:v>
                </c:pt>
                <c:pt idx="270">
                  <c:v>178.9699</c:v>
                </c:pt>
                <c:pt idx="271">
                  <c:v>138.5557</c:v>
                </c:pt>
                <c:pt idx="272">
                  <c:v>0</c:v>
                </c:pt>
                <c:pt idx="273">
                  <c:v>0</c:v>
                </c:pt>
                <c:pt idx="274">
                  <c:v>151.1952</c:v>
                </c:pt>
                <c:pt idx="275">
                  <c:v>112.9901</c:v>
                </c:pt>
                <c:pt idx="276">
                  <c:v>0</c:v>
                </c:pt>
                <c:pt idx="277">
                  <c:v>0</c:v>
                </c:pt>
                <c:pt idx="278">
                  <c:v>136.76609999999999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120.42789999999999</c:v>
                </c:pt>
                <c:pt idx="284">
                  <c:v>0</c:v>
                </c:pt>
                <c:pt idx="285">
                  <c:v>0</c:v>
                </c:pt>
                <c:pt idx="286">
                  <c:v>112.3961</c:v>
                </c:pt>
                <c:pt idx="287">
                  <c:v>0</c:v>
                </c:pt>
                <c:pt idx="288">
                  <c:v>0</c:v>
                </c:pt>
                <c:pt idx="289">
                  <c:v>107.8442</c:v>
                </c:pt>
                <c:pt idx="290">
                  <c:v>0</c:v>
                </c:pt>
                <c:pt idx="291">
                  <c:v>139.69810000000001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128.10730000000001</c:v>
                </c:pt>
                <c:pt idx="297">
                  <c:v>0</c:v>
                </c:pt>
                <c:pt idx="298">
                  <c:v>0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0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0</c:v>
                </c:pt>
                <c:pt idx="306">
                  <c:v>124.0968</c:v>
                </c:pt>
                <c:pt idx="307">
                  <c:v>0</c:v>
                </c:pt>
                <c:pt idx="308">
                  <c:v>174.79589999999999</c:v>
                </c:pt>
                <c:pt idx="309">
                  <c:v>0</c:v>
                </c:pt>
                <c:pt idx="310">
                  <c:v>0</c:v>
                </c:pt>
                <c:pt idx="311">
                  <c:v>127.39019999999999</c:v>
                </c:pt>
                <c:pt idx="312">
                  <c:v>0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0</c:v>
                </c:pt>
                <c:pt idx="316">
                  <c:v>0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0</c:v>
                </c:pt>
                <c:pt idx="323">
                  <c:v>129.77269999999999</c:v>
                </c:pt>
                <c:pt idx="324">
                  <c:v>0</c:v>
                </c:pt>
                <c:pt idx="325">
                  <c:v>100.48009999999999</c:v>
                </c:pt>
                <c:pt idx="326">
                  <c:v>0</c:v>
                </c:pt>
                <c:pt idx="327">
                  <c:v>100.87309999999999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121.80029999999999</c:v>
                </c:pt>
                <c:pt idx="332">
                  <c:v>0</c:v>
                </c:pt>
                <c:pt idx="333">
                  <c:v>0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147.00200000000001</c:v>
                </c:pt>
                <c:pt idx="341">
                  <c:v>0</c:v>
                </c:pt>
                <c:pt idx="342">
                  <c:v>97.630700000000004</c:v>
                </c:pt>
                <c:pt idx="343">
                  <c:v>0</c:v>
                </c:pt>
                <c:pt idx="344">
                  <c:v>0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0</c:v>
                </c:pt>
                <c:pt idx="348">
                  <c:v>0</c:v>
                </c:pt>
                <c:pt idx="349">
                  <c:v>100.30929999999999</c:v>
                </c:pt>
                <c:pt idx="350">
                  <c:v>0</c:v>
                </c:pt>
                <c:pt idx="351">
                  <c:v>0</c:v>
                </c:pt>
                <c:pt idx="352">
                  <c:v>137.63159999999999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114.5966</c:v>
                </c:pt>
                <c:pt idx="357">
                  <c:v>0</c:v>
                </c:pt>
                <c:pt idx="358">
                  <c:v>0</c:v>
                </c:pt>
                <c:pt idx="359">
                  <c:v>105.3274</c:v>
                </c:pt>
                <c:pt idx="360">
                  <c:v>0</c:v>
                </c:pt>
                <c:pt idx="361">
                  <c:v>0</c:v>
                </c:pt>
                <c:pt idx="362">
                  <c:v>111.2129</c:v>
                </c:pt>
                <c:pt idx="363">
                  <c:v>0</c:v>
                </c:pt>
                <c:pt idx="364">
                  <c:v>155.43950000000001</c:v>
                </c:pt>
                <c:pt idx="365">
                  <c:v>0</c:v>
                </c:pt>
                <c:pt idx="366">
                  <c:v>0</c:v>
                </c:pt>
                <c:pt idx="367">
                  <c:v>109.3099</c:v>
                </c:pt>
                <c:pt idx="368">
                  <c:v>119.3515</c:v>
                </c:pt>
                <c:pt idx="369">
                  <c:v>0</c:v>
                </c:pt>
                <c:pt idx="370">
                  <c:v>143.77510000000001</c:v>
                </c:pt>
                <c:pt idx="371">
                  <c:v>0</c:v>
                </c:pt>
                <c:pt idx="372">
                  <c:v>1.2500000000000001E-2</c:v>
                </c:pt>
                <c:pt idx="373">
                  <c:v>119.1769</c:v>
                </c:pt>
                <c:pt idx="374">
                  <c:v>0</c:v>
                </c:pt>
                <c:pt idx="375">
                  <c:v>0</c:v>
                </c:pt>
                <c:pt idx="376">
                  <c:v>110.23820000000001</c:v>
                </c:pt>
                <c:pt idx="377">
                  <c:v>0</c:v>
                </c:pt>
                <c:pt idx="378">
                  <c:v>0</c:v>
                </c:pt>
                <c:pt idx="379">
                  <c:v>114.4449</c:v>
                </c:pt>
                <c:pt idx="380">
                  <c:v>0</c:v>
                </c:pt>
                <c:pt idx="381">
                  <c:v>123.8245</c:v>
                </c:pt>
                <c:pt idx="382">
                  <c:v>0</c:v>
                </c:pt>
                <c:pt idx="383">
                  <c:v>0</c:v>
                </c:pt>
                <c:pt idx="384">
                  <c:v>109.1691</c:v>
                </c:pt>
                <c:pt idx="385">
                  <c:v>0</c:v>
                </c:pt>
                <c:pt idx="386">
                  <c:v>0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0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0</c:v>
                </c:pt>
                <c:pt idx="394">
                  <c:v>155.9221</c:v>
                </c:pt>
                <c:pt idx="395">
                  <c:v>0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0</c:v>
                </c:pt>
                <c:pt idx="405">
                  <c:v>0</c:v>
                </c:pt>
                <c:pt idx="406">
                  <c:v>130.05770000000001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0</c:v>
                </c:pt>
                <c:pt idx="418">
                  <c:v>0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0</c:v>
                </c:pt>
                <c:pt idx="427">
                  <c:v>0</c:v>
                </c:pt>
                <c:pt idx="428">
                  <c:v>127.15260000000001</c:v>
                </c:pt>
                <c:pt idx="429">
                  <c:v>0</c:v>
                </c:pt>
                <c:pt idx="430">
                  <c:v>0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0</c:v>
                </c:pt>
                <c:pt idx="435">
                  <c:v>119.54689999999999</c:v>
                </c:pt>
                <c:pt idx="436">
                  <c:v>0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0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0</c:v>
                </c:pt>
                <c:pt idx="445">
                  <c:v>0</c:v>
                </c:pt>
                <c:pt idx="446">
                  <c:v>133.5326</c:v>
                </c:pt>
                <c:pt idx="447">
                  <c:v>0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116.1472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0</c:v>
                </c:pt>
                <c:pt idx="475">
                  <c:v>103.6763</c:v>
                </c:pt>
                <c:pt idx="476">
                  <c:v>0</c:v>
                </c:pt>
                <c:pt idx="477">
                  <c:v>0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0</c:v>
                </c:pt>
                <c:pt idx="484">
                  <c:v>104.8809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132.00640000000001</c:v>
                </c:pt>
                <c:pt idx="491">
                  <c:v>0</c:v>
                </c:pt>
                <c:pt idx="492">
                  <c:v>0</c:v>
                </c:pt>
                <c:pt idx="493">
                  <c:v>113.4224</c:v>
                </c:pt>
                <c:pt idx="494">
                  <c:v>0</c:v>
                </c:pt>
                <c:pt idx="495">
                  <c:v>184.44749999999999</c:v>
                </c:pt>
                <c:pt idx="496">
                  <c:v>0</c:v>
                </c:pt>
                <c:pt idx="497">
                  <c:v>173.74619999999999</c:v>
                </c:pt>
                <c:pt idx="498">
                  <c:v>0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0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0.13819999999999999</c:v>
                </c:pt>
                <c:pt idx="506">
                  <c:v>0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0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0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0</c:v>
                </c:pt>
                <c:pt idx="520">
                  <c:v>115.7529</c:v>
                </c:pt>
                <c:pt idx="521">
                  <c:v>0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0</c:v>
                </c:pt>
                <c:pt idx="527">
                  <c:v>9.9000000000000005E-2</c:v>
                </c:pt>
                <c:pt idx="528">
                  <c:v>0</c:v>
                </c:pt>
                <c:pt idx="529">
                  <c:v>112.11920000000001</c:v>
                </c:pt>
                <c:pt idx="530">
                  <c:v>0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0</c:v>
                </c:pt>
                <c:pt idx="538">
                  <c:v>110.2265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0</c:v>
                </c:pt>
                <c:pt idx="546">
                  <c:v>0</c:v>
                </c:pt>
                <c:pt idx="547">
                  <c:v>161.23740000000001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0</c:v>
                </c:pt>
                <c:pt idx="555">
                  <c:v>100.282</c:v>
                </c:pt>
                <c:pt idx="556">
                  <c:v>0</c:v>
                </c:pt>
                <c:pt idx="557">
                  <c:v>102.6949</c:v>
                </c:pt>
                <c:pt idx="558">
                  <c:v>115.3536</c:v>
                </c:pt>
                <c:pt idx="559">
                  <c:v>0</c:v>
                </c:pt>
                <c:pt idx="560">
                  <c:v>124.8287</c:v>
                </c:pt>
                <c:pt idx="561">
                  <c:v>0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0</c:v>
                </c:pt>
                <c:pt idx="565">
                  <c:v>0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106.4387</c:v>
                </c:pt>
                <c:pt idx="572">
                  <c:v>0</c:v>
                </c:pt>
                <c:pt idx="573">
                  <c:v>109.91759999999999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139.9427</c:v>
                </c:pt>
                <c:pt idx="578">
                  <c:v>0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0</c:v>
                </c:pt>
                <c:pt idx="585">
                  <c:v>0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0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0</c:v>
                </c:pt>
                <c:pt idx="594">
                  <c:v>0</c:v>
                </c:pt>
                <c:pt idx="595">
                  <c:v>112.9845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0</c:v>
                </c:pt>
                <c:pt idx="606">
                  <c:v>128.30029999999999</c:v>
                </c:pt>
                <c:pt idx="607">
                  <c:v>0</c:v>
                </c:pt>
                <c:pt idx="608">
                  <c:v>109.2928</c:v>
                </c:pt>
                <c:pt idx="609">
                  <c:v>0</c:v>
                </c:pt>
                <c:pt idx="610">
                  <c:v>0</c:v>
                </c:pt>
                <c:pt idx="611">
                  <c:v>127.7752</c:v>
                </c:pt>
                <c:pt idx="612">
                  <c:v>0</c:v>
                </c:pt>
                <c:pt idx="613">
                  <c:v>0</c:v>
                </c:pt>
                <c:pt idx="614">
                  <c:v>136.85769999999999</c:v>
                </c:pt>
                <c:pt idx="615">
                  <c:v>0</c:v>
                </c:pt>
                <c:pt idx="616">
                  <c:v>0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0</c:v>
                </c:pt>
                <c:pt idx="621">
                  <c:v>104.569</c:v>
                </c:pt>
                <c:pt idx="622">
                  <c:v>0</c:v>
                </c:pt>
                <c:pt idx="623">
                  <c:v>102.00839999999999</c:v>
                </c:pt>
                <c:pt idx="624">
                  <c:v>0</c:v>
                </c:pt>
                <c:pt idx="625">
                  <c:v>165.37440000000001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143.8964</c:v>
                </c:pt>
                <c:pt idx="630">
                  <c:v>0</c:v>
                </c:pt>
                <c:pt idx="631">
                  <c:v>235.17769999999999</c:v>
                </c:pt>
                <c:pt idx="632">
                  <c:v>0</c:v>
                </c:pt>
                <c:pt idx="633">
                  <c:v>0</c:v>
                </c:pt>
                <c:pt idx="634">
                  <c:v>115.4366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0</c:v>
                </c:pt>
                <c:pt idx="641">
                  <c:v>0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0</c:v>
                </c:pt>
                <c:pt idx="647">
                  <c:v>159.13669999999999</c:v>
                </c:pt>
                <c:pt idx="648">
                  <c:v>0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0</c:v>
                </c:pt>
                <c:pt idx="656">
                  <c:v>0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0</c:v>
                </c:pt>
                <c:pt idx="661">
                  <c:v>0</c:v>
                </c:pt>
                <c:pt idx="662">
                  <c:v>153.61699999999999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104.5757</c:v>
                </c:pt>
                <c:pt idx="667">
                  <c:v>0</c:v>
                </c:pt>
                <c:pt idx="668">
                  <c:v>173.571</c:v>
                </c:pt>
                <c:pt idx="669">
                  <c:v>0</c:v>
                </c:pt>
                <c:pt idx="670">
                  <c:v>161.7397</c:v>
                </c:pt>
                <c:pt idx="671">
                  <c:v>128.6121</c:v>
                </c:pt>
                <c:pt idx="672">
                  <c:v>0</c:v>
                </c:pt>
                <c:pt idx="673">
                  <c:v>124.4199</c:v>
                </c:pt>
                <c:pt idx="674">
                  <c:v>0</c:v>
                </c:pt>
                <c:pt idx="675">
                  <c:v>116.8023</c:v>
                </c:pt>
                <c:pt idx="676">
                  <c:v>0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0</c:v>
                </c:pt>
                <c:pt idx="680">
                  <c:v>103.3694</c:v>
                </c:pt>
                <c:pt idx="681">
                  <c:v>0</c:v>
                </c:pt>
                <c:pt idx="682">
                  <c:v>164.2148</c:v>
                </c:pt>
                <c:pt idx="683">
                  <c:v>0</c:v>
                </c:pt>
                <c:pt idx="684">
                  <c:v>0</c:v>
                </c:pt>
                <c:pt idx="685">
                  <c:v>143.31880000000001</c:v>
                </c:pt>
                <c:pt idx="686">
                  <c:v>0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0</c:v>
                </c:pt>
                <c:pt idx="691">
                  <c:v>101.0564</c:v>
                </c:pt>
                <c:pt idx="692">
                  <c:v>0</c:v>
                </c:pt>
                <c:pt idx="693">
                  <c:v>162.8201</c:v>
                </c:pt>
                <c:pt idx="694">
                  <c:v>0</c:v>
                </c:pt>
                <c:pt idx="695">
                  <c:v>112.595</c:v>
                </c:pt>
                <c:pt idx="696">
                  <c:v>0</c:v>
                </c:pt>
                <c:pt idx="697">
                  <c:v>135.61959999999999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100.7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0</c:v>
                </c:pt>
                <c:pt idx="716">
                  <c:v>105.07040000000001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109.2971</c:v>
                </c:pt>
                <c:pt idx="721">
                  <c:v>0</c:v>
                </c:pt>
                <c:pt idx="722">
                  <c:v>116.1161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0</c:v>
                </c:pt>
                <c:pt idx="739">
                  <c:v>0</c:v>
                </c:pt>
                <c:pt idx="740">
                  <c:v>119.6972</c:v>
                </c:pt>
                <c:pt idx="741">
                  <c:v>0</c:v>
                </c:pt>
                <c:pt idx="742">
                  <c:v>0</c:v>
                </c:pt>
                <c:pt idx="743">
                  <c:v>126.0103</c:v>
                </c:pt>
                <c:pt idx="744">
                  <c:v>0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0</c:v>
                </c:pt>
                <c:pt idx="748">
                  <c:v>0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0</c:v>
                </c:pt>
                <c:pt idx="754">
                  <c:v>0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0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0</c:v>
                </c:pt>
                <c:pt idx="764">
                  <c:v>0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0</c:v>
                </c:pt>
                <c:pt idx="770">
                  <c:v>149.22669999999999</c:v>
                </c:pt>
                <c:pt idx="771">
                  <c:v>0</c:v>
                </c:pt>
                <c:pt idx="772">
                  <c:v>207.41679999999999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101.0745</c:v>
                </c:pt>
                <c:pt idx="777">
                  <c:v>0</c:v>
                </c:pt>
                <c:pt idx="778">
                  <c:v>101.89100000000001</c:v>
                </c:pt>
                <c:pt idx="779">
                  <c:v>0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0</c:v>
                </c:pt>
                <c:pt idx="784">
                  <c:v>111.90730000000001</c:v>
                </c:pt>
                <c:pt idx="785">
                  <c:v>0</c:v>
                </c:pt>
                <c:pt idx="786">
                  <c:v>127.6467</c:v>
                </c:pt>
                <c:pt idx="787">
                  <c:v>0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102.37130000000001</c:v>
                </c:pt>
                <c:pt idx="794">
                  <c:v>0</c:v>
                </c:pt>
                <c:pt idx="795">
                  <c:v>113.4186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138.75649999999999</c:v>
                </c:pt>
                <c:pt idx="801">
                  <c:v>0</c:v>
                </c:pt>
                <c:pt idx="802">
                  <c:v>0</c:v>
                </c:pt>
                <c:pt idx="803">
                  <c:v>137.19370000000001</c:v>
                </c:pt>
                <c:pt idx="804">
                  <c:v>0</c:v>
                </c:pt>
                <c:pt idx="805">
                  <c:v>115.82380000000001</c:v>
                </c:pt>
                <c:pt idx="806">
                  <c:v>0</c:v>
                </c:pt>
                <c:pt idx="807">
                  <c:v>0</c:v>
                </c:pt>
                <c:pt idx="808">
                  <c:v>112.0441</c:v>
                </c:pt>
                <c:pt idx="809">
                  <c:v>0</c:v>
                </c:pt>
                <c:pt idx="810">
                  <c:v>0</c:v>
                </c:pt>
                <c:pt idx="811">
                  <c:v>153.8939</c:v>
                </c:pt>
                <c:pt idx="812">
                  <c:v>160.4958</c:v>
                </c:pt>
                <c:pt idx="813">
                  <c:v>0</c:v>
                </c:pt>
                <c:pt idx="814">
                  <c:v>0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0</c:v>
                </c:pt>
                <c:pt idx="820">
                  <c:v>0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0</c:v>
                </c:pt>
                <c:pt idx="825">
                  <c:v>0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124.39100000000001</c:v>
                </c:pt>
                <c:pt idx="834">
                  <c:v>0</c:v>
                </c:pt>
                <c:pt idx="835">
                  <c:v>0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0</c:v>
                </c:pt>
                <c:pt idx="839">
                  <c:v>0</c:v>
                </c:pt>
                <c:pt idx="840">
                  <c:v>145.9075</c:v>
                </c:pt>
                <c:pt idx="841">
                  <c:v>0</c:v>
                </c:pt>
                <c:pt idx="842">
                  <c:v>0</c:v>
                </c:pt>
                <c:pt idx="843">
                  <c:v>162.8552</c:v>
                </c:pt>
                <c:pt idx="844">
                  <c:v>0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0</c:v>
                </c:pt>
                <c:pt idx="852">
                  <c:v>107.6875</c:v>
                </c:pt>
                <c:pt idx="853">
                  <c:v>0</c:v>
                </c:pt>
                <c:pt idx="854">
                  <c:v>195.36099999999999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123.0249</c:v>
                </c:pt>
                <c:pt idx="860">
                  <c:v>118.5188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100.431</c:v>
                </c:pt>
                <c:pt idx="874">
                  <c:v>0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0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101.19110000000001</c:v>
                </c:pt>
                <c:pt idx="886">
                  <c:v>0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0</c:v>
                </c:pt>
                <c:pt idx="890">
                  <c:v>0</c:v>
                </c:pt>
                <c:pt idx="891">
                  <c:v>118.4162</c:v>
                </c:pt>
                <c:pt idx="892">
                  <c:v>103.6491</c:v>
                </c:pt>
                <c:pt idx="893">
                  <c:v>0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0</c:v>
                </c:pt>
                <c:pt idx="898">
                  <c:v>130.84399999999999</c:v>
                </c:pt>
                <c:pt idx="899">
                  <c:v>0</c:v>
                </c:pt>
                <c:pt idx="900">
                  <c:v>0</c:v>
                </c:pt>
                <c:pt idx="901">
                  <c:v>104.1075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108.997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0</c:v>
                </c:pt>
                <c:pt idx="916">
                  <c:v>0</c:v>
                </c:pt>
                <c:pt idx="917">
                  <c:v>132.9691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130.03649999999999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163.6482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109.0628</c:v>
                </c:pt>
                <c:pt idx="947">
                  <c:v>0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0</c:v>
                </c:pt>
                <c:pt idx="958">
                  <c:v>118.218</c:v>
                </c:pt>
                <c:pt idx="959">
                  <c:v>0</c:v>
                </c:pt>
                <c:pt idx="960">
                  <c:v>108.9186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111.4491</c:v>
                </c:pt>
                <c:pt idx="966">
                  <c:v>0</c:v>
                </c:pt>
                <c:pt idx="967">
                  <c:v>0</c:v>
                </c:pt>
                <c:pt idx="968">
                  <c:v>176.7784</c:v>
                </c:pt>
                <c:pt idx="969">
                  <c:v>0</c:v>
                </c:pt>
                <c:pt idx="970">
                  <c:v>122.7127</c:v>
                </c:pt>
                <c:pt idx="971">
                  <c:v>0</c:v>
                </c:pt>
                <c:pt idx="972">
                  <c:v>108.8023</c:v>
                </c:pt>
                <c:pt idx="973">
                  <c:v>106.0287</c:v>
                </c:pt>
                <c:pt idx="974">
                  <c:v>0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0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107.2128</c:v>
                </c:pt>
                <c:pt idx="987">
                  <c:v>0</c:v>
                </c:pt>
                <c:pt idx="988">
                  <c:v>0</c:v>
                </c:pt>
                <c:pt idx="989">
                  <c:v>149.32050000000001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169.77799999999999</c:v>
                </c:pt>
                <c:pt idx="997">
                  <c:v>0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99-8F36-F7A5A7679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418320"/>
        <c:axId val="562417992"/>
      </c:scatterChart>
      <c:valAx>
        <c:axId val="56241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17992"/>
        <c:crosses val="autoZero"/>
        <c:crossBetween val="midCat"/>
      </c:valAx>
      <c:valAx>
        <c:axId val="56241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1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'Asset or Nothing Call Option'!$S$1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'Asset or Nothing Call Option'!$Q$2:$Q$1001</c:f>
              <c:numCache>
                <c:formatCode>0.00</c:formatCode>
                <c:ptCount val="1000"/>
                <c:pt idx="0">
                  <c:v>78.589399999999998</c:v>
                </c:pt>
                <c:pt idx="1">
                  <c:v>92.377200000000002</c:v>
                </c:pt>
                <c:pt idx="2">
                  <c:v>169.07560000000001</c:v>
                </c:pt>
                <c:pt idx="3">
                  <c:v>77.093999999999994</c:v>
                </c:pt>
                <c:pt idx="4">
                  <c:v>94.879099999999994</c:v>
                </c:pt>
                <c:pt idx="5">
                  <c:v>133.9563</c:v>
                </c:pt>
                <c:pt idx="6">
                  <c:v>72.2303</c:v>
                </c:pt>
                <c:pt idx="7">
                  <c:v>56.083500000000001</c:v>
                </c:pt>
                <c:pt idx="8">
                  <c:v>64.493200000000002</c:v>
                </c:pt>
                <c:pt idx="9">
                  <c:v>91.530299999999997</c:v>
                </c:pt>
                <c:pt idx="10">
                  <c:v>77.169499999999999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90.763000000000005</c:v>
                </c:pt>
                <c:pt idx="14">
                  <c:v>73.142099999999999</c:v>
                </c:pt>
                <c:pt idx="15">
                  <c:v>100.86409999999999</c:v>
                </c:pt>
                <c:pt idx="16">
                  <c:v>83.646600000000007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70.857900000000001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72.296599999999998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79.515000000000001</c:v>
                </c:pt>
                <c:pt idx="35">
                  <c:v>79.402799999999999</c:v>
                </c:pt>
                <c:pt idx="36">
                  <c:v>108.84229999999999</c:v>
                </c:pt>
                <c:pt idx="37">
                  <c:v>67.859300000000005</c:v>
                </c:pt>
                <c:pt idx="38">
                  <c:v>120.6168</c:v>
                </c:pt>
                <c:pt idx="39">
                  <c:v>51.927100000000003</c:v>
                </c:pt>
                <c:pt idx="40">
                  <c:v>90.278999999999996</c:v>
                </c:pt>
                <c:pt idx="41">
                  <c:v>143.7158</c:v>
                </c:pt>
                <c:pt idx="42">
                  <c:v>112.6417</c:v>
                </c:pt>
                <c:pt idx="43">
                  <c:v>64.528899999999993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91.094899999999996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86.885900000000007</c:v>
                </c:pt>
                <c:pt idx="51">
                  <c:v>69.339699999999993</c:v>
                </c:pt>
                <c:pt idx="52">
                  <c:v>71.402199999999993</c:v>
                </c:pt>
                <c:pt idx="53">
                  <c:v>81.929400000000001</c:v>
                </c:pt>
                <c:pt idx="54">
                  <c:v>110.2734</c:v>
                </c:pt>
                <c:pt idx="55">
                  <c:v>70.046899999999994</c:v>
                </c:pt>
                <c:pt idx="56">
                  <c:v>117.4097</c:v>
                </c:pt>
                <c:pt idx="57">
                  <c:v>82.724299999999999</c:v>
                </c:pt>
                <c:pt idx="58">
                  <c:v>90.621700000000004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86.135800000000003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73.533199999999994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70.035899999999998</c:v>
                </c:pt>
                <c:pt idx="69">
                  <c:v>145.65870000000001</c:v>
                </c:pt>
                <c:pt idx="70">
                  <c:v>79.495000000000005</c:v>
                </c:pt>
                <c:pt idx="71">
                  <c:v>89.553899999999999</c:v>
                </c:pt>
                <c:pt idx="72">
                  <c:v>101.3502</c:v>
                </c:pt>
                <c:pt idx="73">
                  <c:v>94.299300000000002</c:v>
                </c:pt>
                <c:pt idx="74">
                  <c:v>71.534400000000005</c:v>
                </c:pt>
                <c:pt idx="75">
                  <c:v>196.56819999999999</c:v>
                </c:pt>
                <c:pt idx="76">
                  <c:v>96.1785</c:v>
                </c:pt>
                <c:pt idx="77">
                  <c:v>159.8614</c:v>
                </c:pt>
                <c:pt idx="78">
                  <c:v>79.9465</c:v>
                </c:pt>
                <c:pt idx="79">
                  <c:v>110.8716</c:v>
                </c:pt>
                <c:pt idx="80">
                  <c:v>87.653300000000002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99.766599999999997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93.790300000000002</c:v>
                </c:pt>
                <c:pt idx="91">
                  <c:v>134.92910000000001</c:v>
                </c:pt>
                <c:pt idx="92">
                  <c:v>75.308800000000005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89.384699999999995</c:v>
                </c:pt>
                <c:pt idx="96">
                  <c:v>82.407799999999995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99.442599999999999</c:v>
                </c:pt>
                <c:pt idx="100">
                  <c:v>65.859399999999994</c:v>
                </c:pt>
                <c:pt idx="101">
                  <c:v>127.3869</c:v>
                </c:pt>
                <c:pt idx="102">
                  <c:v>74.643600000000006</c:v>
                </c:pt>
                <c:pt idx="103">
                  <c:v>102.2422</c:v>
                </c:pt>
                <c:pt idx="104">
                  <c:v>76.535700000000006</c:v>
                </c:pt>
                <c:pt idx="105">
                  <c:v>108.90470000000001</c:v>
                </c:pt>
                <c:pt idx="106">
                  <c:v>78.556600000000003</c:v>
                </c:pt>
                <c:pt idx="107">
                  <c:v>81.685400000000001</c:v>
                </c:pt>
                <c:pt idx="108">
                  <c:v>75.696799999999996</c:v>
                </c:pt>
                <c:pt idx="109">
                  <c:v>82.570999999999998</c:v>
                </c:pt>
                <c:pt idx="110">
                  <c:v>62.514800000000001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81.607600000000005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77.149500000000003</c:v>
                </c:pt>
                <c:pt idx="118">
                  <c:v>69.350499999999997</c:v>
                </c:pt>
                <c:pt idx="119">
                  <c:v>73.230999999999995</c:v>
                </c:pt>
                <c:pt idx="120">
                  <c:v>114.8745</c:v>
                </c:pt>
                <c:pt idx="121">
                  <c:v>114.8939</c:v>
                </c:pt>
                <c:pt idx="122">
                  <c:v>81.293499999999995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83.7303</c:v>
                </c:pt>
                <c:pt idx="127">
                  <c:v>71.985100000000003</c:v>
                </c:pt>
                <c:pt idx="128">
                  <c:v>74.073999999999998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84.021900000000002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88.171800000000005</c:v>
                </c:pt>
                <c:pt idx="139">
                  <c:v>69.460300000000004</c:v>
                </c:pt>
                <c:pt idx="140">
                  <c:v>58.509300000000003</c:v>
                </c:pt>
                <c:pt idx="141">
                  <c:v>125.2116</c:v>
                </c:pt>
                <c:pt idx="142">
                  <c:v>76.105199999999996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95.381299999999996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98.075999999999993</c:v>
                </c:pt>
                <c:pt idx="153">
                  <c:v>69.544700000000006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73.568399999999997</c:v>
                </c:pt>
                <c:pt idx="158">
                  <c:v>75.186400000000006</c:v>
                </c:pt>
                <c:pt idx="159">
                  <c:v>97.480699999999999</c:v>
                </c:pt>
                <c:pt idx="160">
                  <c:v>99.088399999999993</c:v>
                </c:pt>
                <c:pt idx="161">
                  <c:v>95.641999999999996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90.348600000000005</c:v>
                </c:pt>
                <c:pt idx="167">
                  <c:v>117.9217</c:v>
                </c:pt>
                <c:pt idx="168">
                  <c:v>97.553299999999993</c:v>
                </c:pt>
                <c:pt idx="169">
                  <c:v>90.797499999999999</c:v>
                </c:pt>
                <c:pt idx="170">
                  <c:v>122.5309</c:v>
                </c:pt>
                <c:pt idx="171">
                  <c:v>87.5321</c:v>
                </c:pt>
                <c:pt idx="172">
                  <c:v>83.827200000000005</c:v>
                </c:pt>
                <c:pt idx="173">
                  <c:v>127.3792</c:v>
                </c:pt>
                <c:pt idx="174">
                  <c:v>71.304100000000005</c:v>
                </c:pt>
                <c:pt idx="175">
                  <c:v>95.600300000000004</c:v>
                </c:pt>
                <c:pt idx="176">
                  <c:v>141.2645</c:v>
                </c:pt>
                <c:pt idx="177">
                  <c:v>81.89</c:v>
                </c:pt>
                <c:pt idx="178">
                  <c:v>95.611599999999996</c:v>
                </c:pt>
                <c:pt idx="179">
                  <c:v>99.8523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78.326899999999995</c:v>
                </c:pt>
                <c:pt idx="185">
                  <c:v>71.076999999999998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93.571100000000001</c:v>
                </c:pt>
                <c:pt idx="189">
                  <c:v>56.063200000000002</c:v>
                </c:pt>
                <c:pt idx="190">
                  <c:v>131.9862</c:v>
                </c:pt>
                <c:pt idx="191">
                  <c:v>41.500799999999998</c:v>
                </c:pt>
                <c:pt idx="192">
                  <c:v>109.4092</c:v>
                </c:pt>
                <c:pt idx="193">
                  <c:v>100.9547</c:v>
                </c:pt>
                <c:pt idx="194">
                  <c:v>98.317899999999995</c:v>
                </c:pt>
                <c:pt idx="195">
                  <c:v>116.3783</c:v>
                </c:pt>
                <c:pt idx="196">
                  <c:v>71.898700000000005</c:v>
                </c:pt>
                <c:pt idx="197">
                  <c:v>58.203499999999998</c:v>
                </c:pt>
                <c:pt idx="198">
                  <c:v>86.563999999999993</c:v>
                </c:pt>
                <c:pt idx="199">
                  <c:v>161.45359999999999</c:v>
                </c:pt>
                <c:pt idx="200">
                  <c:v>69.260400000000004</c:v>
                </c:pt>
                <c:pt idx="201">
                  <c:v>79.515699999999995</c:v>
                </c:pt>
                <c:pt idx="202">
                  <c:v>224.876</c:v>
                </c:pt>
                <c:pt idx="203">
                  <c:v>90.320099999999996</c:v>
                </c:pt>
                <c:pt idx="204">
                  <c:v>89.007800000000003</c:v>
                </c:pt>
                <c:pt idx="205">
                  <c:v>100.8552</c:v>
                </c:pt>
                <c:pt idx="206">
                  <c:v>113.9264</c:v>
                </c:pt>
                <c:pt idx="207">
                  <c:v>97.242400000000004</c:v>
                </c:pt>
                <c:pt idx="208">
                  <c:v>79.648300000000006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56.948099999999997</c:v>
                </c:pt>
                <c:pt idx="213">
                  <c:v>144.22219999999999</c:v>
                </c:pt>
                <c:pt idx="214">
                  <c:v>69.971800000000002</c:v>
                </c:pt>
                <c:pt idx="215">
                  <c:v>50.393300000000004</c:v>
                </c:pt>
                <c:pt idx="216">
                  <c:v>66.471500000000006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82.926100000000005</c:v>
                </c:pt>
                <c:pt idx="220">
                  <c:v>91.952200000000005</c:v>
                </c:pt>
                <c:pt idx="221">
                  <c:v>77.956199999999995</c:v>
                </c:pt>
                <c:pt idx="222">
                  <c:v>97.599299999999999</c:v>
                </c:pt>
                <c:pt idx="223">
                  <c:v>74.110200000000006</c:v>
                </c:pt>
                <c:pt idx="224">
                  <c:v>111.64230000000001</c:v>
                </c:pt>
                <c:pt idx="225">
                  <c:v>67.264300000000006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69.850300000000004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74.151700000000005</c:v>
                </c:pt>
                <c:pt idx="233">
                  <c:v>41.369599999999998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94.363900000000001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78.381100000000004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73.026899999999998</c:v>
                </c:pt>
                <c:pt idx="248">
                  <c:v>112.12009999999999</c:v>
                </c:pt>
                <c:pt idx="249">
                  <c:v>100.11199999999999</c:v>
                </c:pt>
                <c:pt idx="250">
                  <c:v>99.668899999999994</c:v>
                </c:pt>
                <c:pt idx="251">
                  <c:v>102.2496</c:v>
                </c:pt>
                <c:pt idx="252">
                  <c:v>81.403899999999993</c:v>
                </c:pt>
                <c:pt idx="253">
                  <c:v>207.8408</c:v>
                </c:pt>
                <c:pt idx="254">
                  <c:v>124.7543</c:v>
                </c:pt>
                <c:pt idx="255">
                  <c:v>88.122799999999998</c:v>
                </c:pt>
                <c:pt idx="256">
                  <c:v>113.6266</c:v>
                </c:pt>
                <c:pt idx="257">
                  <c:v>92.844700000000003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81.802899999999994</c:v>
                </c:pt>
                <c:pt idx="262">
                  <c:v>59.605200000000004</c:v>
                </c:pt>
                <c:pt idx="263">
                  <c:v>95.667400000000001</c:v>
                </c:pt>
                <c:pt idx="264">
                  <c:v>83.794700000000006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60.709600000000002</c:v>
                </c:pt>
                <c:pt idx="268">
                  <c:v>106.31489999999999</c:v>
                </c:pt>
                <c:pt idx="269">
                  <c:v>92.859499999999997</c:v>
                </c:pt>
                <c:pt idx="270">
                  <c:v>178.9699</c:v>
                </c:pt>
                <c:pt idx="271">
                  <c:v>138.5557</c:v>
                </c:pt>
                <c:pt idx="272">
                  <c:v>62.613900000000001</c:v>
                </c:pt>
                <c:pt idx="273">
                  <c:v>90.7393</c:v>
                </c:pt>
                <c:pt idx="274">
                  <c:v>151.1952</c:v>
                </c:pt>
                <c:pt idx="275">
                  <c:v>112.9901</c:v>
                </c:pt>
                <c:pt idx="276">
                  <c:v>87.6327</c:v>
                </c:pt>
                <c:pt idx="277">
                  <c:v>66.144599999999997</c:v>
                </c:pt>
                <c:pt idx="278">
                  <c:v>136.76609999999999</c:v>
                </c:pt>
                <c:pt idx="279">
                  <c:v>50.3108</c:v>
                </c:pt>
                <c:pt idx="280">
                  <c:v>74.007599999999996</c:v>
                </c:pt>
                <c:pt idx="281">
                  <c:v>70.3172</c:v>
                </c:pt>
                <c:pt idx="282">
                  <c:v>72.924599999999998</c:v>
                </c:pt>
                <c:pt idx="283">
                  <c:v>120.42789999999999</c:v>
                </c:pt>
                <c:pt idx="284">
                  <c:v>58.406799999999997</c:v>
                </c:pt>
                <c:pt idx="285">
                  <c:v>87.974800000000002</c:v>
                </c:pt>
                <c:pt idx="286">
                  <c:v>112.3961</c:v>
                </c:pt>
                <c:pt idx="287">
                  <c:v>78.930099999999996</c:v>
                </c:pt>
                <c:pt idx="288">
                  <c:v>64.611999999999995</c:v>
                </c:pt>
                <c:pt idx="289">
                  <c:v>107.8442</c:v>
                </c:pt>
                <c:pt idx="290">
                  <c:v>72.5672</c:v>
                </c:pt>
                <c:pt idx="291">
                  <c:v>139.69810000000001</c:v>
                </c:pt>
                <c:pt idx="292">
                  <c:v>89.284899999999993</c:v>
                </c:pt>
                <c:pt idx="293">
                  <c:v>61.329099999999997</c:v>
                </c:pt>
                <c:pt idx="294">
                  <c:v>73.720600000000005</c:v>
                </c:pt>
                <c:pt idx="295">
                  <c:v>73.860500000000002</c:v>
                </c:pt>
                <c:pt idx="296">
                  <c:v>128.10730000000001</c:v>
                </c:pt>
                <c:pt idx="297">
                  <c:v>85.417500000000004</c:v>
                </c:pt>
                <c:pt idx="298">
                  <c:v>80.427899999999994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86.362700000000004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66.807699999999997</c:v>
                </c:pt>
                <c:pt idx="306">
                  <c:v>124.0968</c:v>
                </c:pt>
                <c:pt idx="307">
                  <c:v>99.782799999999995</c:v>
                </c:pt>
                <c:pt idx="308">
                  <c:v>174.79589999999999</c:v>
                </c:pt>
                <c:pt idx="309">
                  <c:v>98.053100000000001</c:v>
                </c:pt>
                <c:pt idx="310">
                  <c:v>71.720600000000005</c:v>
                </c:pt>
                <c:pt idx="311">
                  <c:v>127.39019999999999</c:v>
                </c:pt>
                <c:pt idx="312">
                  <c:v>84.472399999999993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66.716499999999996</c:v>
                </c:pt>
                <c:pt idx="316">
                  <c:v>76.077799999999996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73.471999999999994</c:v>
                </c:pt>
                <c:pt idx="323">
                  <c:v>129.77269999999999</c:v>
                </c:pt>
                <c:pt idx="324">
                  <c:v>76.733400000000003</c:v>
                </c:pt>
                <c:pt idx="325">
                  <c:v>100.48009999999999</c:v>
                </c:pt>
                <c:pt idx="326">
                  <c:v>97.197800000000001</c:v>
                </c:pt>
                <c:pt idx="327">
                  <c:v>100.87309999999999</c:v>
                </c:pt>
                <c:pt idx="328">
                  <c:v>91.104200000000006</c:v>
                </c:pt>
                <c:pt idx="329">
                  <c:v>59.067</c:v>
                </c:pt>
                <c:pt idx="330">
                  <c:v>83.042900000000003</c:v>
                </c:pt>
                <c:pt idx="331">
                  <c:v>121.80029999999999</c:v>
                </c:pt>
                <c:pt idx="332">
                  <c:v>57.674500000000002</c:v>
                </c:pt>
                <c:pt idx="333">
                  <c:v>66.701599999999999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66.778999999999996</c:v>
                </c:pt>
                <c:pt idx="337">
                  <c:v>96.759600000000006</c:v>
                </c:pt>
                <c:pt idx="338">
                  <c:v>62.647500000000001</c:v>
                </c:pt>
                <c:pt idx="339">
                  <c:v>75.797499999999999</c:v>
                </c:pt>
                <c:pt idx="340">
                  <c:v>147.00200000000001</c:v>
                </c:pt>
                <c:pt idx="341">
                  <c:v>88.860500000000002</c:v>
                </c:pt>
                <c:pt idx="342">
                  <c:v>100.0592</c:v>
                </c:pt>
                <c:pt idx="343">
                  <c:v>96.513800000000003</c:v>
                </c:pt>
                <c:pt idx="344">
                  <c:v>93.793599999999998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81.284400000000005</c:v>
                </c:pt>
                <c:pt idx="348">
                  <c:v>86.134299999999996</c:v>
                </c:pt>
                <c:pt idx="349">
                  <c:v>100.30929999999999</c:v>
                </c:pt>
                <c:pt idx="350">
                  <c:v>75.280600000000007</c:v>
                </c:pt>
                <c:pt idx="351">
                  <c:v>83.287700000000001</c:v>
                </c:pt>
                <c:pt idx="352">
                  <c:v>137.63159999999999</c:v>
                </c:pt>
                <c:pt idx="353">
                  <c:v>91.939300000000003</c:v>
                </c:pt>
                <c:pt idx="354">
                  <c:v>73.013800000000003</c:v>
                </c:pt>
                <c:pt idx="355">
                  <c:v>98.7393</c:v>
                </c:pt>
                <c:pt idx="356">
                  <c:v>114.5966</c:v>
                </c:pt>
                <c:pt idx="357">
                  <c:v>82.987200000000001</c:v>
                </c:pt>
                <c:pt idx="358">
                  <c:v>95.836699999999993</c:v>
                </c:pt>
                <c:pt idx="359">
                  <c:v>105.3274</c:v>
                </c:pt>
                <c:pt idx="360">
                  <c:v>66.857500000000002</c:v>
                </c:pt>
                <c:pt idx="361">
                  <c:v>96.597099999999998</c:v>
                </c:pt>
                <c:pt idx="362">
                  <c:v>111.2129</c:v>
                </c:pt>
                <c:pt idx="363">
                  <c:v>49.368099999999998</c:v>
                </c:pt>
                <c:pt idx="364">
                  <c:v>155.43950000000001</c:v>
                </c:pt>
                <c:pt idx="365">
                  <c:v>87.398200000000003</c:v>
                </c:pt>
                <c:pt idx="366">
                  <c:v>60.416400000000003</c:v>
                </c:pt>
                <c:pt idx="367">
                  <c:v>109.3099</c:v>
                </c:pt>
                <c:pt idx="368">
                  <c:v>119.3515</c:v>
                </c:pt>
                <c:pt idx="369">
                  <c:v>76.900700000000001</c:v>
                </c:pt>
                <c:pt idx="370">
                  <c:v>143.77510000000001</c:v>
                </c:pt>
                <c:pt idx="371">
                  <c:v>88.800899999999999</c:v>
                </c:pt>
                <c:pt idx="372">
                  <c:v>99.890199999999993</c:v>
                </c:pt>
                <c:pt idx="373">
                  <c:v>119.1769</c:v>
                </c:pt>
                <c:pt idx="374">
                  <c:v>86.5321</c:v>
                </c:pt>
                <c:pt idx="375">
                  <c:v>99.0608</c:v>
                </c:pt>
                <c:pt idx="376">
                  <c:v>110.23820000000001</c:v>
                </c:pt>
                <c:pt idx="377">
                  <c:v>62.285800000000002</c:v>
                </c:pt>
                <c:pt idx="378">
                  <c:v>97.153099999999995</c:v>
                </c:pt>
                <c:pt idx="379">
                  <c:v>114.4449</c:v>
                </c:pt>
                <c:pt idx="380">
                  <c:v>84.066699999999997</c:v>
                </c:pt>
                <c:pt idx="381">
                  <c:v>123.8245</c:v>
                </c:pt>
                <c:pt idx="382">
                  <c:v>84.137100000000004</c:v>
                </c:pt>
                <c:pt idx="383">
                  <c:v>91.746600000000001</c:v>
                </c:pt>
                <c:pt idx="384">
                  <c:v>109.1691</c:v>
                </c:pt>
                <c:pt idx="385">
                  <c:v>77.892399999999995</c:v>
                </c:pt>
                <c:pt idx="386">
                  <c:v>87.033000000000001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71.542699999999996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72.531099999999995</c:v>
                </c:pt>
                <c:pt idx="394">
                  <c:v>155.9221</c:v>
                </c:pt>
                <c:pt idx="395">
                  <c:v>84.199700000000007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86.338399999999993</c:v>
                </c:pt>
                <c:pt idx="399">
                  <c:v>82.684600000000003</c:v>
                </c:pt>
                <c:pt idx="400">
                  <c:v>97.389200000000002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54.199800000000003</c:v>
                </c:pt>
                <c:pt idx="405">
                  <c:v>85.654700000000005</c:v>
                </c:pt>
                <c:pt idx="406">
                  <c:v>130.05770000000001</c:v>
                </c:pt>
                <c:pt idx="407">
                  <c:v>92.024199999999993</c:v>
                </c:pt>
                <c:pt idx="408">
                  <c:v>95.750500000000002</c:v>
                </c:pt>
                <c:pt idx="409">
                  <c:v>51.245199999999997</c:v>
                </c:pt>
                <c:pt idx="410">
                  <c:v>70.628699999999995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75.020099999999999</c:v>
                </c:pt>
                <c:pt idx="418">
                  <c:v>91.845200000000006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73.242699999999999</c:v>
                </c:pt>
                <c:pt idx="427">
                  <c:v>67.488699999999994</c:v>
                </c:pt>
                <c:pt idx="428">
                  <c:v>127.15260000000001</c:v>
                </c:pt>
                <c:pt idx="429">
                  <c:v>74.560699999999997</c:v>
                </c:pt>
                <c:pt idx="430">
                  <c:v>71.860299999999995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57.713000000000001</c:v>
                </c:pt>
                <c:pt idx="435">
                  <c:v>119.54689999999999</c:v>
                </c:pt>
                <c:pt idx="436">
                  <c:v>81.215000000000003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74.727999999999994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90.0702</c:v>
                </c:pt>
                <c:pt idx="445">
                  <c:v>89.968699999999998</c:v>
                </c:pt>
                <c:pt idx="446">
                  <c:v>133.5326</c:v>
                </c:pt>
                <c:pt idx="447">
                  <c:v>67.803700000000006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69.797799999999995</c:v>
                </c:pt>
                <c:pt idx="458">
                  <c:v>88.998999999999995</c:v>
                </c:pt>
                <c:pt idx="459">
                  <c:v>79.9619</c:v>
                </c:pt>
                <c:pt idx="460">
                  <c:v>55.566600000000001</c:v>
                </c:pt>
                <c:pt idx="461">
                  <c:v>98.254800000000003</c:v>
                </c:pt>
                <c:pt idx="462">
                  <c:v>97.831400000000002</c:v>
                </c:pt>
                <c:pt idx="463">
                  <c:v>116.1472</c:v>
                </c:pt>
                <c:pt idx="464">
                  <c:v>40.594499999999996</c:v>
                </c:pt>
                <c:pt idx="465">
                  <c:v>73.348699999999994</c:v>
                </c:pt>
                <c:pt idx="466">
                  <c:v>65.918599999999998</c:v>
                </c:pt>
                <c:pt idx="467">
                  <c:v>64.796199999999999</c:v>
                </c:pt>
                <c:pt idx="468">
                  <c:v>99.334400000000002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88.719300000000004</c:v>
                </c:pt>
                <c:pt idx="475">
                  <c:v>103.6763</c:v>
                </c:pt>
                <c:pt idx="476">
                  <c:v>97.650400000000005</c:v>
                </c:pt>
                <c:pt idx="477">
                  <c:v>99.313000000000002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89.633200000000002</c:v>
                </c:pt>
                <c:pt idx="484">
                  <c:v>104.8809</c:v>
                </c:pt>
                <c:pt idx="485">
                  <c:v>53.971400000000003</c:v>
                </c:pt>
                <c:pt idx="486">
                  <c:v>86.795400000000001</c:v>
                </c:pt>
                <c:pt idx="487">
                  <c:v>90.1999</c:v>
                </c:pt>
                <c:pt idx="488">
                  <c:v>43.988300000000002</c:v>
                </c:pt>
                <c:pt idx="489">
                  <c:v>60.852600000000002</c:v>
                </c:pt>
                <c:pt idx="490">
                  <c:v>132.00640000000001</c:v>
                </c:pt>
                <c:pt idx="491">
                  <c:v>86.721299999999999</c:v>
                </c:pt>
                <c:pt idx="492">
                  <c:v>76.553600000000003</c:v>
                </c:pt>
                <c:pt idx="493">
                  <c:v>113.4224</c:v>
                </c:pt>
                <c:pt idx="494">
                  <c:v>74.127099999999999</c:v>
                </c:pt>
                <c:pt idx="495">
                  <c:v>184.44749999999999</c:v>
                </c:pt>
                <c:pt idx="496">
                  <c:v>91.499799999999993</c:v>
                </c:pt>
                <c:pt idx="497">
                  <c:v>173.74619999999999</c:v>
                </c:pt>
                <c:pt idx="498">
                  <c:v>73.3262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96.659800000000004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99.910300000000007</c:v>
                </c:pt>
                <c:pt idx="506">
                  <c:v>93.293999999999997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76.4405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89.660899999999998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86.433199999999999</c:v>
                </c:pt>
                <c:pt idx="520">
                  <c:v>115.7529</c:v>
                </c:pt>
                <c:pt idx="521">
                  <c:v>60.798900000000003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80.784999999999997</c:v>
                </c:pt>
                <c:pt idx="527">
                  <c:v>99.907200000000003</c:v>
                </c:pt>
                <c:pt idx="528">
                  <c:v>97.702600000000004</c:v>
                </c:pt>
                <c:pt idx="529">
                  <c:v>112.11920000000001</c:v>
                </c:pt>
                <c:pt idx="530">
                  <c:v>77.362300000000005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65.698899999999995</c:v>
                </c:pt>
                <c:pt idx="538">
                  <c:v>110.2265</c:v>
                </c:pt>
                <c:pt idx="539">
                  <c:v>99.793300000000002</c:v>
                </c:pt>
                <c:pt idx="540">
                  <c:v>97.526600000000002</c:v>
                </c:pt>
                <c:pt idx="541">
                  <c:v>69.930499999999995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82.602000000000004</c:v>
                </c:pt>
                <c:pt idx="546">
                  <c:v>76.847899999999996</c:v>
                </c:pt>
                <c:pt idx="547">
                  <c:v>161.23740000000001</c:v>
                </c:pt>
                <c:pt idx="548">
                  <c:v>78.704999999999998</c:v>
                </c:pt>
                <c:pt idx="549">
                  <c:v>63.5871</c:v>
                </c:pt>
                <c:pt idx="550">
                  <c:v>76.729600000000005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79.790599999999998</c:v>
                </c:pt>
                <c:pt idx="555">
                  <c:v>100.282</c:v>
                </c:pt>
                <c:pt idx="556">
                  <c:v>92.678299999999993</c:v>
                </c:pt>
                <c:pt idx="557">
                  <c:v>102.6949</c:v>
                </c:pt>
                <c:pt idx="558">
                  <c:v>115.3536</c:v>
                </c:pt>
                <c:pt idx="559">
                  <c:v>79.500500000000002</c:v>
                </c:pt>
                <c:pt idx="560">
                  <c:v>124.8287</c:v>
                </c:pt>
                <c:pt idx="561">
                  <c:v>73.589100000000002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82.351600000000005</c:v>
                </c:pt>
                <c:pt idx="565">
                  <c:v>65.746499999999997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94.295699999999997</c:v>
                </c:pt>
                <c:pt idx="569">
                  <c:v>59.000799999999998</c:v>
                </c:pt>
                <c:pt idx="570">
                  <c:v>86.906000000000006</c:v>
                </c:pt>
                <c:pt idx="571">
                  <c:v>106.4387</c:v>
                </c:pt>
                <c:pt idx="572">
                  <c:v>75.315200000000004</c:v>
                </c:pt>
                <c:pt idx="573">
                  <c:v>109.91759999999999</c:v>
                </c:pt>
                <c:pt idx="574">
                  <c:v>84.245800000000003</c:v>
                </c:pt>
                <c:pt idx="575">
                  <c:v>95.355000000000004</c:v>
                </c:pt>
                <c:pt idx="576">
                  <c:v>82.143799999999999</c:v>
                </c:pt>
                <c:pt idx="577">
                  <c:v>139.9427</c:v>
                </c:pt>
                <c:pt idx="578">
                  <c:v>78.0959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96.423299999999998</c:v>
                </c:pt>
                <c:pt idx="585">
                  <c:v>93.610600000000005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95.692999999999998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85.213099999999997</c:v>
                </c:pt>
                <c:pt idx="594">
                  <c:v>94.686499999999995</c:v>
                </c:pt>
                <c:pt idx="595">
                  <c:v>112.9845</c:v>
                </c:pt>
                <c:pt idx="596">
                  <c:v>77.2376</c:v>
                </c:pt>
                <c:pt idx="597">
                  <c:v>68.248000000000005</c:v>
                </c:pt>
                <c:pt idx="598">
                  <c:v>91.6126</c:v>
                </c:pt>
                <c:pt idx="599">
                  <c:v>81.852800000000002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61.447299999999998</c:v>
                </c:pt>
                <c:pt idx="606">
                  <c:v>128.30029999999999</c:v>
                </c:pt>
                <c:pt idx="607">
                  <c:v>85.870900000000006</c:v>
                </c:pt>
                <c:pt idx="608">
                  <c:v>109.2928</c:v>
                </c:pt>
                <c:pt idx="609">
                  <c:v>91.188800000000001</c:v>
                </c:pt>
                <c:pt idx="610">
                  <c:v>80.141300000000001</c:v>
                </c:pt>
                <c:pt idx="611">
                  <c:v>127.7752</c:v>
                </c:pt>
                <c:pt idx="612">
                  <c:v>83.441900000000004</c:v>
                </c:pt>
                <c:pt idx="613">
                  <c:v>87.950599999999994</c:v>
                </c:pt>
                <c:pt idx="614">
                  <c:v>136.85769999999999</c:v>
                </c:pt>
                <c:pt idx="615">
                  <c:v>95.886499999999998</c:v>
                </c:pt>
                <c:pt idx="616">
                  <c:v>88.446200000000005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66.484399999999994</c:v>
                </c:pt>
                <c:pt idx="621">
                  <c:v>104.569</c:v>
                </c:pt>
                <c:pt idx="622">
                  <c:v>93.180099999999996</c:v>
                </c:pt>
                <c:pt idx="623">
                  <c:v>102.00839999999999</c:v>
                </c:pt>
                <c:pt idx="624">
                  <c:v>81.950100000000006</c:v>
                </c:pt>
                <c:pt idx="625">
                  <c:v>165.37440000000001</c:v>
                </c:pt>
                <c:pt idx="626">
                  <c:v>77.730699999999999</c:v>
                </c:pt>
                <c:pt idx="627">
                  <c:v>89.056299999999993</c:v>
                </c:pt>
                <c:pt idx="628">
                  <c:v>92.738799999999998</c:v>
                </c:pt>
                <c:pt idx="629">
                  <c:v>143.8964</c:v>
                </c:pt>
                <c:pt idx="630">
                  <c:v>87.296400000000006</c:v>
                </c:pt>
                <c:pt idx="631">
                  <c:v>235.17769999999999</c:v>
                </c:pt>
                <c:pt idx="632">
                  <c:v>57.021900000000002</c:v>
                </c:pt>
                <c:pt idx="633">
                  <c:v>72.390900000000002</c:v>
                </c:pt>
                <c:pt idx="634">
                  <c:v>115.4366</c:v>
                </c:pt>
                <c:pt idx="635">
                  <c:v>75.303899999999999</c:v>
                </c:pt>
                <c:pt idx="636">
                  <c:v>94.051400000000001</c:v>
                </c:pt>
                <c:pt idx="637">
                  <c:v>76.026799999999994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88.140100000000004</c:v>
                </c:pt>
                <c:pt idx="641">
                  <c:v>98.306200000000004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69.406300000000002</c:v>
                </c:pt>
                <c:pt idx="647">
                  <c:v>159.13669999999999</c:v>
                </c:pt>
                <c:pt idx="648">
                  <c:v>88.998199999999997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64.048500000000004</c:v>
                </c:pt>
                <c:pt idx="656">
                  <c:v>63.856499999999997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71.257499999999993</c:v>
                </c:pt>
                <c:pt idx="661">
                  <c:v>75.750799999999998</c:v>
                </c:pt>
                <c:pt idx="662">
                  <c:v>153.61699999999999</c:v>
                </c:pt>
                <c:pt idx="663">
                  <c:v>76.414599999999993</c:v>
                </c:pt>
                <c:pt idx="664">
                  <c:v>88.134399999999999</c:v>
                </c:pt>
                <c:pt idx="665">
                  <c:v>94.340699999999998</c:v>
                </c:pt>
                <c:pt idx="666">
                  <c:v>104.5757</c:v>
                </c:pt>
                <c:pt idx="667">
                  <c:v>86.260900000000007</c:v>
                </c:pt>
                <c:pt idx="668">
                  <c:v>173.571</c:v>
                </c:pt>
                <c:pt idx="669">
                  <c:v>80.236900000000006</c:v>
                </c:pt>
                <c:pt idx="670">
                  <c:v>161.7397</c:v>
                </c:pt>
                <c:pt idx="671">
                  <c:v>128.6121</c:v>
                </c:pt>
                <c:pt idx="672">
                  <c:v>78.811099999999996</c:v>
                </c:pt>
                <c:pt idx="673">
                  <c:v>124.4199</c:v>
                </c:pt>
                <c:pt idx="674">
                  <c:v>91.874499999999998</c:v>
                </c:pt>
                <c:pt idx="675">
                  <c:v>116.8023</c:v>
                </c:pt>
                <c:pt idx="676">
                  <c:v>97.101699999999994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85.677999999999997</c:v>
                </c:pt>
                <c:pt idx="680">
                  <c:v>103.3694</c:v>
                </c:pt>
                <c:pt idx="681">
                  <c:v>63.368099999999998</c:v>
                </c:pt>
                <c:pt idx="682">
                  <c:v>164.2148</c:v>
                </c:pt>
                <c:pt idx="683">
                  <c:v>66.032700000000006</c:v>
                </c:pt>
                <c:pt idx="684">
                  <c:v>74.786699999999996</c:v>
                </c:pt>
                <c:pt idx="685">
                  <c:v>143.31880000000001</c:v>
                </c:pt>
                <c:pt idx="686">
                  <c:v>78.0518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84.664599999999993</c:v>
                </c:pt>
                <c:pt idx="691">
                  <c:v>101.0564</c:v>
                </c:pt>
                <c:pt idx="692">
                  <c:v>92.707800000000006</c:v>
                </c:pt>
                <c:pt idx="693">
                  <c:v>162.8201</c:v>
                </c:pt>
                <c:pt idx="694">
                  <c:v>76.981899999999996</c:v>
                </c:pt>
                <c:pt idx="695">
                  <c:v>112.595</c:v>
                </c:pt>
                <c:pt idx="696">
                  <c:v>87.872</c:v>
                </c:pt>
                <c:pt idx="697">
                  <c:v>135.61959999999999</c:v>
                </c:pt>
                <c:pt idx="698">
                  <c:v>95.136700000000005</c:v>
                </c:pt>
                <c:pt idx="699">
                  <c:v>64.903499999999994</c:v>
                </c:pt>
                <c:pt idx="700">
                  <c:v>78.739699999999999</c:v>
                </c:pt>
                <c:pt idx="701">
                  <c:v>100.7</c:v>
                </c:pt>
                <c:pt idx="702">
                  <c:v>75.702100000000002</c:v>
                </c:pt>
                <c:pt idx="703">
                  <c:v>98.638999999999996</c:v>
                </c:pt>
                <c:pt idx="704">
                  <c:v>76.1126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82.183800000000005</c:v>
                </c:pt>
                <c:pt idx="708">
                  <c:v>74.089100000000002</c:v>
                </c:pt>
                <c:pt idx="709">
                  <c:v>66.576400000000007</c:v>
                </c:pt>
                <c:pt idx="710">
                  <c:v>90.19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78.629900000000006</c:v>
                </c:pt>
                <c:pt idx="716">
                  <c:v>105.07040000000001</c:v>
                </c:pt>
                <c:pt idx="717">
                  <c:v>83.644199999999998</c:v>
                </c:pt>
                <c:pt idx="718">
                  <c:v>74.377700000000004</c:v>
                </c:pt>
                <c:pt idx="719">
                  <c:v>94.951099999999997</c:v>
                </c:pt>
                <c:pt idx="720">
                  <c:v>109.2971</c:v>
                </c:pt>
                <c:pt idx="721">
                  <c:v>97.900899999999993</c:v>
                </c:pt>
                <c:pt idx="722">
                  <c:v>116.1161</c:v>
                </c:pt>
                <c:pt idx="723">
                  <c:v>92.399299999999997</c:v>
                </c:pt>
                <c:pt idx="724">
                  <c:v>75.365899999999996</c:v>
                </c:pt>
                <c:pt idx="725">
                  <c:v>76.669600000000003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70.190700000000007</c:v>
                </c:pt>
                <c:pt idx="731">
                  <c:v>71.994</c:v>
                </c:pt>
                <c:pt idx="732">
                  <c:v>75.202100000000002</c:v>
                </c:pt>
                <c:pt idx="733">
                  <c:v>70.148899999999998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56.767899999999997</c:v>
                </c:pt>
                <c:pt idx="739">
                  <c:v>75.978399999999993</c:v>
                </c:pt>
                <c:pt idx="740">
                  <c:v>119.6972</c:v>
                </c:pt>
                <c:pt idx="741">
                  <c:v>82.893500000000003</c:v>
                </c:pt>
                <c:pt idx="742">
                  <c:v>59.430199999999999</c:v>
                </c:pt>
                <c:pt idx="743">
                  <c:v>126.0103</c:v>
                </c:pt>
                <c:pt idx="744">
                  <c:v>79.687700000000007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90.098200000000006</c:v>
                </c:pt>
                <c:pt idx="748">
                  <c:v>91.4345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80.325800000000001</c:v>
                </c:pt>
                <c:pt idx="754">
                  <c:v>63.472200000000001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85.527900000000002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88.854200000000006</c:v>
                </c:pt>
                <c:pt idx="764">
                  <c:v>93.759299999999996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77.171099999999996</c:v>
                </c:pt>
                <c:pt idx="770">
                  <c:v>149.22669999999999</c:v>
                </c:pt>
                <c:pt idx="771">
                  <c:v>81.218800000000002</c:v>
                </c:pt>
                <c:pt idx="772">
                  <c:v>207.41679999999999</c:v>
                </c:pt>
                <c:pt idx="773">
                  <c:v>87.352800000000002</c:v>
                </c:pt>
                <c:pt idx="774">
                  <c:v>89.529899999999998</c:v>
                </c:pt>
                <c:pt idx="775">
                  <c:v>85.046499999999995</c:v>
                </c:pt>
                <c:pt idx="776">
                  <c:v>101.0745</c:v>
                </c:pt>
                <c:pt idx="777">
                  <c:v>79.497799999999998</c:v>
                </c:pt>
                <c:pt idx="778">
                  <c:v>101.89100000000001</c:v>
                </c:pt>
                <c:pt idx="779">
                  <c:v>93.801100000000005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73.022999999999996</c:v>
                </c:pt>
                <c:pt idx="784">
                  <c:v>111.90730000000001</c:v>
                </c:pt>
                <c:pt idx="785">
                  <c:v>71.754099999999994</c:v>
                </c:pt>
                <c:pt idx="786">
                  <c:v>127.6467</c:v>
                </c:pt>
                <c:pt idx="787">
                  <c:v>86.228300000000004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60.1631</c:v>
                </c:pt>
                <c:pt idx="791">
                  <c:v>72.136399999999995</c:v>
                </c:pt>
                <c:pt idx="792">
                  <c:v>97.886600000000001</c:v>
                </c:pt>
                <c:pt idx="793">
                  <c:v>102.37130000000001</c:v>
                </c:pt>
                <c:pt idx="794">
                  <c:v>88.432699999999997</c:v>
                </c:pt>
                <c:pt idx="795">
                  <c:v>113.4186</c:v>
                </c:pt>
                <c:pt idx="796">
                  <c:v>85.992199999999997</c:v>
                </c:pt>
                <c:pt idx="797">
                  <c:v>99.741100000000003</c:v>
                </c:pt>
                <c:pt idx="798">
                  <c:v>88.781099999999995</c:v>
                </c:pt>
                <c:pt idx="799">
                  <c:v>90.605199999999996</c:v>
                </c:pt>
                <c:pt idx="800">
                  <c:v>138.75649999999999</c:v>
                </c:pt>
                <c:pt idx="801">
                  <c:v>87.479799999999997</c:v>
                </c:pt>
                <c:pt idx="802">
                  <c:v>80.887699999999995</c:v>
                </c:pt>
                <c:pt idx="803">
                  <c:v>137.19370000000001</c:v>
                </c:pt>
                <c:pt idx="804">
                  <c:v>59.7699</c:v>
                </c:pt>
                <c:pt idx="805">
                  <c:v>115.82380000000001</c:v>
                </c:pt>
                <c:pt idx="806">
                  <c:v>98.171000000000006</c:v>
                </c:pt>
                <c:pt idx="807">
                  <c:v>76.793099999999995</c:v>
                </c:pt>
                <c:pt idx="808">
                  <c:v>112.0441</c:v>
                </c:pt>
                <c:pt idx="809">
                  <c:v>96.614400000000003</c:v>
                </c:pt>
                <c:pt idx="810">
                  <c:v>60.217599999999997</c:v>
                </c:pt>
                <c:pt idx="811">
                  <c:v>153.8939</c:v>
                </c:pt>
                <c:pt idx="812">
                  <c:v>160.4958</c:v>
                </c:pt>
                <c:pt idx="813">
                  <c:v>86.602900000000005</c:v>
                </c:pt>
                <c:pt idx="814">
                  <c:v>62.3538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81.704700000000003</c:v>
                </c:pt>
                <c:pt idx="820">
                  <c:v>80.186599999999999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80.2804</c:v>
                </c:pt>
                <c:pt idx="825">
                  <c:v>66.698999999999998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95.379199999999997</c:v>
                </c:pt>
                <c:pt idx="831">
                  <c:v>88.963200000000001</c:v>
                </c:pt>
                <c:pt idx="832">
                  <c:v>69.972700000000003</c:v>
                </c:pt>
                <c:pt idx="833">
                  <c:v>124.39100000000001</c:v>
                </c:pt>
                <c:pt idx="834">
                  <c:v>90.379300000000001</c:v>
                </c:pt>
                <c:pt idx="835">
                  <c:v>61.206400000000002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72.7791</c:v>
                </c:pt>
                <c:pt idx="839">
                  <c:v>72.011700000000005</c:v>
                </c:pt>
                <c:pt idx="840">
                  <c:v>145.9075</c:v>
                </c:pt>
                <c:pt idx="841">
                  <c:v>77.0535</c:v>
                </c:pt>
                <c:pt idx="842">
                  <c:v>93.730400000000003</c:v>
                </c:pt>
                <c:pt idx="843">
                  <c:v>162.8552</c:v>
                </c:pt>
                <c:pt idx="844">
                  <c:v>72.593000000000004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98.843400000000003</c:v>
                </c:pt>
                <c:pt idx="852">
                  <c:v>107.6875</c:v>
                </c:pt>
                <c:pt idx="853">
                  <c:v>66.6036</c:v>
                </c:pt>
                <c:pt idx="854">
                  <c:v>195.36099999999999</c:v>
                </c:pt>
                <c:pt idx="855">
                  <c:v>82.928600000000003</c:v>
                </c:pt>
                <c:pt idx="856">
                  <c:v>79.709400000000002</c:v>
                </c:pt>
                <c:pt idx="857">
                  <c:v>91.718599999999995</c:v>
                </c:pt>
                <c:pt idx="858">
                  <c:v>83.821399999999997</c:v>
                </c:pt>
                <c:pt idx="859">
                  <c:v>123.0249</c:v>
                </c:pt>
                <c:pt idx="860">
                  <c:v>118.5188</c:v>
                </c:pt>
                <c:pt idx="861">
                  <c:v>64.0578</c:v>
                </c:pt>
                <c:pt idx="862">
                  <c:v>58.859400000000001</c:v>
                </c:pt>
                <c:pt idx="863">
                  <c:v>91.711399999999998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77.653599999999997</c:v>
                </c:pt>
                <c:pt idx="869">
                  <c:v>99.212699999999998</c:v>
                </c:pt>
                <c:pt idx="870">
                  <c:v>86.038700000000006</c:v>
                </c:pt>
                <c:pt idx="871">
                  <c:v>57.8127</c:v>
                </c:pt>
                <c:pt idx="872">
                  <c:v>61.267899999999997</c:v>
                </c:pt>
                <c:pt idx="873">
                  <c:v>100.431</c:v>
                </c:pt>
                <c:pt idx="874">
                  <c:v>61.410499999999999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95.641599999999997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70.983500000000006</c:v>
                </c:pt>
                <c:pt idx="882">
                  <c:v>49.658000000000001</c:v>
                </c:pt>
                <c:pt idx="883">
                  <c:v>91.572599999999994</c:v>
                </c:pt>
                <c:pt idx="884">
                  <c:v>75.389799999999994</c:v>
                </c:pt>
                <c:pt idx="885">
                  <c:v>101.19110000000001</c:v>
                </c:pt>
                <c:pt idx="886">
                  <c:v>61.947099999999999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69.413200000000003</c:v>
                </c:pt>
                <c:pt idx="890">
                  <c:v>65.543700000000001</c:v>
                </c:pt>
                <c:pt idx="891">
                  <c:v>118.4162</c:v>
                </c:pt>
                <c:pt idx="892">
                  <c:v>103.6491</c:v>
                </c:pt>
                <c:pt idx="893">
                  <c:v>64.267200000000003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71.069999999999993</c:v>
                </c:pt>
                <c:pt idx="898">
                  <c:v>130.84399999999999</c:v>
                </c:pt>
                <c:pt idx="899">
                  <c:v>92.224999999999994</c:v>
                </c:pt>
                <c:pt idx="900">
                  <c:v>79.061599999999999</c:v>
                </c:pt>
                <c:pt idx="901">
                  <c:v>104.1075</c:v>
                </c:pt>
                <c:pt idx="902">
                  <c:v>99.425700000000006</c:v>
                </c:pt>
                <c:pt idx="903">
                  <c:v>71.199700000000007</c:v>
                </c:pt>
                <c:pt idx="904">
                  <c:v>89.467299999999994</c:v>
                </c:pt>
                <c:pt idx="905">
                  <c:v>82.000900000000001</c:v>
                </c:pt>
                <c:pt idx="906">
                  <c:v>85.997100000000003</c:v>
                </c:pt>
                <c:pt idx="907">
                  <c:v>98.722700000000003</c:v>
                </c:pt>
                <c:pt idx="908">
                  <c:v>75.162499999999994</c:v>
                </c:pt>
                <c:pt idx="909">
                  <c:v>108.997</c:v>
                </c:pt>
                <c:pt idx="910">
                  <c:v>86.066400000000002</c:v>
                </c:pt>
                <c:pt idx="911">
                  <c:v>98.756399999999999</c:v>
                </c:pt>
                <c:pt idx="912">
                  <c:v>93.554199999999994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82.9602</c:v>
                </c:pt>
                <c:pt idx="916">
                  <c:v>72.508600000000001</c:v>
                </c:pt>
                <c:pt idx="917">
                  <c:v>132.9691</c:v>
                </c:pt>
                <c:pt idx="918">
                  <c:v>68.381799999999998</c:v>
                </c:pt>
                <c:pt idx="919">
                  <c:v>73.394099999999995</c:v>
                </c:pt>
                <c:pt idx="920">
                  <c:v>92.134799999999998</c:v>
                </c:pt>
                <c:pt idx="921">
                  <c:v>89.898499999999999</c:v>
                </c:pt>
                <c:pt idx="922">
                  <c:v>130.03649999999999</c:v>
                </c:pt>
                <c:pt idx="923">
                  <c:v>87.877700000000004</c:v>
                </c:pt>
                <c:pt idx="924">
                  <c:v>82.846800000000002</c:v>
                </c:pt>
                <c:pt idx="925">
                  <c:v>88.422399999999996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75.786699999999996</c:v>
                </c:pt>
                <c:pt idx="932">
                  <c:v>67.120400000000004</c:v>
                </c:pt>
                <c:pt idx="933">
                  <c:v>60.976799999999997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81.438599999999994</c:v>
                </c:pt>
                <c:pt idx="938">
                  <c:v>88.859399999999994</c:v>
                </c:pt>
                <c:pt idx="939">
                  <c:v>73.334299999999999</c:v>
                </c:pt>
                <c:pt idx="940">
                  <c:v>88.719499999999996</c:v>
                </c:pt>
                <c:pt idx="941">
                  <c:v>163.6482</c:v>
                </c:pt>
                <c:pt idx="942">
                  <c:v>50.221400000000003</c:v>
                </c:pt>
                <c:pt idx="943">
                  <c:v>93.685900000000004</c:v>
                </c:pt>
                <c:pt idx="944">
                  <c:v>54.074100000000001</c:v>
                </c:pt>
                <c:pt idx="945">
                  <c:v>93.277199999999993</c:v>
                </c:pt>
                <c:pt idx="946">
                  <c:v>109.0628</c:v>
                </c:pt>
                <c:pt idx="947">
                  <c:v>94.174400000000006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92.683199999999999</c:v>
                </c:pt>
                <c:pt idx="951">
                  <c:v>81.709699999999998</c:v>
                </c:pt>
                <c:pt idx="952">
                  <c:v>80.438100000000006</c:v>
                </c:pt>
                <c:pt idx="953">
                  <c:v>79.499200000000002</c:v>
                </c:pt>
                <c:pt idx="954">
                  <c:v>86.261099999999999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99.282200000000003</c:v>
                </c:pt>
                <c:pt idx="958">
                  <c:v>118.218</c:v>
                </c:pt>
                <c:pt idx="959">
                  <c:v>92.959299999999999</c:v>
                </c:pt>
                <c:pt idx="960">
                  <c:v>108.9186</c:v>
                </c:pt>
                <c:pt idx="961">
                  <c:v>60.816600000000001</c:v>
                </c:pt>
                <c:pt idx="962">
                  <c:v>86.6023</c:v>
                </c:pt>
                <c:pt idx="963">
                  <c:v>91.376199999999997</c:v>
                </c:pt>
                <c:pt idx="964">
                  <c:v>89.765600000000006</c:v>
                </c:pt>
                <c:pt idx="965">
                  <c:v>111.4491</c:v>
                </c:pt>
                <c:pt idx="966">
                  <c:v>80.743099999999998</c:v>
                </c:pt>
                <c:pt idx="967">
                  <c:v>73.159400000000005</c:v>
                </c:pt>
                <c:pt idx="968">
                  <c:v>176.7784</c:v>
                </c:pt>
                <c:pt idx="969">
                  <c:v>95.773700000000005</c:v>
                </c:pt>
                <c:pt idx="970">
                  <c:v>122.7127</c:v>
                </c:pt>
                <c:pt idx="971">
                  <c:v>71.037999999999997</c:v>
                </c:pt>
                <c:pt idx="972">
                  <c:v>108.8023</c:v>
                </c:pt>
                <c:pt idx="973">
                  <c:v>106.0287</c:v>
                </c:pt>
                <c:pt idx="974">
                  <c:v>80.885599999999997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29.907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86.724599999999995</c:v>
                </c:pt>
                <c:pt idx="984">
                  <c:v>91.236000000000004</c:v>
                </c:pt>
                <c:pt idx="985">
                  <c:v>73.479900000000001</c:v>
                </c:pt>
                <c:pt idx="986">
                  <c:v>107.2128</c:v>
                </c:pt>
                <c:pt idx="987">
                  <c:v>92.698499999999996</c:v>
                </c:pt>
                <c:pt idx="988">
                  <c:v>82.496399999999994</c:v>
                </c:pt>
                <c:pt idx="989">
                  <c:v>149.32050000000001</c:v>
                </c:pt>
                <c:pt idx="990">
                  <c:v>98.299000000000007</c:v>
                </c:pt>
                <c:pt idx="991">
                  <c:v>75.260099999999994</c:v>
                </c:pt>
                <c:pt idx="992">
                  <c:v>67.332400000000007</c:v>
                </c:pt>
                <c:pt idx="993">
                  <c:v>90.301699999999997</c:v>
                </c:pt>
                <c:pt idx="994">
                  <c:v>77.787599999999998</c:v>
                </c:pt>
                <c:pt idx="995">
                  <c:v>74.455799999999996</c:v>
                </c:pt>
                <c:pt idx="996">
                  <c:v>169.77799999999999</c:v>
                </c:pt>
                <c:pt idx="997">
                  <c:v>84.463700000000003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xVal>
          <c:yVal>
            <c:numRef>
              <c:f>'Asset or Nothing Call Option'!$S$2:$S$1001</c:f>
              <c:numCache>
                <c:formatCode>0.00</c:formatCode>
                <c:ptCount val="1000"/>
                <c:pt idx="0">
                  <c:v>4.4783999999999997</c:v>
                </c:pt>
                <c:pt idx="1">
                  <c:v>20.444900000000001</c:v>
                </c:pt>
                <c:pt idx="2">
                  <c:v>164.49979999999999</c:v>
                </c:pt>
                <c:pt idx="3">
                  <c:v>3.6135999999999999</c:v>
                </c:pt>
                <c:pt idx="4">
                  <c:v>35.970700000000001</c:v>
                </c:pt>
                <c:pt idx="5">
                  <c:v>137.19820000000001</c:v>
                </c:pt>
                <c:pt idx="6">
                  <c:v>-2.6867999999999999</c:v>
                </c:pt>
                <c:pt idx="7">
                  <c:v>2.3443000000000001</c:v>
                </c:pt>
                <c:pt idx="8">
                  <c:v>0.92800000000000005</c:v>
                </c:pt>
                <c:pt idx="9">
                  <c:v>26.718800000000002</c:v>
                </c:pt>
                <c:pt idx="10">
                  <c:v>-6.2222999999999997</c:v>
                </c:pt>
                <c:pt idx="11">
                  <c:v>65.590900000000005</c:v>
                </c:pt>
                <c:pt idx="12">
                  <c:v>144.7782</c:v>
                </c:pt>
                <c:pt idx="13">
                  <c:v>24.369800000000001</c:v>
                </c:pt>
                <c:pt idx="14">
                  <c:v>-5.2454999999999998</c:v>
                </c:pt>
                <c:pt idx="15">
                  <c:v>55.008400000000002</c:v>
                </c:pt>
                <c:pt idx="16">
                  <c:v>8.7239000000000004</c:v>
                </c:pt>
                <c:pt idx="17">
                  <c:v>56.876100000000001</c:v>
                </c:pt>
                <c:pt idx="18">
                  <c:v>38.190600000000003</c:v>
                </c:pt>
                <c:pt idx="19">
                  <c:v>94.2928</c:v>
                </c:pt>
                <c:pt idx="20">
                  <c:v>5.6604000000000001</c:v>
                </c:pt>
                <c:pt idx="21">
                  <c:v>125.2987</c:v>
                </c:pt>
                <c:pt idx="22">
                  <c:v>135.45939999999999</c:v>
                </c:pt>
                <c:pt idx="23">
                  <c:v>83.007000000000005</c:v>
                </c:pt>
                <c:pt idx="24">
                  <c:v>135.65039999999999</c:v>
                </c:pt>
                <c:pt idx="25">
                  <c:v>143.1558</c:v>
                </c:pt>
                <c:pt idx="26">
                  <c:v>2.3412000000000002</c:v>
                </c:pt>
                <c:pt idx="27">
                  <c:v>119.4246</c:v>
                </c:pt>
                <c:pt idx="28">
                  <c:v>134.16120000000001</c:v>
                </c:pt>
                <c:pt idx="29">
                  <c:v>173.43690000000001</c:v>
                </c:pt>
                <c:pt idx="30">
                  <c:v>156.36429999999999</c:v>
                </c:pt>
                <c:pt idx="31">
                  <c:v>24.265599999999999</c:v>
                </c:pt>
                <c:pt idx="32">
                  <c:v>109.8105</c:v>
                </c:pt>
                <c:pt idx="33">
                  <c:v>60.310099999999998</c:v>
                </c:pt>
                <c:pt idx="34">
                  <c:v>4.0262000000000002</c:v>
                </c:pt>
                <c:pt idx="35">
                  <c:v>9.4076000000000004</c:v>
                </c:pt>
                <c:pt idx="36">
                  <c:v>92.7864</c:v>
                </c:pt>
                <c:pt idx="37">
                  <c:v>3.4424000000000001</c:v>
                </c:pt>
                <c:pt idx="38">
                  <c:v>116.15089999999999</c:v>
                </c:pt>
                <c:pt idx="39">
                  <c:v>-4.4284999999999997</c:v>
                </c:pt>
                <c:pt idx="40">
                  <c:v>10.6775</c:v>
                </c:pt>
                <c:pt idx="41">
                  <c:v>139.5437</c:v>
                </c:pt>
                <c:pt idx="42">
                  <c:v>95.207099999999997</c:v>
                </c:pt>
                <c:pt idx="43">
                  <c:v>0.52310000000000001</c:v>
                </c:pt>
                <c:pt idx="44">
                  <c:v>131.2998</c:v>
                </c:pt>
                <c:pt idx="45">
                  <c:v>99.0792</c:v>
                </c:pt>
                <c:pt idx="46">
                  <c:v>91.388199999999998</c:v>
                </c:pt>
                <c:pt idx="47">
                  <c:v>24.7193</c:v>
                </c:pt>
                <c:pt idx="48">
                  <c:v>105.83369999999999</c:v>
                </c:pt>
                <c:pt idx="49">
                  <c:v>115.0577</c:v>
                </c:pt>
                <c:pt idx="50">
                  <c:v>21.813199999999998</c:v>
                </c:pt>
                <c:pt idx="51">
                  <c:v>5.9328000000000003</c:v>
                </c:pt>
                <c:pt idx="52">
                  <c:v>-15.154999999999999</c:v>
                </c:pt>
                <c:pt idx="53">
                  <c:v>9.9268000000000001</c:v>
                </c:pt>
                <c:pt idx="54">
                  <c:v>93.144999999999996</c:v>
                </c:pt>
                <c:pt idx="55">
                  <c:v>-0.19409999999999999</c:v>
                </c:pt>
                <c:pt idx="56">
                  <c:v>115.7231</c:v>
                </c:pt>
                <c:pt idx="57">
                  <c:v>7.1805000000000003</c:v>
                </c:pt>
                <c:pt idx="58">
                  <c:v>7.9196</c:v>
                </c:pt>
                <c:pt idx="59">
                  <c:v>68.179000000000002</c:v>
                </c:pt>
                <c:pt idx="60">
                  <c:v>101.306</c:v>
                </c:pt>
                <c:pt idx="61">
                  <c:v>14.9908</c:v>
                </c:pt>
                <c:pt idx="62">
                  <c:v>78.566400000000002</c:v>
                </c:pt>
                <c:pt idx="63">
                  <c:v>150.66909999999999</c:v>
                </c:pt>
                <c:pt idx="64">
                  <c:v>-4.2949999999999999</c:v>
                </c:pt>
                <c:pt idx="65">
                  <c:v>22.121500000000001</c:v>
                </c:pt>
                <c:pt idx="66">
                  <c:v>67.165999999999997</c:v>
                </c:pt>
                <c:pt idx="67">
                  <c:v>134.50550000000001</c:v>
                </c:pt>
                <c:pt idx="68">
                  <c:v>-0.76139999999999997</c:v>
                </c:pt>
                <c:pt idx="69">
                  <c:v>141.21469999999999</c:v>
                </c:pt>
                <c:pt idx="70">
                  <c:v>5.6440000000000001</c:v>
                </c:pt>
                <c:pt idx="71">
                  <c:v>6.6879999999999997</c:v>
                </c:pt>
                <c:pt idx="72">
                  <c:v>63.792700000000004</c:v>
                </c:pt>
                <c:pt idx="73">
                  <c:v>33.2117</c:v>
                </c:pt>
                <c:pt idx="74">
                  <c:v>-4.3251999999999997</c:v>
                </c:pt>
                <c:pt idx="75">
                  <c:v>190.42619999999999</c:v>
                </c:pt>
                <c:pt idx="76">
                  <c:v>33.7333</c:v>
                </c:pt>
                <c:pt idx="77">
                  <c:v>158.97800000000001</c:v>
                </c:pt>
                <c:pt idx="78">
                  <c:v>8.1217000000000006</c:v>
                </c:pt>
                <c:pt idx="79">
                  <c:v>84.654200000000003</c:v>
                </c:pt>
                <c:pt idx="80">
                  <c:v>8.7207000000000008</c:v>
                </c:pt>
                <c:pt idx="81">
                  <c:v>144.06780000000001</c:v>
                </c:pt>
                <c:pt idx="82">
                  <c:v>127.3947</c:v>
                </c:pt>
                <c:pt idx="83">
                  <c:v>141.74250000000001</c:v>
                </c:pt>
                <c:pt idx="84">
                  <c:v>112.6223</c:v>
                </c:pt>
                <c:pt idx="85">
                  <c:v>109.6551</c:v>
                </c:pt>
                <c:pt idx="86">
                  <c:v>61.342399999999998</c:v>
                </c:pt>
                <c:pt idx="87">
                  <c:v>161.34460000000001</c:v>
                </c:pt>
                <c:pt idx="88">
                  <c:v>163.01150000000001</c:v>
                </c:pt>
                <c:pt idx="89">
                  <c:v>175.86500000000001</c:v>
                </c:pt>
                <c:pt idx="90">
                  <c:v>24.796600000000002</c:v>
                </c:pt>
                <c:pt idx="91">
                  <c:v>129.88890000000001</c:v>
                </c:pt>
                <c:pt idx="92">
                  <c:v>6.1546000000000003</c:v>
                </c:pt>
                <c:pt idx="93">
                  <c:v>161.7364</c:v>
                </c:pt>
                <c:pt idx="94">
                  <c:v>111.7149</c:v>
                </c:pt>
                <c:pt idx="95">
                  <c:v>14.4659</c:v>
                </c:pt>
                <c:pt idx="96">
                  <c:v>5.0324999999999998</c:v>
                </c:pt>
                <c:pt idx="97">
                  <c:v>78.9041</c:v>
                </c:pt>
                <c:pt idx="98">
                  <c:v>150.97730000000001</c:v>
                </c:pt>
                <c:pt idx="99">
                  <c:v>51.171100000000003</c:v>
                </c:pt>
                <c:pt idx="100">
                  <c:v>-8.7378</c:v>
                </c:pt>
                <c:pt idx="101">
                  <c:v>131.16749999999999</c:v>
                </c:pt>
                <c:pt idx="102">
                  <c:v>8.0394000000000005</c:v>
                </c:pt>
                <c:pt idx="103">
                  <c:v>58.169499999999999</c:v>
                </c:pt>
                <c:pt idx="104">
                  <c:v>-2.3075000000000001</c:v>
                </c:pt>
                <c:pt idx="105">
                  <c:v>90.1327</c:v>
                </c:pt>
                <c:pt idx="106">
                  <c:v>1.1846000000000001</c:v>
                </c:pt>
                <c:pt idx="107">
                  <c:v>10.4788</c:v>
                </c:pt>
                <c:pt idx="108">
                  <c:v>-6.4443999999999999</c:v>
                </c:pt>
                <c:pt idx="109">
                  <c:v>-2.2578999999999998</c:v>
                </c:pt>
                <c:pt idx="110">
                  <c:v>-1.2307999999999999</c:v>
                </c:pt>
                <c:pt idx="111">
                  <c:v>68.095100000000002</c:v>
                </c:pt>
                <c:pt idx="112">
                  <c:v>47.936399999999999</c:v>
                </c:pt>
                <c:pt idx="113">
                  <c:v>63.515300000000003</c:v>
                </c:pt>
                <c:pt idx="114">
                  <c:v>13.704700000000001</c:v>
                </c:pt>
                <c:pt idx="115">
                  <c:v>91.938500000000005</c:v>
                </c:pt>
                <c:pt idx="116">
                  <c:v>148.0821</c:v>
                </c:pt>
                <c:pt idx="117">
                  <c:v>0.80230000000000001</c:v>
                </c:pt>
                <c:pt idx="118">
                  <c:v>-3.2324000000000002</c:v>
                </c:pt>
                <c:pt idx="119">
                  <c:v>-4.7622</c:v>
                </c:pt>
                <c:pt idx="120">
                  <c:v>132.37350000000001</c:v>
                </c:pt>
                <c:pt idx="121">
                  <c:v>107.79510000000001</c:v>
                </c:pt>
                <c:pt idx="122">
                  <c:v>-24.092099999999999</c:v>
                </c:pt>
                <c:pt idx="123">
                  <c:v>163.15029999999999</c:v>
                </c:pt>
                <c:pt idx="124">
                  <c:v>116.5668</c:v>
                </c:pt>
                <c:pt idx="125">
                  <c:v>113.01600000000001</c:v>
                </c:pt>
                <c:pt idx="126">
                  <c:v>-8.1021999999999998</c:v>
                </c:pt>
                <c:pt idx="127">
                  <c:v>-11.203900000000001</c:v>
                </c:pt>
                <c:pt idx="128">
                  <c:v>-3.0849000000000002</c:v>
                </c:pt>
                <c:pt idx="129">
                  <c:v>57.592399999999998</c:v>
                </c:pt>
                <c:pt idx="130">
                  <c:v>146.572</c:v>
                </c:pt>
                <c:pt idx="131">
                  <c:v>73.281400000000005</c:v>
                </c:pt>
                <c:pt idx="132">
                  <c:v>128.31909999999999</c:v>
                </c:pt>
                <c:pt idx="133">
                  <c:v>85.234300000000005</c:v>
                </c:pt>
                <c:pt idx="134">
                  <c:v>6.51</c:v>
                </c:pt>
                <c:pt idx="135">
                  <c:v>164.11070000000001</c:v>
                </c:pt>
                <c:pt idx="136">
                  <c:v>218.91990000000001</c:v>
                </c:pt>
                <c:pt idx="137">
                  <c:v>120.9239</c:v>
                </c:pt>
                <c:pt idx="138">
                  <c:v>18.576499999999999</c:v>
                </c:pt>
                <c:pt idx="139">
                  <c:v>6.0021000000000004</c:v>
                </c:pt>
                <c:pt idx="140">
                  <c:v>-3.7913000000000001</c:v>
                </c:pt>
                <c:pt idx="141">
                  <c:v>118.11879999999999</c:v>
                </c:pt>
                <c:pt idx="142">
                  <c:v>0.68879999999999997</c:v>
                </c:pt>
                <c:pt idx="143">
                  <c:v>210.4419</c:v>
                </c:pt>
                <c:pt idx="144">
                  <c:v>114.29389999999999</c:v>
                </c:pt>
                <c:pt idx="145">
                  <c:v>27.044499999999999</c:v>
                </c:pt>
                <c:pt idx="146">
                  <c:v>123.545</c:v>
                </c:pt>
                <c:pt idx="147">
                  <c:v>143.9281</c:v>
                </c:pt>
                <c:pt idx="148">
                  <c:v>130.8655</c:v>
                </c:pt>
                <c:pt idx="149">
                  <c:v>122.8719</c:v>
                </c:pt>
                <c:pt idx="150">
                  <c:v>149.286</c:v>
                </c:pt>
                <c:pt idx="151">
                  <c:v>116.5462</c:v>
                </c:pt>
                <c:pt idx="152">
                  <c:v>35.5944</c:v>
                </c:pt>
                <c:pt idx="153">
                  <c:v>-0.215</c:v>
                </c:pt>
                <c:pt idx="154">
                  <c:v>83.449799999999996</c:v>
                </c:pt>
                <c:pt idx="155">
                  <c:v>197.80250000000001</c:v>
                </c:pt>
                <c:pt idx="156">
                  <c:v>114.718</c:v>
                </c:pt>
                <c:pt idx="157">
                  <c:v>-1.41E-2</c:v>
                </c:pt>
                <c:pt idx="158">
                  <c:v>-1.7307999999999999</c:v>
                </c:pt>
                <c:pt idx="159">
                  <c:v>37.6815</c:v>
                </c:pt>
                <c:pt idx="160">
                  <c:v>44.684899999999999</c:v>
                </c:pt>
                <c:pt idx="161">
                  <c:v>34.690399999999997</c:v>
                </c:pt>
                <c:pt idx="162">
                  <c:v>147.8544</c:v>
                </c:pt>
                <c:pt idx="163">
                  <c:v>118.5205</c:v>
                </c:pt>
                <c:pt idx="164">
                  <c:v>169.17660000000001</c:v>
                </c:pt>
                <c:pt idx="165">
                  <c:v>137.60749999999999</c:v>
                </c:pt>
                <c:pt idx="166">
                  <c:v>7.0890000000000004</c:v>
                </c:pt>
                <c:pt idx="167">
                  <c:v>115.8982</c:v>
                </c:pt>
                <c:pt idx="168">
                  <c:v>46.526200000000003</c:v>
                </c:pt>
                <c:pt idx="169">
                  <c:v>25.261900000000001</c:v>
                </c:pt>
                <c:pt idx="170">
                  <c:v>125.2988</c:v>
                </c:pt>
                <c:pt idx="171">
                  <c:v>16.6615</c:v>
                </c:pt>
                <c:pt idx="172">
                  <c:v>5.9028999999999998</c:v>
                </c:pt>
                <c:pt idx="173">
                  <c:v>139.6079</c:v>
                </c:pt>
                <c:pt idx="174">
                  <c:v>5.5236999999999998</c:v>
                </c:pt>
                <c:pt idx="175">
                  <c:v>44.172499999999999</c:v>
                </c:pt>
                <c:pt idx="176">
                  <c:v>132.25290000000001</c:v>
                </c:pt>
                <c:pt idx="177">
                  <c:v>-18.1083</c:v>
                </c:pt>
                <c:pt idx="178">
                  <c:v>37.180999999999997</c:v>
                </c:pt>
                <c:pt idx="179">
                  <c:v>52.7896</c:v>
                </c:pt>
                <c:pt idx="180">
                  <c:v>200.10679999999999</c:v>
                </c:pt>
                <c:pt idx="181">
                  <c:v>132.98480000000001</c:v>
                </c:pt>
                <c:pt idx="182">
                  <c:v>147.43129999999999</c:v>
                </c:pt>
                <c:pt idx="183">
                  <c:v>46.808</c:v>
                </c:pt>
                <c:pt idx="184">
                  <c:v>6.3807</c:v>
                </c:pt>
                <c:pt idx="185">
                  <c:v>1.0102</c:v>
                </c:pt>
                <c:pt idx="186">
                  <c:v>104.6728</c:v>
                </c:pt>
                <c:pt idx="187">
                  <c:v>148.364</c:v>
                </c:pt>
                <c:pt idx="188">
                  <c:v>29.006</c:v>
                </c:pt>
                <c:pt idx="189">
                  <c:v>5.1717000000000004</c:v>
                </c:pt>
                <c:pt idx="190">
                  <c:v>133.13650000000001</c:v>
                </c:pt>
                <c:pt idx="191">
                  <c:v>8.3000000000000001E-3</c:v>
                </c:pt>
                <c:pt idx="192">
                  <c:v>77.7727</c:v>
                </c:pt>
                <c:pt idx="193">
                  <c:v>64.761899999999997</c:v>
                </c:pt>
                <c:pt idx="194">
                  <c:v>53.934699999999999</c:v>
                </c:pt>
                <c:pt idx="195">
                  <c:v>116.41630000000001</c:v>
                </c:pt>
                <c:pt idx="196">
                  <c:v>2.4165999999999999</c:v>
                </c:pt>
                <c:pt idx="197">
                  <c:v>-0.19719999999999999</c:v>
                </c:pt>
                <c:pt idx="198">
                  <c:v>18.318899999999999</c:v>
                </c:pt>
                <c:pt idx="199">
                  <c:v>161.86490000000001</c:v>
                </c:pt>
                <c:pt idx="200">
                  <c:v>3.5226000000000002</c:v>
                </c:pt>
                <c:pt idx="201">
                  <c:v>-2.6922999999999999</c:v>
                </c:pt>
                <c:pt idx="202">
                  <c:v>226.82929999999999</c:v>
                </c:pt>
                <c:pt idx="203">
                  <c:v>18.207599999999999</c:v>
                </c:pt>
                <c:pt idx="204">
                  <c:v>16.681699999999999</c:v>
                </c:pt>
                <c:pt idx="205">
                  <c:v>82.142600000000002</c:v>
                </c:pt>
                <c:pt idx="206">
                  <c:v>101.4798</c:v>
                </c:pt>
                <c:pt idx="207">
                  <c:v>44.401800000000001</c:v>
                </c:pt>
                <c:pt idx="208">
                  <c:v>-8.8556000000000008</c:v>
                </c:pt>
                <c:pt idx="209">
                  <c:v>142.04259999999999</c:v>
                </c:pt>
                <c:pt idx="210">
                  <c:v>110.3115</c:v>
                </c:pt>
                <c:pt idx="211">
                  <c:v>62.761600000000001</c:v>
                </c:pt>
                <c:pt idx="212">
                  <c:v>-2.8628</c:v>
                </c:pt>
                <c:pt idx="213">
                  <c:v>145.53639999999999</c:v>
                </c:pt>
                <c:pt idx="214">
                  <c:v>-3.6400999999999999</c:v>
                </c:pt>
                <c:pt idx="215">
                  <c:v>-4.2089999999999996</c:v>
                </c:pt>
                <c:pt idx="216">
                  <c:v>4.0218999999999996</c:v>
                </c:pt>
                <c:pt idx="217">
                  <c:v>134.26509999999999</c:v>
                </c:pt>
                <c:pt idx="218">
                  <c:v>158.47030000000001</c:v>
                </c:pt>
                <c:pt idx="219">
                  <c:v>-12.3855</c:v>
                </c:pt>
                <c:pt idx="220">
                  <c:v>7.1993</c:v>
                </c:pt>
                <c:pt idx="221">
                  <c:v>-3.7378</c:v>
                </c:pt>
                <c:pt idx="222">
                  <c:v>60.476100000000002</c:v>
                </c:pt>
                <c:pt idx="223">
                  <c:v>3.1800000000000002E-2</c:v>
                </c:pt>
                <c:pt idx="224">
                  <c:v>93.464299999999994</c:v>
                </c:pt>
                <c:pt idx="225">
                  <c:v>-8.4983000000000004</c:v>
                </c:pt>
                <c:pt idx="226">
                  <c:v>164.53280000000001</c:v>
                </c:pt>
                <c:pt idx="227">
                  <c:v>141.24940000000001</c:v>
                </c:pt>
                <c:pt idx="228">
                  <c:v>112.0059</c:v>
                </c:pt>
                <c:pt idx="229">
                  <c:v>-9.4259000000000004</c:v>
                </c:pt>
                <c:pt idx="230">
                  <c:v>185.58099999999999</c:v>
                </c:pt>
                <c:pt idx="231">
                  <c:v>201.65620000000001</c:v>
                </c:pt>
                <c:pt idx="232">
                  <c:v>0.94550000000000001</c:v>
                </c:pt>
                <c:pt idx="233">
                  <c:v>-4.3811</c:v>
                </c:pt>
                <c:pt idx="234">
                  <c:v>125.8218</c:v>
                </c:pt>
                <c:pt idx="235">
                  <c:v>88.391300000000001</c:v>
                </c:pt>
                <c:pt idx="236">
                  <c:v>24.621500000000001</c:v>
                </c:pt>
                <c:pt idx="237">
                  <c:v>59.475299999999997</c:v>
                </c:pt>
                <c:pt idx="238">
                  <c:v>63.666600000000003</c:v>
                </c:pt>
                <c:pt idx="239">
                  <c:v>142.56729999999999</c:v>
                </c:pt>
                <c:pt idx="240">
                  <c:v>125.8158</c:v>
                </c:pt>
                <c:pt idx="241">
                  <c:v>96.524600000000007</c:v>
                </c:pt>
                <c:pt idx="242">
                  <c:v>94.832099999999997</c:v>
                </c:pt>
                <c:pt idx="243">
                  <c:v>5.4321000000000002</c:v>
                </c:pt>
                <c:pt idx="244">
                  <c:v>127.8049</c:v>
                </c:pt>
                <c:pt idx="245">
                  <c:v>171.34469999999999</c:v>
                </c:pt>
                <c:pt idx="246">
                  <c:v>105.03019999999999</c:v>
                </c:pt>
                <c:pt idx="247">
                  <c:v>3.4489000000000001</c:v>
                </c:pt>
                <c:pt idx="248">
                  <c:v>103.39190000000001</c:v>
                </c:pt>
                <c:pt idx="249">
                  <c:v>46.986499999999999</c:v>
                </c:pt>
                <c:pt idx="250">
                  <c:v>59.243099999999998</c:v>
                </c:pt>
                <c:pt idx="251">
                  <c:v>59.2179</c:v>
                </c:pt>
                <c:pt idx="252">
                  <c:v>-8.3329000000000004</c:v>
                </c:pt>
                <c:pt idx="253">
                  <c:v>213.43379999999999</c:v>
                </c:pt>
                <c:pt idx="254">
                  <c:v>128.62129999999999</c:v>
                </c:pt>
                <c:pt idx="255">
                  <c:v>15.073700000000001</c:v>
                </c:pt>
                <c:pt idx="256">
                  <c:v>91.650599999999997</c:v>
                </c:pt>
                <c:pt idx="257">
                  <c:v>11.2737</c:v>
                </c:pt>
                <c:pt idx="258">
                  <c:v>49.846299999999999</c:v>
                </c:pt>
                <c:pt idx="259">
                  <c:v>117.5501</c:v>
                </c:pt>
                <c:pt idx="260">
                  <c:v>109.7949</c:v>
                </c:pt>
                <c:pt idx="261">
                  <c:v>11.7591</c:v>
                </c:pt>
                <c:pt idx="262">
                  <c:v>-2.5244</c:v>
                </c:pt>
                <c:pt idx="263">
                  <c:v>27.741199999999999</c:v>
                </c:pt>
                <c:pt idx="264">
                  <c:v>12.2645</c:v>
                </c:pt>
                <c:pt idx="265">
                  <c:v>107.08029999999999</c:v>
                </c:pt>
                <c:pt idx="266">
                  <c:v>89.4589</c:v>
                </c:pt>
                <c:pt idx="267">
                  <c:v>-3.3292999999999999</c:v>
                </c:pt>
                <c:pt idx="268">
                  <c:v>87.977599999999995</c:v>
                </c:pt>
                <c:pt idx="269">
                  <c:v>24.237300000000001</c:v>
                </c:pt>
                <c:pt idx="270">
                  <c:v>182.9734</c:v>
                </c:pt>
                <c:pt idx="271">
                  <c:v>143.75909999999999</c:v>
                </c:pt>
                <c:pt idx="272">
                  <c:v>-2.0247999999999999</c:v>
                </c:pt>
                <c:pt idx="273">
                  <c:v>16.213999999999999</c:v>
                </c:pt>
                <c:pt idx="274">
                  <c:v>154.11850000000001</c:v>
                </c:pt>
                <c:pt idx="275">
                  <c:v>99.899900000000002</c:v>
                </c:pt>
                <c:pt idx="276">
                  <c:v>10.9307</c:v>
                </c:pt>
                <c:pt idx="277">
                  <c:v>-1.7891999999999999</c:v>
                </c:pt>
                <c:pt idx="278">
                  <c:v>133.4769</c:v>
                </c:pt>
                <c:pt idx="279">
                  <c:v>1.2077</c:v>
                </c:pt>
                <c:pt idx="280">
                  <c:v>9.798</c:v>
                </c:pt>
                <c:pt idx="281">
                  <c:v>-4.7530999999999999</c:v>
                </c:pt>
                <c:pt idx="282">
                  <c:v>-5.4265999999999996</c:v>
                </c:pt>
                <c:pt idx="283">
                  <c:v>104.6172</c:v>
                </c:pt>
                <c:pt idx="284">
                  <c:v>1.1044</c:v>
                </c:pt>
                <c:pt idx="285">
                  <c:v>11.5595</c:v>
                </c:pt>
                <c:pt idx="286">
                  <c:v>99.8095</c:v>
                </c:pt>
                <c:pt idx="287">
                  <c:v>8.8874999999999993</c:v>
                </c:pt>
                <c:pt idx="288">
                  <c:v>0.14990000000000001</c:v>
                </c:pt>
                <c:pt idx="289">
                  <c:v>90.083500000000001</c:v>
                </c:pt>
                <c:pt idx="290">
                  <c:v>-0.37119999999999997</c:v>
                </c:pt>
                <c:pt idx="291">
                  <c:v>151.74610000000001</c:v>
                </c:pt>
                <c:pt idx="292">
                  <c:v>12.887499999999999</c:v>
                </c:pt>
                <c:pt idx="293">
                  <c:v>2.1419999999999999</c:v>
                </c:pt>
                <c:pt idx="294">
                  <c:v>-7.6520000000000001</c:v>
                </c:pt>
                <c:pt idx="295">
                  <c:v>-11.4527</c:v>
                </c:pt>
                <c:pt idx="296">
                  <c:v>118.7402</c:v>
                </c:pt>
                <c:pt idx="297">
                  <c:v>4.9654999999999996</c:v>
                </c:pt>
                <c:pt idx="298">
                  <c:v>6.6344000000000003</c:v>
                </c:pt>
                <c:pt idx="299">
                  <c:v>138.1977</c:v>
                </c:pt>
                <c:pt idx="300">
                  <c:v>168.24809999999999</c:v>
                </c:pt>
                <c:pt idx="301">
                  <c:v>130.2501</c:v>
                </c:pt>
                <c:pt idx="302">
                  <c:v>15.3428</c:v>
                </c:pt>
                <c:pt idx="303">
                  <c:v>96.606899999999996</c:v>
                </c:pt>
                <c:pt idx="304">
                  <c:v>60.5914</c:v>
                </c:pt>
                <c:pt idx="305">
                  <c:v>3.8368000000000002</c:v>
                </c:pt>
                <c:pt idx="306">
                  <c:v>115.1635</c:v>
                </c:pt>
                <c:pt idx="307">
                  <c:v>58.959099999999999</c:v>
                </c:pt>
                <c:pt idx="308">
                  <c:v>179.76169999999999</c:v>
                </c:pt>
                <c:pt idx="309">
                  <c:v>54.248800000000003</c:v>
                </c:pt>
                <c:pt idx="310">
                  <c:v>7.8215000000000003</c:v>
                </c:pt>
                <c:pt idx="311">
                  <c:v>142.69210000000001</c:v>
                </c:pt>
                <c:pt idx="312">
                  <c:v>13.054600000000001</c:v>
                </c:pt>
                <c:pt idx="313">
                  <c:v>124.23350000000001</c:v>
                </c:pt>
                <c:pt idx="314">
                  <c:v>123.9914</c:v>
                </c:pt>
                <c:pt idx="315">
                  <c:v>-1.2894000000000001</c:v>
                </c:pt>
                <c:pt idx="316">
                  <c:v>5.9156000000000004</c:v>
                </c:pt>
                <c:pt idx="317">
                  <c:v>93.538899999999998</c:v>
                </c:pt>
                <c:pt idx="318">
                  <c:v>115.6448</c:v>
                </c:pt>
                <c:pt idx="319">
                  <c:v>120.55549999999999</c:v>
                </c:pt>
                <c:pt idx="320">
                  <c:v>258.42680000000001</c:v>
                </c:pt>
                <c:pt idx="321">
                  <c:v>156.8449</c:v>
                </c:pt>
                <c:pt idx="322">
                  <c:v>1.6364000000000001</c:v>
                </c:pt>
                <c:pt idx="323">
                  <c:v>115.60169999999999</c:v>
                </c:pt>
                <c:pt idx="324">
                  <c:v>-1.621</c:v>
                </c:pt>
                <c:pt idx="325">
                  <c:v>52.434399999999997</c:v>
                </c:pt>
                <c:pt idx="326">
                  <c:v>42.522799999999997</c:v>
                </c:pt>
                <c:pt idx="327">
                  <c:v>53.021900000000002</c:v>
                </c:pt>
                <c:pt idx="328">
                  <c:v>25.965800000000002</c:v>
                </c:pt>
                <c:pt idx="329">
                  <c:v>-4.0077999999999996</c:v>
                </c:pt>
                <c:pt idx="330">
                  <c:v>-1.09E-2</c:v>
                </c:pt>
                <c:pt idx="331">
                  <c:v>118.3663</c:v>
                </c:pt>
                <c:pt idx="332">
                  <c:v>2.2101999999999999</c:v>
                </c:pt>
                <c:pt idx="333">
                  <c:v>-2.7597999999999998</c:v>
                </c:pt>
                <c:pt idx="334">
                  <c:v>115.3977</c:v>
                </c:pt>
                <c:pt idx="335">
                  <c:v>59.188000000000002</c:v>
                </c:pt>
                <c:pt idx="336">
                  <c:v>-1.1415</c:v>
                </c:pt>
                <c:pt idx="337">
                  <c:v>38.746000000000002</c:v>
                </c:pt>
                <c:pt idx="338">
                  <c:v>-0.88549999999999995</c:v>
                </c:pt>
                <c:pt idx="339">
                  <c:v>-10.3315</c:v>
                </c:pt>
                <c:pt idx="340">
                  <c:v>148.85429999999999</c:v>
                </c:pt>
                <c:pt idx="341">
                  <c:v>18.467700000000001</c:v>
                </c:pt>
                <c:pt idx="342">
                  <c:v>49.924399999999999</c:v>
                </c:pt>
                <c:pt idx="343">
                  <c:v>11.378500000000001</c:v>
                </c:pt>
                <c:pt idx="344">
                  <c:v>23.6035</c:v>
                </c:pt>
                <c:pt idx="345">
                  <c:v>98.000900000000001</c:v>
                </c:pt>
                <c:pt idx="346">
                  <c:v>135.35919999999999</c:v>
                </c:pt>
                <c:pt idx="347">
                  <c:v>2.5072999999999999</c:v>
                </c:pt>
                <c:pt idx="348">
                  <c:v>16.358699999999999</c:v>
                </c:pt>
                <c:pt idx="349">
                  <c:v>34.736499999999999</c:v>
                </c:pt>
                <c:pt idx="350">
                  <c:v>4.7313000000000001</c:v>
                </c:pt>
                <c:pt idx="351">
                  <c:v>-25.335699999999999</c:v>
                </c:pt>
                <c:pt idx="352">
                  <c:v>143.7953</c:v>
                </c:pt>
                <c:pt idx="353">
                  <c:v>9.2484000000000002</c:v>
                </c:pt>
                <c:pt idx="354">
                  <c:v>3.8123</c:v>
                </c:pt>
                <c:pt idx="355">
                  <c:v>30.286999999999999</c:v>
                </c:pt>
                <c:pt idx="356">
                  <c:v>108.569</c:v>
                </c:pt>
                <c:pt idx="357">
                  <c:v>-11.0123</c:v>
                </c:pt>
                <c:pt idx="358">
                  <c:v>42.367600000000003</c:v>
                </c:pt>
                <c:pt idx="359">
                  <c:v>83.103700000000003</c:v>
                </c:pt>
                <c:pt idx="360">
                  <c:v>-0.82189999999999996</c:v>
                </c:pt>
                <c:pt idx="361">
                  <c:v>31.3186</c:v>
                </c:pt>
                <c:pt idx="362">
                  <c:v>103.4427</c:v>
                </c:pt>
                <c:pt idx="363">
                  <c:v>2.762</c:v>
                </c:pt>
                <c:pt idx="364">
                  <c:v>151.44030000000001</c:v>
                </c:pt>
                <c:pt idx="365">
                  <c:v>10.1198</c:v>
                </c:pt>
                <c:pt idx="366">
                  <c:v>-2.5196999999999998</c:v>
                </c:pt>
                <c:pt idx="367">
                  <c:v>89.594200000000001</c:v>
                </c:pt>
                <c:pt idx="368">
                  <c:v>117.8494</c:v>
                </c:pt>
                <c:pt idx="369">
                  <c:v>-1.498</c:v>
                </c:pt>
                <c:pt idx="370">
                  <c:v>159.0968</c:v>
                </c:pt>
                <c:pt idx="371">
                  <c:v>23.074200000000001</c:v>
                </c:pt>
                <c:pt idx="372">
                  <c:v>62.587400000000002</c:v>
                </c:pt>
                <c:pt idx="373">
                  <c:v>113.9867</c:v>
                </c:pt>
                <c:pt idx="374">
                  <c:v>2.8818000000000001</c:v>
                </c:pt>
                <c:pt idx="375">
                  <c:v>58.016399999999997</c:v>
                </c:pt>
                <c:pt idx="376">
                  <c:v>85.114199999999997</c:v>
                </c:pt>
                <c:pt idx="377">
                  <c:v>-4.2799999999999998E-2</c:v>
                </c:pt>
                <c:pt idx="378">
                  <c:v>42.887500000000003</c:v>
                </c:pt>
                <c:pt idx="379">
                  <c:v>105.5677</c:v>
                </c:pt>
                <c:pt idx="380">
                  <c:v>-0.65469999999999995</c:v>
                </c:pt>
                <c:pt idx="381">
                  <c:v>123.1005</c:v>
                </c:pt>
                <c:pt idx="382">
                  <c:v>10.260300000000001</c:v>
                </c:pt>
                <c:pt idx="383">
                  <c:v>32.2515</c:v>
                </c:pt>
                <c:pt idx="384">
                  <c:v>90.758899999999997</c:v>
                </c:pt>
                <c:pt idx="385">
                  <c:v>-12.748100000000001</c:v>
                </c:pt>
                <c:pt idx="386">
                  <c:v>20.672999999999998</c:v>
                </c:pt>
                <c:pt idx="387">
                  <c:v>104.8105</c:v>
                </c:pt>
                <c:pt idx="388">
                  <c:v>154.57380000000001</c:v>
                </c:pt>
                <c:pt idx="389">
                  <c:v>55.320099999999996</c:v>
                </c:pt>
                <c:pt idx="390">
                  <c:v>-0.85270000000000001</c:v>
                </c:pt>
                <c:pt idx="391">
                  <c:v>147.37280000000001</c:v>
                </c:pt>
                <c:pt idx="392">
                  <c:v>108.4126</c:v>
                </c:pt>
                <c:pt idx="393">
                  <c:v>1.1359999999999999</c:v>
                </c:pt>
                <c:pt idx="394">
                  <c:v>155.58840000000001</c:v>
                </c:pt>
                <c:pt idx="395">
                  <c:v>5.0327999999999999</c:v>
                </c:pt>
                <c:pt idx="396">
                  <c:v>112.1484</c:v>
                </c:pt>
                <c:pt idx="397">
                  <c:v>131.7612</c:v>
                </c:pt>
                <c:pt idx="398">
                  <c:v>17.0471</c:v>
                </c:pt>
                <c:pt idx="399">
                  <c:v>14.8706</c:v>
                </c:pt>
                <c:pt idx="400">
                  <c:v>40.395899999999997</c:v>
                </c:pt>
                <c:pt idx="401">
                  <c:v>167.6276</c:v>
                </c:pt>
                <c:pt idx="402">
                  <c:v>84.531599999999997</c:v>
                </c:pt>
                <c:pt idx="403">
                  <c:v>170.48939999999999</c:v>
                </c:pt>
                <c:pt idx="404">
                  <c:v>-2.0226000000000002</c:v>
                </c:pt>
                <c:pt idx="405">
                  <c:v>15.4689</c:v>
                </c:pt>
                <c:pt idx="406">
                  <c:v>132.20519999999999</c:v>
                </c:pt>
                <c:pt idx="407">
                  <c:v>11.878299999999999</c:v>
                </c:pt>
                <c:pt idx="408">
                  <c:v>44.180700000000002</c:v>
                </c:pt>
                <c:pt idx="409">
                  <c:v>-4.6303999999999998</c:v>
                </c:pt>
                <c:pt idx="410">
                  <c:v>2.3641999999999999</c:v>
                </c:pt>
                <c:pt idx="411">
                  <c:v>155.76660000000001</c:v>
                </c:pt>
                <c:pt idx="412">
                  <c:v>146.71019999999999</c:v>
                </c:pt>
                <c:pt idx="413">
                  <c:v>137.2636</c:v>
                </c:pt>
                <c:pt idx="414">
                  <c:v>73.651600000000002</c:v>
                </c:pt>
                <c:pt idx="415">
                  <c:v>129.6566</c:v>
                </c:pt>
                <c:pt idx="416">
                  <c:v>61.764899999999997</c:v>
                </c:pt>
                <c:pt idx="417">
                  <c:v>1.3813</c:v>
                </c:pt>
                <c:pt idx="418">
                  <c:v>14.3125</c:v>
                </c:pt>
                <c:pt idx="419">
                  <c:v>88.570599999999999</c:v>
                </c:pt>
                <c:pt idx="420">
                  <c:v>127.7647</c:v>
                </c:pt>
                <c:pt idx="421">
                  <c:v>181.42760000000001</c:v>
                </c:pt>
                <c:pt idx="422">
                  <c:v>149.09520000000001</c:v>
                </c:pt>
                <c:pt idx="423">
                  <c:v>132.74090000000001</c:v>
                </c:pt>
                <c:pt idx="424">
                  <c:v>173.04480000000001</c:v>
                </c:pt>
                <c:pt idx="425">
                  <c:v>59.957599999999999</c:v>
                </c:pt>
                <c:pt idx="426">
                  <c:v>0.96289999999999998</c:v>
                </c:pt>
                <c:pt idx="427">
                  <c:v>-1.5747</c:v>
                </c:pt>
                <c:pt idx="428">
                  <c:v>115.53189999999999</c:v>
                </c:pt>
                <c:pt idx="429">
                  <c:v>3.7082999999999999</c:v>
                </c:pt>
                <c:pt idx="430">
                  <c:v>-30.786000000000001</c:v>
                </c:pt>
                <c:pt idx="431">
                  <c:v>108.2944</c:v>
                </c:pt>
                <c:pt idx="432">
                  <c:v>91.6982</c:v>
                </c:pt>
                <c:pt idx="433">
                  <c:v>146.9854</c:v>
                </c:pt>
                <c:pt idx="434">
                  <c:v>-2.0146000000000002</c:v>
                </c:pt>
                <c:pt idx="435">
                  <c:v>109.224</c:v>
                </c:pt>
                <c:pt idx="436">
                  <c:v>-1.0318000000000001</c:v>
                </c:pt>
                <c:pt idx="437">
                  <c:v>107.7295</c:v>
                </c:pt>
                <c:pt idx="438">
                  <c:v>122.5437</c:v>
                </c:pt>
                <c:pt idx="439">
                  <c:v>95.486999999999995</c:v>
                </c:pt>
                <c:pt idx="440">
                  <c:v>-3.8250000000000002</c:v>
                </c:pt>
                <c:pt idx="441">
                  <c:v>65.874700000000004</c:v>
                </c:pt>
                <c:pt idx="442">
                  <c:v>139.5642</c:v>
                </c:pt>
                <c:pt idx="443">
                  <c:v>78.046400000000006</c:v>
                </c:pt>
                <c:pt idx="444">
                  <c:v>16.3431</c:v>
                </c:pt>
                <c:pt idx="445">
                  <c:v>11.469200000000001</c:v>
                </c:pt>
                <c:pt idx="446">
                  <c:v>137.78729999999999</c:v>
                </c:pt>
                <c:pt idx="447">
                  <c:v>8.6795000000000009</c:v>
                </c:pt>
                <c:pt idx="448">
                  <c:v>114.4239</c:v>
                </c:pt>
                <c:pt idx="449">
                  <c:v>144.26499999999999</c:v>
                </c:pt>
                <c:pt idx="450">
                  <c:v>81.927099999999996</c:v>
                </c:pt>
                <c:pt idx="451">
                  <c:v>112.6237</c:v>
                </c:pt>
                <c:pt idx="452">
                  <c:v>88.316599999999994</c:v>
                </c:pt>
                <c:pt idx="453">
                  <c:v>167.6987</c:v>
                </c:pt>
                <c:pt idx="454">
                  <c:v>127.5639</c:v>
                </c:pt>
                <c:pt idx="455">
                  <c:v>96.411799999999999</c:v>
                </c:pt>
                <c:pt idx="456">
                  <c:v>162.6688</c:v>
                </c:pt>
                <c:pt idx="457">
                  <c:v>-7.8312999999999997</c:v>
                </c:pt>
                <c:pt idx="458">
                  <c:v>2.3098999999999998</c:v>
                </c:pt>
                <c:pt idx="459">
                  <c:v>-4.9398999999999997</c:v>
                </c:pt>
                <c:pt idx="460">
                  <c:v>-1.7786</c:v>
                </c:pt>
                <c:pt idx="461">
                  <c:v>48.169800000000002</c:v>
                </c:pt>
                <c:pt idx="462">
                  <c:v>39.902500000000003</c:v>
                </c:pt>
                <c:pt idx="463">
                  <c:v>100.88209999999999</c:v>
                </c:pt>
                <c:pt idx="464">
                  <c:v>-1.3989</c:v>
                </c:pt>
                <c:pt idx="465">
                  <c:v>-1.0650999999999999</c:v>
                </c:pt>
                <c:pt idx="466">
                  <c:v>2.0573000000000001</c:v>
                </c:pt>
                <c:pt idx="467">
                  <c:v>0.82950000000000002</c:v>
                </c:pt>
                <c:pt idx="468">
                  <c:v>42.409799999999997</c:v>
                </c:pt>
                <c:pt idx="469">
                  <c:v>142.03550000000001</c:v>
                </c:pt>
                <c:pt idx="470">
                  <c:v>88.799800000000005</c:v>
                </c:pt>
                <c:pt idx="471">
                  <c:v>111.3192</c:v>
                </c:pt>
                <c:pt idx="472">
                  <c:v>157.04230000000001</c:v>
                </c:pt>
                <c:pt idx="473">
                  <c:v>159.94059999999999</c:v>
                </c:pt>
                <c:pt idx="474">
                  <c:v>14.2918</c:v>
                </c:pt>
                <c:pt idx="475">
                  <c:v>63.904499999999999</c:v>
                </c:pt>
                <c:pt idx="476">
                  <c:v>47.285299999999999</c:v>
                </c:pt>
                <c:pt idx="477">
                  <c:v>54.076099999999997</c:v>
                </c:pt>
                <c:pt idx="478">
                  <c:v>103.0455</c:v>
                </c:pt>
                <c:pt idx="479">
                  <c:v>70.019800000000004</c:v>
                </c:pt>
                <c:pt idx="480">
                  <c:v>193.65379999999999</c:v>
                </c:pt>
                <c:pt idx="481">
                  <c:v>164.50470000000001</c:v>
                </c:pt>
                <c:pt idx="482">
                  <c:v>127.6084</c:v>
                </c:pt>
                <c:pt idx="483">
                  <c:v>18.760000000000002</c:v>
                </c:pt>
                <c:pt idx="484">
                  <c:v>80.687700000000007</c:v>
                </c:pt>
                <c:pt idx="485">
                  <c:v>-0.45169999999999999</c:v>
                </c:pt>
                <c:pt idx="486">
                  <c:v>16.626799999999999</c:v>
                </c:pt>
                <c:pt idx="487">
                  <c:v>17.613</c:v>
                </c:pt>
                <c:pt idx="488">
                  <c:v>-2.7557999999999998</c:v>
                </c:pt>
                <c:pt idx="489">
                  <c:v>-4.8920000000000003</c:v>
                </c:pt>
                <c:pt idx="490">
                  <c:v>132.16399999999999</c:v>
                </c:pt>
                <c:pt idx="491">
                  <c:v>15.7248</c:v>
                </c:pt>
                <c:pt idx="492">
                  <c:v>-2.8372999999999999</c:v>
                </c:pt>
                <c:pt idx="493">
                  <c:v>94.816800000000001</c:v>
                </c:pt>
                <c:pt idx="494">
                  <c:v>-8.2688000000000006</c:v>
                </c:pt>
                <c:pt idx="495">
                  <c:v>187.1858</c:v>
                </c:pt>
                <c:pt idx="496">
                  <c:v>22.739799999999999</c:v>
                </c:pt>
                <c:pt idx="497">
                  <c:v>173.9091</c:v>
                </c:pt>
                <c:pt idx="498">
                  <c:v>-15.252700000000001</c:v>
                </c:pt>
                <c:pt idx="499">
                  <c:v>57.340600000000002</c:v>
                </c:pt>
                <c:pt idx="500">
                  <c:v>120.90309999999999</c:v>
                </c:pt>
                <c:pt idx="501">
                  <c:v>120.2676</c:v>
                </c:pt>
                <c:pt idx="502">
                  <c:v>40.8444</c:v>
                </c:pt>
                <c:pt idx="503">
                  <c:v>88.425399999999996</c:v>
                </c:pt>
                <c:pt idx="504">
                  <c:v>128.744</c:v>
                </c:pt>
                <c:pt idx="505">
                  <c:v>63.773600000000002</c:v>
                </c:pt>
                <c:pt idx="506">
                  <c:v>27.2102</c:v>
                </c:pt>
                <c:pt idx="507">
                  <c:v>85.5642</c:v>
                </c:pt>
                <c:pt idx="508">
                  <c:v>282.61320000000001</c:v>
                </c:pt>
                <c:pt idx="509">
                  <c:v>129.13499999999999</c:v>
                </c:pt>
                <c:pt idx="510">
                  <c:v>106.5663</c:v>
                </c:pt>
                <c:pt idx="511">
                  <c:v>72.024100000000004</c:v>
                </c:pt>
                <c:pt idx="512">
                  <c:v>5.5824999999999996</c:v>
                </c:pt>
                <c:pt idx="513">
                  <c:v>90.302000000000007</c:v>
                </c:pt>
                <c:pt idx="514">
                  <c:v>114.18210000000001</c:v>
                </c:pt>
                <c:pt idx="515">
                  <c:v>18.433299999999999</c:v>
                </c:pt>
                <c:pt idx="516">
                  <c:v>134.61330000000001</c:v>
                </c:pt>
                <c:pt idx="517">
                  <c:v>80.726600000000005</c:v>
                </c:pt>
                <c:pt idx="518">
                  <c:v>220.49510000000001</c:v>
                </c:pt>
                <c:pt idx="519">
                  <c:v>11.882899999999999</c:v>
                </c:pt>
                <c:pt idx="520">
                  <c:v>101.2028</c:v>
                </c:pt>
                <c:pt idx="521">
                  <c:v>-20.960899999999999</c:v>
                </c:pt>
                <c:pt idx="522">
                  <c:v>127.75839999999999</c:v>
                </c:pt>
                <c:pt idx="523">
                  <c:v>117.9772</c:v>
                </c:pt>
                <c:pt idx="524">
                  <c:v>80.549300000000002</c:v>
                </c:pt>
                <c:pt idx="525">
                  <c:v>162.74969999999999</c:v>
                </c:pt>
                <c:pt idx="526">
                  <c:v>-5.2836999999999996</c:v>
                </c:pt>
                <c:pt idx="527">
                  <c:v>46.705300000000001</c:v>
                </c:pt>
                <c:pt idx="528">
                  <c:v>22.8705</c:v>
                </c:pt>
                <c:pt idx="529">
                  <c:v>88.375100000000003</c:v>
                </c:pt>
                <c:pt idx="530">
                  <c:v>1.7886</c:v>
                </c:pt>
                <c:pt idx="531">
                  <c:v>125.9923</c:v>
                </c:pt>
                <c:pt idx="532">
                  <c:v>66.322999999999993</c:v>
                </c:pt>
                <c:pt idx="533">
                  <c:v>125.4165</c:v>
                </c:pt>
                <c:pt idx="534">
                  <c:v>177.57550000000001</c:v>
                </c:pt>
                <c:pt idx="535">
                  <c:v>61.133600000000001</c:v>
                </c:pt>
                <c:pt idx="536">
                  <c:v>70.196399999999997</c:v>
                </c:pt>
                <c:pt idx="537">
                  <c:v>-5.8379000000000003</c:v>
                </c:pt>
                <c:pt idx="538">
                  <c:v>99.229299999999995</c:v>
                </c:pt>
                <c:pt idx="539">
                  <c:v>54.679900000000004</c:v>
                </c:pt>
                <c:pt idx="540">
                  <c:v>36.750900000000001</c:v>
                </c:pt>
                <c:pt idx="541">
                  <c:v>-7.4664000000000001</c:v>
                </c:pt>
                <c:pt idx="542">
                  <c:v>113.7972</c:v>
                </c:pt>
                <c:pt idx="543">
                  <c:v>180.7818</c:v>
                </c:pt>
                <c:pt idx="544">
                  <c:v>64.290899999999993</c:v>
                </c:pt>
                <c:pt idx="545">
                  <c:v>17.3597</c:v>
                </c:pt>
                <c:pt idx="546">
                  <c:v>-0.42959999999999998</c:v>
                </c:pt>
                <c:pt idx="547">
                  <c:v>168.30029999999999</c:v>
                </c:pt>
                <c:pt idx="548">
                  <c:v>-1.4259999999999999</c:v>
                </c:pt>
                <c:pt idx="549">
                  <c:v>4.1531000000000002</c:v>
                </c:pt>
                <c:pt idx="550">
                  <c:v>-2.3864999999999998</c:v>
                </c:pt>
                <c:pt idx="551">
                  <c:v>180.19470000000001</c:v>
                </c:pt>
                <c:pt idx="552">
                  <c:v>59.301400000000001</c:v>
                </c:pt>
                <c:pt idx="553">
                  <c:v>65.892799999999994</c:v>
                </c:pt>
                <c:pt idx="554">
                  <c:v>3.6252</c:v>
                </c:pt>
                <c:pt idx="555">
                  <c:v>50.106999999999999</c:v>
                </c:pt>
                <c:pt idx="556">
                  <c:v>29.0014</c:v>
                </c:pt>
                <c:pt idx="557">
                  <c:v>66.821700000000007</c:v>
                </c:pt>
                <c:pt idx="558">
                  <c:v>103.40260000000001</c:v>
                </c:pt>
                <c:pt idx="559">
                  <c:v>11.0732</c:v>
                </c:pt>
                <c:pt idx="560">
                  <c:v>112.6429</c:v>
                </c:pt>
                <c:pt idx="561">
                  <c:v>1.7926</c:v>
                </c:pt>
                <c:pt idx="562">
                  <c:v>133.42449999999999</c:v>
                </c:pt>
                <c:pt idx="563">
                  <c:v>135.7842</c:v>
                </c:pt>
                <c:pt idx="564">
                  <c:v>-6.5114000000000001</c:v>
                </c:pt>
                <c:pt idx="565">
                  <c:v>-4.0023999999999997</c:v>
                </c:pt>
                <c:pt idx="566">
                  <c:v>58.6145</c:v>
                </c:pt>
                <c:pt idx="567">
                  <c:v>126.83029999999999</c:v>
                </c:pt>
                <c:pt idx="568">
                  <c:v>32.537799999999997</c:v>
                </c:pt>
                <c:pt idx="569">
                  <c:v>-2.2469000000000001</c:v>
                </c:pt>
                <c:pt idx="570">
                  <c:v>6.3455000000000004</c:v>
                </c:pt>
                <c:pt idx="571">
                  <c:v>86.356200000000001</c:v>
                </c:pt>
                <c:pt idx="572">
                  <c:v>-0.2273</c:v>
                </c:pt>
                <c:pt idx="573">
                  <c:v>90.921599999999998</c:v>
                </c:pt>
                <c:pt idx="574">
                  <c:v>15.5845</c:v>
                </c:pt>
                <c:pt idx="575">
                  <c:v>36.561999999999998</c:v>
                </c:pt>
                <c:pt idx="576">
                  <c:v>-34.701099999999997</c:v>
                </c:pt>
                <c:pt idx="577">
                  <c:v>138.47319999999999</c:v>
                </c:pt>
                <c:pt idx="578">
                  <c:v>-0.91359999999999997</c:v>
                </c:pt>
                <c:pt idx="579">
                  <c:v>113.5652</c:v>
                </c:pt>
                <c:pt idx="580">
                  <c:v>138.9563</c:v>
                </c:pt>
                <c:pt idx="581">
                  <c:v>166.12119999999999</c:v>
                </c:pt>
                <c:pt idx="582">
                  <c:v>114.021</c:v>
                </c:pt>
                <c:pt idx="583">
                  <c:v>148.55240000000001</c:v>
                </c:pt>
                <c:pt idx="584">
                  <c:v>36.641800000000003</c:v>
                </c:pt>
                <c:pt idx="585">
                  <c:v>25.2225</c:v>
                </c:pt>
                <c:pt idx="586">
                  <c:v>70.583600000000004</c:v>
                </c:pt>
                <c:pt idx="587">
                  <c:v>154.9736</c:v>
                </c:pt>
                <c:pt idx="588">
                  <c:v>34.943899999999999</c:v>
                </c:pt>
                <c:pt idx="589">
                  <c:v>53.836100000000002</c:v>
                </c:pt>
                <c:pt idx="590">
                  <c:v>81.189700000000002</c:v>
                </c:pt>
                <c:pt idx="591">
                  <c:v>118.26</c:v>
                </c:pt>
                <c:pt idx="592">
                  <c:v>137.48609999999999</c:v>
                </c:pt>
                <c:pt idx="593">
                  <c:v>18.495799999999999</c:v>
                </c:pt>
                <c:pt idx="594">
                  <c:v>42.410499999999999</c:v>
                </c:pt>
                <c:pt idx="595">
                  <c:v>100.6024</c:v>
                </c:pt>
                <c:pt idx="596">
                  <c:v>9.6928000000000001</c:v>
                </c:pt>
                <c:pt idx="597">
                  <c:v>-7.6087999999999996</c:v>
                </c:pt>
                <c:pt idx="598">
                  <c:v>22.471299999999999</c:v>
                </c:pt>
                <c:pt idx="599">
                  <c:v>3.9601999999999999</c:v>
                </c:pt>
                <c:pt idx="600">
                  <c:v>121.7569</c:v>
                </c:pt>
                <c:pt idx="601">
                  <c:v>70.784099999999995</c:v>
                </c:pt>
                <c:pt idx="602">
                  <c:v>150.99610000000001</c:v>
                </c:pt>
                <c:pt idx="603">
                  <c:v>138.4314</c:v>
                </c:pt>
                <c:pt idx="604">
                  <c:v>95.235799999999998</c:v>
                </c:pt>
                <c:pt idx="605">
                  <c:v>3.1183999999999998</c:v>
                </c:pt>
                <c:pt idx="606">
                  <c:v>126.96380000000001</c:v>
                </c:pt>
                <c:pt idx="607">
                  <c:v>-2.5731999999999999</c:v>
                </c:pt>
                <c:pt idx="608">
                  <c:v>74.663899999999998</c:v>
                </c:pt>
                <c:pt idx="609">
                  <c:v>23.120100000000001</c:v>
                </c:pt>
                <c:pt idx="610">
                  <c:v>-1.1851</c:v>
                </c:pt>
                <c:pt idx="611">
                  <c:v>140.71809999999999</c:v>
                </c:pt>
                <c:pt idx="612">
                  <c:v>7.1848000000000001</c:v>
                </c:pt>
                <c:pt idx="613">
                  <c:v>0.78029999999999999</c:v>
                </c:pt>
                <c:pt idx="614">
                  <c:v>133.40790000000001</c:v>
                </c:pt>
                <c:pt idx="615">
                  <c:v>34.436</c:v>
                </c:pt>
                <c:pt idx="616">
                  <c:v>5.3845000000000001</c:v>
                </c:pt>
                <c:pt idx="617">
                  <c:v>113.5311</c:v>
                </c:pt>
                <c:pt idx="618">
                  <c:v>117.6474</c:v>
                </c:pt>
                <c:pt idx="619">
                  <c:v>123.3338</c:v>
                </c:pt>
                <c:pt idx="620">
                  <c:v>8.7499999999999994E-2</c:v>
                </c:pt>
                <c:pt idx="621">
                  <c:v>72.469099999999997</c:v>
                </c:pt>
                <c:pt idx="622">
                  <c:v>18.349399999999999</c:v>
                </c:pt>
                <c:pt idx="623">
                  <c:v>59.913400000000003</c:v>
                </c:pt>
                <c:pt idx="624">
                  <c:v>-2.5608</c:v>
                </c:pt>
                <c:pt idx="625">
                  <c:v>167.01</c:v>
                </c:pt>
                <c:pt idx="626">
                  <c:v>6.1782000000000004</c:v>
                </c:pt>
                <c:pt idx="627">
                  <c:v>12.273899999999999</c:v>
                </c:pt>
                <c:pt idx="628">
                  <c:v>24.128399999999999</c:v>
                </c:pt>
                <c:pt idx="629">
                  <c:v>141.10769999999999</c:v>
                </c:pt>
                <c:pt idx="630">
                  <c:v>16.276900000000001</c:v>
                </c:pt>
                <c:pt idx="631">
                  <c:v>239.71350000000001</c:v>
                </c:pt>
                <c:pt idx="632">
                  <c:v>2.6387999999999998</c:v>
                </c:pt>
                <c:pt idx="633">
                  <c:v>-1.0739000000000001</c:v>
                </c:pt>
                <c:pt idx="634">
                  <c:v>127.19970000000001</c:v>
                </c:pt>
                <c:pt idx="635">
                  <c:v>0.20960000000000001</c:v>
                </c:pt>
                <c:pt idx="636">
                  <c:v>20.317799999999998</c:v>
                </c:pt>
                <c:pt idx="637">
                  <c:v>5.9909999999999997</c:v>
                </c:pt>
                <c:pt idx="638">
                  <c:v>194.93780000000001</c:v>
                </c:pt>
                <c:pt idx="639">
                  <c:v>78.373500000000007</c:v>
                </c:pt>
                <c:pt idx="640">
                  <c:v>1.5442</c:v>
                </c:pt>
                <c:pt idx="641">
                  <c:v>52.951900000000002</c:v>
                </c:pt>
                <c:pt idx="642">
                  <c:v>152.06700000000001</c:v>
                </c:pt>
                <c:pt idx="643">
                  <c:v>115.0141</c:v>
                </c:pt>
                <c:pt idx="644">
                  <c:v>74.572299999999998</c:v>
                </c:pt>
                <c:pt idx="645">
                  <c:v>192.64660000000001</c:v>
                </c:pt>
                <c:pt idx="646">
                  <c:v>-5.8101000000000003</c:v>
                </c:pt>
                <c:pt idx="647">
                  <c:v>155.27850000000001</c:v>
                </c:pt>
                <c:pt idx="648">
                  <c:v>12.1717</c:v>
                </c:pt>
                <c:pt idx="649">
                  <c:v>102.6066</c:v>
                </c:pt>
                <c:pt idx="650">
                  <c:v>99.844499999999996</c:v>
                </c:pt>
                <c:pt idx="651">
                  <c:v>178.68709999999999</c:v>
                </c:pt>
                <c:pt idx="652">
                  <c:v>106.27719999999999</c:v>
                </c:pt>
                <c:pt idx="653">
                  <c:v>150.04519999999999</c:v>
                </c:pt>
                <c:pt idx="654">
                  <c:v>90.696700000000007</c:v>
                </c:pt>
                <c:pt idx="655">
                  <c:v>-1.5847</c:v>
                </c:pt>
                <c:pt idx="656">
                  <c:v>-15.727499999999999</c:v>
                </c:pt>
                <c:pt idx="657">
                  <c:v>99.046800000000005</c:v>
                </c:pt>
                <c:pt idx="658">
                  <c:v>73.752399999999994</c:v>
                </c:pt>
                <c:pt idx="659">
                  <c:v>146.62530000000001</c:v>
                </c:pt>
                <c:pt idx="660">
                  <c:v>-11.118499999999999</c:v>
                </c:pt>
                <c:pt idx="661">
                  <c:v>-13.5951</c:v>
                </c:pt>
                <c:pt idx="662">
                  <c:v>159.9289</c:v>
                </c:pt>
                <c:pt idx="663">
                  <c:v>-9.6105</c:v>
                </c:pt>
                <c:pt idx="664">
                  <c:v>-3.3563000000000001</c:v>
                </c:pt>
                <c:pt idx="665">
                  <c:v>21.065799999999999</c:v>
                </c:pt>
                <c:pt idx="666">
                  <c:v>67.584900000000005</c:v>
                </c:pt>
                <c:pt idx="667">
                  <c:v>-6.8599999999999994E-2</c:v>
                </c:pt>
                <c:pt idx="668">
                  <c:v>176.2433</c:v>
                </c:pt>
                <c:pt idx="669">
                  <c:v>8.1647999999999996</c:v>
                </c:pt>
                <c:pt idx="670">
                  <c:v>159.33160000000001</c:v>
                </c:pt>
                <c:pt idx="671">
                  <c:v>135.4778</c:v>
                </c:pt>
                <c:pt idx="672">
                  <c:v>-9.3857999999999997</c:v>
                </c:pt>
                <c:pt idx="673">
                  <c:v>147.51560000000001</c:v>
                </c:pt>
                <c:pt idx="674">
                  <c:v>20.253299999999999</c:v>
                </c:pt>
                <c:pt idx="675">
                  <c:v>108.7576</c:v>
                </c:pt>
                <c:pt idx="676">
                  <c:v>30.438400000000001</c:v>
                </c:pt>
                <c:pt idx="677">
                  <c:v>135.63120000000001</c:v>
                </c:pt>
                <c:pt idx="678">
                  <c:v>138.42310000000001</c:v>
                </c:pt>
                <c:pt idx="679">
                  <c:v>-0.65769999999999995</c:v>
                </c:pt>
                <c:pt idx="680">
                  <c:v>66.950199999999995</c:v>
                </c:pt>
                <c:pt idx="681">
                  <c:v>-8.1050000000000004</c:v>
                </c:pt>
                <c:pt idx="682">
                  <c:v>160.8313</c:v>
                </c:pt>
                <c:pt idx="683">
                  <c:v>1.0767</c:v>
                </c:pt>
                <c:pt idx="684">
                  <c:v>12.2736</c:v>
                </c:pt>
                <c:pt idx="685">
                  <c:v>153.0703</c:v>
                </c:pt>
                <c:pt idx="686">
                  <c:v>5.6414</c:v>
                </c:pt>
                <c:pt idx="687">
                  <c:v>139.77930000000001</c:v>
                </c:pt>
                <c:pt idx="688">
                  <c:v>69.421800000000005</c:v>
                </c:pt>
                <c:pt idx="689">
                  <c:v>117.8997</c:v>
                </c:pt>
                <c:pt idx="690">
                  <c:v>0.81710000000000005</c:v>
                </c:pt>
                <c:pt idx="691">
                  <c:v>57.450099999999999</c:v>
                </c:pt>
                <c:pt idx="692">
                  <c:v>25.8139</c:v>
                </c:pt>
                <c:pt idx="693">
                  <c:v>170.00899999999999</c:v>
                </c:pt>
                <c:pt idx="694">
                  <c:v>-11.758599999999999</c:v>
                </c:pt>
                <c:pt idx="695">
                  <c:v>95.271799999999999</c:v>
                </c:pt>
                <c:pt idx="696">
                  <c:v>12.340999999999999</c:v>
                </c:pt>
                <c:pt idx="697">
                  <c:v>143.08699999999999</c:v>
                </c:pt>
                <c:pt idx="698">
                  <c:v>42.938699999999997</c:v>
                </c:pt>
                <c:pt idx="699">
                  <c:v>-1.7575000000000001</c:v>
                </c:pt>
                <c:pt idx="700">
                  <c:v>9.8004999999999995</c:v>
                </c:pt>
                <c:pt idx="701">
                  <c:v>55.506700000000002</c:v>
                </c:pt>
                <c:pt idx="702">
                  <c:v>6.6715</c:v>
                </c:pt>
                <c:pt idx="703">
                  <c:v>49.659300000000002</c:v>
                </c:pt>
                <c:pt idx="704">
                  <c:v>8.1231000000000009</c:v>
                </c:pt>
                <c:pt idx="705">
                  <c:v>115.29040000000001</c:v>
                </c:pt>
                <c:pt idx="706">
                  <c:v>81.268799999999999</c:v>
                </c:pt>
                <c:pt idx="707">
                  <c:v>9.0625999999999998</c:v>
                </c:pt>
                <c:pt idx="708">
                  <c:v>3.5531000000000001</c:v>
                </c:pt>
                <c:pt idx="709">
                  <c:v>-0.73499999999999999</c:v>
                </c:pt>
                <c:pt idx="710">
                  <c:v>18.540500000000002</c:v>
                </c:pt>
                <c:pt idx="711">
                  <c:v>94.533199999999994</c:v>
                </c:pt>
                <c:pt idx="712">
                  <c:v>116.7597</c:v>
                </c:pt>
                <c:pt idx="713">
                  <c:v>146.95429999999999</c:v>
                </c:pt>
                <c:pt idx="714">
                  <c:v>69.241299999999995</c:v>
                </c:pt>
                <c:pt idx="715">
                  <c:v>4.0469999999999997</c:v>
                </c:pt>
                <c:pt idx="716">
                  <c:v>68.797399999999996</c:v>
                </c:pt>
                <c:pt idx="717">
                  <c:v>4.0993000000000004</c:v>
                </c:pt>
                <c:pt idx="718">
                  <c:v>-0.42499999999999999</c:v>
                </c:pt>
                <c:pt idx="719">
                  <c:v>31.0032</c:v>
                </c:pt>
                <c:pt idx="720">
                  <c:v>90.260900000000007</c:v>
                </c:pt>
                <c:pt idx="721">
                  <c:v>47.893500000000003</c:v>
                </c:pt>
                <c:pt idx="722">
                  <c:v>100.4879</c:v>
                </c:pt>
                <c:pt idx="723">
                  <c:v>27.8568</c:v>
                </c:pt>
                <c:pt idx="724">
                  <c:v>-5.1002999999999998</c:v>
                </c:pt>
                <c:pt idx="725">
                  <c:v>11.4754</c:v>
                </c:pt>
                <c:pt idx="726">
                  <c:v>59.406999999999996</c:v>
                </c:pt>
                <c:pt idx="727">
                  <c:v>149.97239999999999</c:v>
                </c:pt>
                <c:pt idx="728">
                  <c:v>131.30760000000001</c:v>
                </c:pt>
                <c:pt idx="729">
                  <c:v>118.1987</c:v>
                </c:pt>
                <c:pt idx="730">
                  <c:v>0.5736</c:v>
                </c:pt>
                <c:pt idx="731">
                  <c:v>1.1689000000000001</c:v>
                </c:pt>
                <c:pt idx="732">
                  <c:v>-5.8773999999999997</c:v>
                </c:pt>
                <c:pt idx="733">
                  <c:v>4.5959000000000003</c:v>
                </c:pt>
                <c:pt idx="734">
                  <c:v>135.6046</c:v>
                </c:pt>
                <c:pt idx="735">
                  <c:v>135.5462</c:v>
                </c:pt>
                <c:pt idx="736">
                  <c:v>176.12450000000001</c:v>
                </c:pt>
                <c:pt idx="737">
                  <c:v>92.094499999999996</c:v>
                </c:pt>
                <c:pt idx="738">
                  <c:v>-5.1414</c:v>
                </c:pt>
                <c:pt idx="739">
                  <c:v>7.5389999999999997</c:v>
                </c:pt>
                <c:pt idx="740">
                  <c:v>112.2201</c:v>
                </c:pt>
                <c:pt idx="741">
                  <c:v>-3.5863999999999998</c:v>
                </c:pt>
                <c:pt idx="742">
                  <c:v>-9.1325000000000003</c:v>
                </c:pt>
                <c:pt idx="743">
                  <c:v>137.47800000000001</c:v>
                </c:pt>
                <c:pt idx="744">
                  <c:v>-2.0998000000000001</c:v>
                </c:pt>
                <c:pt idx="745">
                  <c:v>140.6694</c:v>
                </c:pt>
                <c:pt idx="746">
                  <c:v>156.84100000000001</c:v>
                </c:pt>
                <c:pt idx="747">
                  <c:v>10.939399999999999</c:v>
                </c:pt>
                <c:pt idx="748">
                  <c:v>22.808599999999998</c:v>
                </c:pt>
                <c:pt idx="749">
                  <c:v>113.42610000000001</c:v>
                </c:pt>
                <c:pt idx="750">
                  <c:v>110.1953</c:v>
                </c:pt>
                <c:pt idx="751">
                  <c:v>92.917400000000001</c:v>
                </c:pt>
                <c:pt idx="752">
                  <c:v>168.74449999999999</c:v>
                </c:pt>
                <c:pt idx="753">
                  <c:v>-2.9651000000000001</c:v>
                </c:pt>
                <c:pt idx="754">
                  <c:v>0.48870000000000002</c:v>
                </c:pt>
                <c:pt idx="755">
                  <c:v>84.301400000000001</c:v>
                </c:pt>
                <c:pt idx="756">
                  <c:v>189.06440000000001</c:v>
                </c:pt>
                <c:pt idx="757">
                  <c:v>15.3903</c:v>
                </c:pt>
                <c:pt idx="758">
                  <c:v>150.3313</c:v>
                </c:pt>
                <c:pt idx="759">
                  <c:v>91.4345</c:v>
                </c:pt>
                <c:pt idx="760">
                  <c:v>158.26599999999999</c:v>
                </c:pt>
                <c:pt idx="761">
                  <c:v>115.47410000000001</c:v>
                </c:pt>
                <c:pt idx="762">
                  <c:v>142.44159999999999</c:v>
                </c:pt>
                <c:pt idx="763">
                  <c:v>22.1083</c:v>
                </c:pt>
                <c:pt idx="764">
                  <c:v>8.1783999999999999</c:v>
                </c:pt>
                <c:pt idx="765">
                  <c:v>152.74809999999999</c:v>
                </c:pt>
                <c:pt idx="766">
                  <c:v>124.9157</c:v>
                </c:pt>
                <c:pt idx="767">
                  <c:v>139.50550000000001</c:v>
                </c:pt>
                <c:pt idx="768">
                  <c:v>147.4134</c:v>
                </c:pt>
                <c:pt idx="769">
                  <c:v>6.8090999999999999</c:v>
                </c:pt>
                <c:pt idx="770">
                  <c:v>150.75460000000001</c:v>
                </c:pt>
                <c:pt idx="771">
                  <c:v>-14.6189</c:v>
                </c:pt>
                <c:pt idx="772">
                  <c:v>215.89400000000001</c:v>
                </c:pt>
                <c:pt idx="773">
                  <c:v>14.490500000000001</c:v>
                </c:pt>
                <c:pt idx="774">
                  <c:v>17.016999999999999</c:v>
                </c:pt>
                <c:pt idx="775">
                  <c:v>12.005100000000001</c:v>
                </c:pt>
                <c:pt idx="776">
                  <c:v>62.2988</c:v>
                </c:pt>
                <c:pt idx="777">
                  <c:v>6.1379999999999999</c:v>
                </c:pt>
                <c:pt idx="778">
                  <c:v>62.937899999999999</c:v>
                </c:pt>
                <c:pt idx="779">
                  <c:v>22.805299999999999</c:v>
                </c:pt>
                <c:pt idx="780">
                  <c:v>101.09439999999999</c:v>
                </c:pt>
                <c:pt idx="781">
                  <c:v>167.49260000000001</c:v>
                </c:pt>
                <c:pt idx="782">
                  <c:v>117.7825</c:v>
                </c:pt>
                <c:pt idx="783">
                  <c:v>-3.4630000000000001</c:v>
                </c:pt>
                <c:pt idx="784">
                  <c:v>109.04900000000001</c:v>
                </c:pt>
                <c:pt idx="785">
                  <c:v>-2.7195</c:v>
                </c:pt>
                <c:pt idx="786">
                  <c:v>143.2201</c:v>
                </c:pt>
                <c:pt idx="787">
                  <c:v>17.405899999999999</c:v>
                </c:pt>
                <c:pt idx="788">
                  <c:v>143.52119999999999</c:v>
                </c:pt>
                <c:pt idx="789">
                  <c:v>160.88130000000001</c:v>
                </c:pt>
                <c:pt idx="790">
                  <c:v>-9.3100000000000002E-2</c:v>
                </c:pt>
                <c:pt idx="791">
                  <c:v>1.3066</c:v>
                </c:pt>
                <c:pt idx="792">
                  <c:v>44.399799999999999</c:v>
                </c:pt>
                <c:pt idx="793">
                  <c:v>53.438200000000002</c:v>
                </c:pt>
                <c:pt idx="794">
                  <c:v>19.051600000000001</c:v>
                </c:pt>
                <c:pt idx="795">
                  <c:v>108.0673</c:v>
                </c:pt>
                <c:pt idx="796">
                  <c:v>13.832700000000001</c:v>
                </c:pt>
                <c:pt idx="797">
                  <c:v>47.874600000000001</c:v>
                </c:pt>
                <c:pt idx="798">
                  <c:v>-1.6952</c:v>
                </c:pt>
                <c:pt idx="799">
                  <c:v>12.1456</c:v>
                </c:pt>
                <c:pt idx="800">
                  <c:v>136.92930000000001</c:v>
                </c:pt>
                <c:pt idx="801">
                  <c:v>12.651400000000001</c:v>
                </c:pt>
                <c:pt idx="802">
                  <c:v>6.5481999999999996</c:v>
                </c:pt>
                <c:pt idx="803">
                  <c:v>139.71960000000001</c:v>
                </c:pt>
                <c:pt idx="804">
                  <c:v>-4.0831999999999997</c:v>
                </c:pt>
                <c:pt idx="805">
                  <c:v>134.1036</c:v>
                </c:pt>
                <c:pt idx="806">
                  <c:v>35.279499999999999</c:v>
                </c:pt>
                <c:pt idx="807">
                  <c:v>6.8926999999999996</c:v>
                </c:pt>
                <c:pt idx="808">
                  <c:v>101.6375</c:v>
                </c:pt>
                <c:pt idx="809">
                  <c:v>35.938600000000001</c:v>
                </c:pt>
                <c:pt idx="810">
                  <c:v>-6.5731999999999999</c:v>
                </c:pt>
                <c:pt idx="811">
                  <c:v>152.53309999999999</c:v>
                </c:pt>
                <c:pt idx="812">
                  <c:v>158.41130000000001</c:v>
                </c:pt>
                <c:pt idx="813">
                  <c:v>9.7022999999999993</c:v>
                </c:pt>
                <c:pt idx="814">
                  <c:v>-1.5578000000000001</c:v>
                </c:pt>
                <c:pt idx="815">
                  <c:v>143.55019999999999</c:v>
                </c:pt>
                <c:pt idx="816">
                  <c:v>141.36429999999999</c:v>
                </c:pt>
                <c:pt idx="817">
                  <c:v>126.2804</c:v>
                </c:pt>
                <c:pt idx="818">
                  <c:v>64.603800000000007</c:v>
                </c:pt>
                <c:pt idx="819">
                  <c:v>9.2521000000000004</c:v>
                </c:pt>
                <c:pt idx="820">
                  <c:v>-2.0731999999999999</c:v>
                </c:pt>
                <c:pt idx="821">
                  <c:v>139.82210000000001</c:v>
                </c:pt>
                <c:pt idx="822">
                  <c:v>170.5676</c:v>
                </c:pt>
                <c:pt idx="823">
                  <c:v>123.3801</c:v>
                </c:pt>
                <c:pt idx="824">
                  <c:v>-0.93769999999999998</c:v>
                </c:pt>
                <c:pt idx="825">
                  <c:v>-13.479900000000001</c:v>
                </c:pt>
                <c:pt idx="826">
                  <c:v>132.03299999999999</c:v>
                </c:pt>
                <c:pt idx="827">
                  <c:v>76.170900000000003</c:v>
                </c:pt>
                <c:pt idx="828">
                  <c:v>180.4239</c:v>
                </c:pt>
                <c:pt idx="829">
                  <c:v>138.60509999999999</c:v>
                </c:pt>
                <c:pt idx="830">
                  <c:v>23.309000000000001</c:v>
                </c:pt>
                <c:pt idx="831">
                  <c:v>25.170200000000001</c:v>
                </c:pt>
                <c:pt idx="832">
                  <c:v>-4.3845999999999998</c:v>
                </c:pt>
                <c:pt idx="833">
                  <c:v>119.08669999999999</c:v>
                </c:pt>
                <c:pt idx="834">
                  <c:v>3.0211000000000001</c:v>
                </c:pt>
                <c:pt idx="835">
                  <c:v>3.7031000000000001</c:v>
                </c:pt>
                <c:pt idx="836">
                  <c:v>133.02330000000001</c:v>
                </c:pt>
                <c:pt idx="837">
                  <c:v>132.11250000000001</c:v>
                </c:pt>
                <c:pt idx="838">
                  <c:v>-11.331300000000001</c:v>
                </c:pt>
                <c:pt idx="839">
                  <c:v>0.71330000000000005</c:v>
                </c:pt>
                <c:pt idx="840">
                  <c:v>147.8271</c:v>
                </c:pt>
                <c:pt idx="841">
                  <c:v>7.3190999999999997</c:v>
                </c:pt>
                <c:pt idx="842">
                  <c:v>32.363399999999999</c:v>
                </c:pt>
                <c:pt idx="843">
                  <c:v>166.29310000000001</c:v>
                </c:pt>
                <c:pt idx="844">
                  <c:v>-13.808</c:v>
                </c:pt>
                <c:pt idx="845">
                  <c:v>144.07980000000001</c:v>
                </c:pt>
                <c:pt idx="846">
                  <c:v>140.14250000000001</c:v>
                </c:pt>
                <c:pt idx="847">
                  <c:v>75.909400000000005</c:v>
                </c:pt>
                <c:pt idx="848">
                  <c:v>133.77420000000001</c:v>
                </c:pt>
                <c:pt idx="849">
                  <c:v>129.90639999999999</c:v>
                </c:pt>
                <c:pt idx="850">
                  <c:v>113.1972</c:v>
                </c:pt>
                <c:pt idx="851">
                  <c:v>48.722799999999999</c:v>
                </c:pt>
                <c:pt idx="852">
                  <c:v>88.316900000000004</c:v>
                </c:pt>
                <c:pt idx="853">
                  <c:v>-2.9</c:v>
                </c:pt>
                <c:pt idx="854">
                  <c:v>196.24590000000001</c:v>
                </c:pt>
                <c:pt idx="855">
                  <c:v>4.0991</c:v>
                </c:pt>
                <c:pt idx="856">
                  <c:v>3.1421999999999999</c:v>
                </c:pt>
                <c:pt idx="857">
                  <c:v>22.905799999999999</c:v>
                </c:pt>
                <c:pt idx="858">
                  <c:v>-27.884799999999998</c:v>
                </c:pt>
                <c:pt idx="859">
                  <c:v>118.5748</c:v>
                </c:pt>
                <c:pt idx="860">
                  <c:v>124.1056</c:v>
                </c:pt>
                <c:pt idx="861">
                  <c:v>1.7235</c:v>
                </c:pt>
                <c:pt idx="862">
                  <c:v>-1.2242999999999999</c:v>
                </c:pt>
                <c:pt idx="863">
                  <c:v>18.890599999999999</c:v>
                </c:pt>
                <c:pt idx="864">
                  <c:v>86.1447</c:v>
                </c:pt>
                <c:pt idx="865">
                  <c:v>80.382300000000001</c:v>
                </c:pt>
                <c:pt idx="866">
                  <c:v>128.86269999999999</c:v>
                </c:pt>
                <c:pt idx="867">
                  <c:v>45.335099999999997</c:v>
                </c:pt>
                <c:pt idx="868">
                  <c:v>-23.570399999999999</c:v>
                </c:pt>
                <c:pt idx="869">
                  <c:v>46.5242</c:v>
                </c:pt>
                <c:pt idx="870">
                  <c:v>-5.6768000000000001</c:v>
                </c:pt>
                <c:pt idx="871">
                  <c:v>-0.51990000000000003</c:v>
                </c:pt>
                <c:pt idx="872">
                  <c:v>-3.4437000000000002</c:v>
                </c:pt>
                <c:pt idx="873">
                  <c:v>50.045699999999997</c:v>
                </c:pt>
                <c:pt idx="874">
                  <c:v>-6.3354999999999997</c:v>
                </c:pt>
                <c:pt idx="875">
                  <c:v>121.96980000000001</c:v>
                </c:pt>
                <c:pt idx="876">
                  <c:v>146.905</c:v>
                </c:pt>
                <c:pt idx="877">
                  <c:v>50.624099999999999</c:v>
                </c:pt>
                <c:pt idx="878">
                  <c:v>116.4037</c:v>
                </c:pt>
                <c:pt idx="879">
                  <c:v>60.482399999999998</c:v>
                </c:pt>
                <c:pt idx="880">
                  <c:v>93.261300000000006</c:v>
                </c:pt>
                <c:pt idx="881">
                  <c:v>-0.4743</c:v>
                </c:pt>
                <c:pt idx="882">
                  <c:v>2.0464000000000002</c:v>
                </c:pt>
                <c:pt idx="883">
                  <c:v>25.011500000000002</c:v>
                </c:pt>
                <c:pt idx="884">
                  <c:v>-4.8247999999999998</c:v>
                </c:pt>
                <c:pt idx="885">
                  <c:v>45.568600000000004</c:v>
                </c:pt>
                <c:pt idx="886">
                  <c:v>-17.152200000000001</c:v>
                </c:pt>
                <c:pt idx="887">
                  <c:v>194.78290000000001</c:v>
                </c:pt>
                <c:pt idx="888">
                  <c:v>106.07980000000001</c:v>
                </c:pt>
                <c:pt idx="889">
                  <c:v>-4.0412999999999997</c:v>
                </c:pt>
                <c:pt idx="890">
                  <c:v>-1.5229999999999999</c:v>
                </c:pt>
                <c:pt idx="891">
                  <c:v>122.0885</c:v>
                </c:pt>
                <c:pt idx="892">
                  <c:v>77.736199999999997</c:v>
                </c:pt>
                <c:pt idx="893">
                  <c:v>0.39129999999999998</c:v>
                </c:pt>
                <c:pt idx="894">
                  <c:v>94.418700000000001</c:v>
                </c:pt>
                <c:pt idx="895">
                  <c:v>118.17059999999999</c:v>
                </c:pt>
                <c:pt idx="896">
                  <c:v>149.61859999999999</c:v>
                </c:pt>
                <c:pt idx="897">
                  <c:v>1.2992999999999999</c:v>
                </c:pt>
                <c:pt idx="898">
                  <c:v>126.6116</c:v>
                </c:pt>
                <c:pt idx="899">
                  <c:v>19.224699999999999</c:v>
                </c:pt>
                <c:pt idx="900">
                  <c:v>4.4249999999999998</c:v>
                </c:pt>
                <c:pt idx="901">
                  <c:v>69.574700000000007</c:v>
                </c:pt>
                <c:pt idx="902">
                  <c:v>50.159700000000001</c:v>
                </c:pt>
                <c:pt idx="903">
                  <c:v>4.7144000000000004</c:v>
                </c:pt>
                <c:pt idx="904">
                  <c:v>6.0457000000000001</c:v>
                </c:pt>
                <c:pt idx="905">
                  <c:v>-9.7475000000000005</c:v>
                </c:pt>
                <c:pt idx="906">
                  <c:v>4.2782999999999998</c:v>
                </c:pt>
                <c:pt idx="907">
                  <c:v>59.519399999999997</c:v>
                </c:pt>
                <c:pt idx="908">
                  <c:v>0.67749999999999999</c:v>
                </c:pt>
                <c:pt idx="909">
                  <c:v>101.88930000000001</c:v>
                </c:pt>
                <c:pt idx="910">
                  <c:v>11.1058</c:v>
                </c:pt>
                <c:pt idx="911">
                  <c:v>45.438400000000001</c:v>
                </c:pt>
                <c:pt idx="912">
                  <c:v>23.625499999999999</c:v>
                </c:pt>
                <c:pt idx="913">
                  <c:v>121.4555</c:v>
                </c:pt>
                <c:pt idx="914">
                  <c:v>54.782699999999998</c:v>
                </c:pt>
                <c:pt idx="915">
                  <c:v>8.9197000000000006</c:v>
                </c:pt>
                <c:pt idx="916">
                  <c:v>-6.6246999999999998</c:v>
                </c:pt>
                <c:pt idx="917">
                  <c:v>137.5214</c:v>
                </c:pt>
                <c:pt idx="918">
                  <c:v>-16.0899</c:v>
                </c:pt>
                <c:pt idx="919">
                  <c:v>-0.93279999999999996</c:v>
                </c:pt>
                <c:pt idx="920">
                  <c:v>10.4877</c:v>
                </c:pt>
                <c:pt idx="921">
                  <c:v>24.119499999999999</c:v>
                </c:pt>
                <c:pt idx="922">
                  <c:v>140.11600000000001</c:v>
                </c:pt>
                <c:pt idx="923">
                  <c:v>10.117100000000001</c:v>
                </c:pt>
                <c:pt idx="924">
                  <c:v>-15.0817</c:v>
                </c:pt>
                <c:pt idx="925">
                  <c:v>-6.6978</c:v>
                </c:pt>
                <c:pt idx="926">
                  <c:v>100.6574</c:v>
                </c:pt>
                <c:pt idx="927">
                  <c:v>120.4265</c:v>
                </c:pt>
                <c:pt idx="928">
                  <c:v>80.101699999999994</c:v>
                </c:pt>
                <c:pt idx="929">
                  <c:v>163.52709999999999</c:v>
                </c:pt>
                <c:pt idx="930">
                  <c:v>149.92250000000001</c:v>
                </c:pt>
                <c:pt idx="931">
                  <c:v>-17.7498</c:v>
                </c:pt>
                <c:pt idx="932">
                  <c:v>-0.30990000000000001</c:v>
                </c:pt>
                <c:pt idx="933">
                  <c:v>-0.82050000000000001</c:v>
                </c:pt>
                <c:pt idx="934">
                  <c:v>105.5325</c:v>
                </c:pt>
                <c:pt idx="935">
                  <c:v>157.5548</c:v>
                </c:pt>
                <c:pt idx="936">
                  <c:v>53.536700000000003</c:v>
                </c:pt>
                <c:pt idx="937">
                  <c:v>-15.1106</c:v>
                </c:pt>
                <c:pt idx="938">
                  <c:v>6.4828000000000001</c:v>
                </c:pt>
                <c:pt idx="939">
                  <c:v>-3.7856999999999998</c:v>
                </c:pt>
                <c:pt idx="940">
                  <c:v>10.017899999999999</c:v>
                </c:pt>
                <c:pt idx="941">
                  <c:v>161.03299999999999</c:v>
                </c:pt>
                <c:pt idx="942">
                  <c:v>-2.2589999999999999</c:v>
                </c:pt>
                <c:pt idx="943">
                  <c:v>20.5275</c:v>
                </c:pt>
                <c:pt idx="944">
                  <c:v>1.4258999999999999</c:v>
                </c:pt>
                <c:pt idx="945">
                  <c:v>39.136299999999999</c:v>
                </c:pt>
                <c:pt idx="946">
                  <c:v>97.913799999999995</c:v>
                </c:pt>
                <c:pt idx="947">
                  <c:v>23.9252</c:v>
                </c:pt>
                <c:pt idx="948">
                  <c:v>76.665800000000004</c:v>
                </c:pt>
                <c:pt idx="949">
                  <c:v>91.347399999999993</c:v>
                </c:pt>
                <c:pt idx="950">
                  <c:v>11.0816</c:v>
                </c:pt>
                <c:pt idx="951">
                  <c:v>7.6810999999999998</c:v>
                </c:pt>
                <c:pt idx="952">
                  <c:v>-16.817699999999999</c:v>
                </c:pt>
                <c:pt idx="953">
                  <c:v>-17.8689</c:v>
                </c:pt>
                <c:pt idx="954">
                  <c:v>7.1016000000000004</c:v>
                </c:pt>
                <c:pt idx="955">
                  <c:v>217.64859999999999</c:v>
                </c:pt>
                <c:pt idx="956">
                  <c:v>128.19569999999999</c:v>
                </c:pt>
                <c:pt idx="957">
                  <c:v>22.0184</c:v>
                </c:pt>
                <c:pt idx="958">
                  <c:v>121.1644</c:v>
                </c:pt>
                <c:pt idx="959">
                  <c:v>22.4208</c:v>
                </c:pt>
                <c:pt idx="960">
                  <c:v>85.9345</c:v>
                </c:pt>
                <c:pt idx="961">
                  <c:v>-5.0918999999999999</c:v>
                </c:pt>
                <c:pt idx="962">
                  <c:v>5.4084000000000003</c:v>
                </c:pt>
                <c:pt idx="963">
                  <c:v>24.774799999999999</c:v>
                </c:pt>
                <c:pt idx="964">
                  <c:v>10.3781</c:v>
                </c:pt>
                <c:pt idx="965">
                  <c:v>98.070899999999995</c:v>
                </c:pt>
                <c:pt idx="966">
                  <c:v>-10.654</c:v>
                </c:pt>
                <c:pt idx="967">
                  <c:v>-0.28589999999999999</c:v>
                </c:pt>
                <c:pt idx="968">
                  <c:v>172.7791</c:v>
                </c:pt>
                <c:pt idx="969">
                  <c:v>29.6784</c:v>
                </c:pt>
                <c:pt idx="970">
                  <c:v>125.11369999999999</c:v>
                </c:pt>
                <c:pt idx="971">
                  <c:v>-2.6595</c:v>
                </c:pt>
                <c:pt idx="972">
                  <c:v>83.129000000000005</c:v>
                </c:pt>
                <c:pt idx="973">
                  <c:v>69.268500000000003</c:v>
                </c:pt>
                <c:pt idx="974">
                  <c:v>10.2219</c:v>
                </c:pt>
                <c:pt idx="975">
                  <c:v>119.76949999999999</c:v>
                </c:pt>
                <c:pt idx="976">
                  <c:v>101.2452</c:v>
                </c:pt>
                <c:pt idx="977">
                  <c:v>-4.1021999999999998</c:v>
                </c:pt>
                <c:pt idx="978">
                  <c:v>133.42840000000001</c:v>
                </c:pt>
                <c:pt idx="979">
                  <c:v>58.923200000000001</c:v>
                </c:pt>
                <c:pt idx="980">
                  <c:v>167.19149999999999</c:v>
                </c:pt>
                <c:pt idx="981">
                  <c:v>157.88849999999999</c:v>
                </c:pt>
                <c:pt idx="982">
                  <c:v>141.40309999999999</c:v>
                </c:pt>
                <c:pt idx="983">
                  <c:v>-7.6317000000000004</c:v>
                </c:pt>
                <c:pt idx="984">
                  <c:v>18.1723</c:v>
                </c:pt>
                <c:pt idx="985">
                  <c:v>-7.7492999999999999</c:v>
                </c:pt>
                <c:pt idx="986">
                  <c:v>82.447599999999994</c:v>
                </c:pt>
                <c:pt idx="987">
                  <c:v>25.854399999999998</c:v>
                </c:pt>
                <c:pt idx="988">
                  <c:v>0.32690000000000002</c:v>
                </c:pt>
                <c:pt idx="989">
                  <c:v>158.09870000000001</c:v>
                </c:pt>
                <c:pt idx="990">
                  <c:v>46.388599999999997</c:v>
                </c:pt>
                <c:pt idx="991">
                  <c:v>-19.55</c:v>
                </c:pt>
                <c:pt idx="992">
                  <c:v>-6.3769</c:v>
                </c:pt>
                <c:pt idx="993">
                  <c:v>27.4161</c:v>
                </c:pt>
                <c:pt idx="994">
                  <c:v>0.80469999999999997</c:v>
                </c:pt>
                <c:pt idx="995">
                  <c:v>-2.1634000000000002</c:v>
                </c:pt>
                <c:pt idx="996">
                  <c:v>171.9589</c:v>
                </c:pt>
                <c:pt idx="997">
                  <c:v>7.2762000000000002</c:v>
                </c:pt>
                <c:pt idx="998">
                  <c:v>83.46</c:v>
                </c:pt>
                <c:pt idx="999">
                  <c:v>139.81219999999999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C2-4EAC-A3CC-0BE997C91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463872"/>
        <c:axId val="563462888"/>
      </c:scatterChart>
      <c:valAx>
        <c:axId val="56346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462888"/>
        <c:crosses val="autoZero"/>
        <c:crossBetween val="midCat"/>
      </c:valAx>
      <c:valAx>
        <c:axId val="5634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46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'Vanilla BS call option'!$R$1</c:f>
              <c:strCache>
                <c:ptCount val="1"/>
                <c:pt idx="0">
                  <c:v>cBS(t)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'Vanilla BS call option'!$Q$2:$Q$1001</c:f>
              <c:numCache>
                <c:formatCode>0.00</c:formatCode>
                <c:ptCount val="1000"/>
                <c:pt idx="0">
                  <c:v>102.161</c:v>
                </c:pt>
                <c:pt idx="1">
                  <c:v>93.2624</c:v>
                </c:pt>
                <c:pt idx="2">
                  <c:v>115.81910000000001</c:v>
                </c:pt>
                <c:pt idx="3">
                  <c:v>89.268299999999996</c:v>
                </c:pt>
                <c:pt idx="4">
                  <c:v>109.2516</c:v>
                </c:pt>
                <c:pt idx="5">
                  <c:v>91.637</c:v>
                </c:pt>
                <c:pt idx="6">
                  <c:v>140.2543</c:v>
                </c:pt>
                <c:pt idx="7">
                  <c:v>90.3249</c:v>
                </c:pt>
                <c:pt idx="8">
                  <c:v>101.4902</c:v>
                </c:pt>
                <c:pt idx="9">
                  <c:v>47.792299999999997</c:v>
                </c:pt>
                <c:pt idx="10">
                  <c:v>106.5472</c:v>
                </c:pt>
                <c:pt idx="11">
                  <c:v>67.899100000000004</c:v>
                </c:pt>
                <c:pt idx="12">
                  <c:v>110.81189999999999</c:v>
                </c:pt>
                <c:pt idx="13">
                  <c:v>77.881299999999996</c:v>
                </c:pt>
                <c:pt idx="14">
                  <c:v>122.16670000000001</c:v>
                </c:pt>
                <c:pt idx="15">
                  <c:v>84.145300000000006</c:v>
                </c:pt>
                <c:pt idx="16">
                  <c:v>128.67250000000001</c:v>
                </c:pt>
                <c:pt idx="17">
                  <c:v>88.079400000000007</c:v>
                </c:pt>
                <c:pt idx="18">
                  <c:v>144.5891</c:v>
                </c:pt>
                <c:pt idx="19">
                  <c:v>79.443700000000007</c:v>
                </c:pt>
                <c:pt idx="20">
                  <c:v>135.3527</c:v>
                </c:pt>
                <c:pt idx="21">
                  <c:v>98.382400000000004</c:v>
                </c:pt>
                <c:pt idx="22">
                  <c:v>158.33189999999999</c:v>
                </c:pt>
                <c:pt idx="23">
                  <c:v>90.836500000000001</c:v>
                </c:pt>
                <c:pt idx="24">
                  <c:v>69.322500000000005</c:v>
                </c:pt>
                <c:pt idx="25">
                  <c:v>67.534599999999998</c:v>
                </c:pt>
                <c:pt idx="26">
                  <c:v>120.3506</c:v>
                </c:pt>
                <c:pt idx="27">
                  <c:v>164.16079999999999</c:v>
                </c:pt>
                <c:pt idx="28">
                  <c:v>114.384</c:v>
                </c:pt>
                <c:pt idx="29">
                  <c:v>149.0121</c:v>
                </c:pt>
                <c:pt idx="30">
                  <c:v>134.983</c:v>
                </c:pt>
                <c:pt idx="31">
                  <c:v>98.646699999999996</c:v>
                </c:pt>
                <c:pt idx="32">
                  <c:v>66.658000000000001</c:v>
                </c:pt>
                <c:pt idx="33">
                  <c:v>202.93260000000001</c:v>
                </c:pt>
                <c:pt idx="34">
                  <c:v>85.751000000000005</c:v>
                </c:pt>
                <c:pt idx="35">
                  <c:v>116.27760000000001</c:v>
                </c:pt>
                <c:pt idx="36">
                  <c:v>80.528300000000002</c:v>
                </c:pt>
                <c:pt idx="37">
                  <c:v>75.726699999999994</c:v>
                </c:pt>
                <c:pt idx="38">
                  <c:v>89.218599999999995</c:v>
                </c:pt>
                <c:pt idx="39">
                  <c:v>69.918400000000005</c:v>
                </c:pt>
                <c:pt idx="40">
                  <c:v>138.5453</c:v>
                </c:pt>
                <c:pt idx="41">
                  <c:v>66.743200000000002</c:v>
                </c:pt>
                <c:pt idx="42">
                  <c:v>76.639099999999999</c:v>
                </c:pt>
                <c:pt idx="43">
                  <c:v>129.7671</c:v>
                </c:pt>
                <c:pt idx="44">
                  <c:v>80.173500000000004</c:v>
                </c:pt>
                <c:pt idx="45">
                  <c:v>95.573800000000006</c:v>
                </c:pt>
                <c:pt idx="46">
                  <c:v>74.484499999999997</c:v>
                </c:pt>
                <c:pt idx="47">
                  <c:v>73.590100000000007</c:v>
                </c:pt>
                <c:pt idx="48">
                  <c:v>79.963200000000001</c:v>
                </c:pt>
                <c:pt idx="49">
                  <c:v>84.153300000000002</c:v>
                </c:pt>
                <c:pt idx="50">
                  <c:v>100.66840000000001</c:v>
                </c:pt>
                <c:pt idx="51">
                  <c:v>184.38040000000001</c:v>
                </c:pt>
                <c:pt idx="52">
                  <c:v>121.4898</c:v>
                </c:pt>
                <c:pt idx="53">
                  <c:v>196.56829999999999</c:v>
                </c:pt>
                <c:pt idx="54">
                  <c:v>118.4062</c:v>
                </c:pt>
                <c:pt idx="55">
                  <c:v>86.978999999999999</c:v>
                </c:pt>
                <c:pt idx="56">
                  <c:v>124.6451</c:v>
                </c:pt>
                <c:pt idx="57">
                  <c:v>158.04220000000001</c:v>
                </c:pt>
                <c:pt idx="58">
                  <c:v>59.467399999999998</c:v>
                </c:pt>
                <c:pt idx="59">
                  <c:v>73.816900000000004</c:v>
                </c:pt>
                <c:pt idx="60">
                  <c:v>127.03489999999999</c:v>
                </c:pt>
                <c:pt idx="61">
                  <c:v>79.055300000000003</c:v>
                </c:pt>
                <c:pt idx="62">
                  <c:v>138.40469999999999</c:v>
                </c:pt>
                <c:pt idx="63">
                  <c:v>167.6011</c:v>
                </c:pt>
                <c:pt idx="64">
                  <c:v>112.1292</c:v>
                </c:pt>
                <c:pt idx="65">
                  <c:v>137.47640000000001</c:v>
                </c:pt>
                <c:pt idx="66">
                  <c:v>118.908</c:v>
                </c:pt>
                <c:pt idx="67">
                  <c:v>98.614999999999995</c:v>
                </c:pt>
                <c:pt idx="68">
                  <c:v>120.8374</c:v>
                </c:pt>
                <c:pt idx="69">
                  <c:v>104.98820000000001</c:v>
                </c:pt>
                <c:pt idx="70">
                  <c:v>77.662300000000002</c:v>
                </c:pt>
                <c:pt idx="71">
                  <c:v>116.748</c:v>
                </c:pt>
                <c:pt idx="72">
                  <c:v>143.71420000000001</c:v>
                </c:pt>
                <c:pt idx="73">
                  <c:v>88.054299999999998</c:v>
                </c:pt>
                <c:pt idx="74">
                  <c:v>103.9628</c:v>
                </c:pt>
                <c:pt idx="75">
                  <c:v>130.57830000000001</c:v>
                </c:pt>
                <c:pt idx="76">
                  <c:v>58.470100000000002</c:v>
                </c:pt>
                <c:pt idx="77">
                  <c:v>125.50530000000001</c:v>
                </c:pt>
                <c:pt idx="78">
                  <c:v>182.75190000000001</c:v>
                </c:pt>
                <c:pt idx="79">
                  <c:v>122.63079999999999</c:v>
                </c:pt>
                <c:pt idx="80">
                  <c:v>96.363500000000002</c:v>
                </c:pt>
                <c:pt idx="81">
                  <c:v>98.425399999999996</c:v>
                </c:pt>
                <c:pt idx="82">
                  <c:v>105.5986</c:v>
                </c:pt>
                <c:pt idx="83">
                  <c:v>100.3331</c:v>
                </c:pt>
                <c:pt idx="84">
                  <c:v>109.33</c:v>
                </c:pt>
                <c:pt idx="85">
                  <c:v>80.024100000000004</c:v>
                </c:pt>
                <c:pt idx="86">
                  <c:v>72.604900000000001</c:v>
                </c:pt>
                <c:pt idx="87">
                  <c:v>115.71599999999999</c:v>
                </c:pt>
                <c:pt idx="88">
                  <c:v>129.19540000000001</c:v>
                </c:pt>
                <c:pt idx="89">
                  <c:v>87.167599999999993</c:v>
                </c:pt>
                <c:pt idx="90">
                  <c:v>83.626800000000003</c:v>
                </c:pt>
                <c:pt idx="91">
                  <c:v>123.2749</c:v>
                </c:pt>
                <c:pt idx="92">
                  <c:v>135.46719999999999</c:v>
                </c:pt>
                <c:pt idx="93">
                  <c:v>111.5441</c:v>
                </c:pt>
                <c:pt idx="94">
                  <c:v>97.346000000000004</c:v>
                </c:pt>
                <c:pt idx="95">
                  <c:v>80.496899999999997</c:v>
                </c:pt>
                <c:pt idx="96">
                  <c:v>124.1759</c:v>
                </c:pt>
                <c:pt idx="97">
                  <c:v>61.837899999999998</c:v>
                </c:pt>
                <c:pt idx="98">
                  <c:v>51.597700000000003</c:v>
                </c:pt>
                <c:pt idx="99">
                  <c:v>85.471500000000006</c:v>
                </c:pt>
                <c:pt idx="100">
                  <c:v>89.339200000000005</c:v>
                </c:pt>
                <c:pt idx="101">
                  <c:v>193.57560000000001</c:v>
                </c:pt>
                <c:pt idx="102">
                  <c:v>125.0626</c:v>
                </c:pt>
                <c:pt idx="103">
                  <c:v>124.9054</c:v>
                </c:pt>
                <c:pt idx="104">
                  <c:v>123.5891</c:v>
                </c:pt>
                <c:pt idx="105">
                  <c:v>99.206199999999995</c:v>
                </c:pt>
                <c:pt idx="106">
                  <c:v>67.836399999999998</c:v>
                </c:pt>
                <c:pt idx="107">
                  <c:v>45.508600000000001</c:v>
                </c:pt>
                <c:pt idx="108">
                  <c:v>55.467500000000001</c:v>
                </c:pt>
                <c:pt idx="109">
                  <c:v>208.75479999999999</c:v>
                </c:pt>
                <c:pt idx="110">
                  <c:v>135.23769999999999</c:v>
                </c:pt>
                <c:pt idx="111">
                  <c:v>110.2722</c:v>
                </c:pt>
                <c:pt idx="112">
                  <c:v>93.218800000000002</c:v>
                </c:pt>
                <c:pt idx="113">
                  <c:v>82.784000000000006</c:v>
                </c:pt>
                <c:pt idx="114">
                  <c:v>105.5449</c:v>
                </c:pt>
                <c:pt idx="115">
                  <c:v>94.881299999999996</c:v>
                </c:pt>
                <c:pt idx="116">
                  <c:v>61.726999999999997</c:v>
                </c:pt>
                <c:pt idx="117">
                  <c:v>96.268699999999995</c:v>
                </c:pt>
                <c:pt idx="118">
                  <c:v>100.33240000000001</c:v>
                </c:pt>
                <c:pt idx="119">
                  <c:v>71.248699999999999</c:v>
                </c:pt>
                <c:pt idx="120">
                  <c:v>85.296700000000001</c:v>
                </c:pt>
                <c:pt idx="121">
                  <c:v>137.01300000000001</c:v>
                </c:pt>
                <c:pt idx="122">
                  <c:v>113.4096</c:v>
                </c:pt>
                <c:pt idx="123">
                  <c:v>156.73410000000001</c:v>
                </c:pt>
                <c:pt idx="124">
                  <c:v>106.8381</c:v>
                </c:pt>
                <c:pt idx="125">
                  <c:v>94.275899999999993</c:v>
                </c:pt>
                <c:pt idx="126">
                  <c:v>110.1994</c:v>
                </c:pt>
                <c:pt idx="127">
                  <c:v>133.22190000000001</c:v>
                </c:pt>
                <c:pt idx="128">
                  <c:v>90.071299999999994</c:v>
                </c:pt>
                <c:pt idx="129">
                  <c:v>151.7372</c:v>
                </c:pt>
                <c:pt idx="130">
                  <c:v>98.585899999999995</c:v>
                </c:pt>
                <c:pt idx="131">
                  <c:v>82.016199999999998</c:v>
                </c:pt>
                <c:pt idx="132">
                  <c:v>160.7568</c:v>
                </c:pt>
                <c:pt idx="133">
                  <c:v>100.63679999999999</c:v>
                </c:pt>
                <c:pt idx="134">
                  <c:v>84.763499999999993</c:v>
                </c:pt>
                <c:pt idx="135">
                  <c:v>80.941900000000004</c:v>
                </c:pt>
                <c:pt idx="136">
                  <c:v>87.447100000000006</c:v>
                </c:pt>
                <c:pt idx="137">
                  <c:v>101.098</c:v>
                </c:pt>
                <c:pt idx="138">
                  <c:v>119.5009</c:v>
                </c:pt>
                <c:pt idx="139">
                  <c:v>136.95660000000001</c:v>
                </c:pt>
                <c:pt idx="140">
                  <c:v>82.216200000000001</c:v>
                </c:pt>
                <c:pt idx="141">
                  <c:v>121.9568</c:v>
                </c:pt>
                <c:pt idx="142">
                  <c:v>94.197699999999998</c:v>
                </c:pt>
                <c:pt idx="143">
                  <c:v>111.1284</c:v>
                </c:pt>
                <c:pt idx="144">
                  <c:v>150.58519999999999</c:v>
                </c:pt>
                <c:pt idx="145">
                  <c:v>176.7379</c:v>
                </c:pt>
                <c:pt idx="146">
                  <c:v>103.4186</c:v>
                </c:pt>
                <c:pt idx="147">
                  <c:v>100.0902</c:v>
                </c:pt>
                <c:pt idx="148">
                  <c:v>173.5385</c:v>
                </c:pt>
                <c:pt idx="149">
                  <c:v>72.815200000000004</c:v>
                </c:pt>
                <c:pt idx="150">
                  <c:v>86.535200000000003</c:v>
                </c:pt>
                <c:pt idx="151">
                  <c:v>46.795999999999999</c:v>
                </c:pt>
                <c:pt idx="152">
                  <c:v>164.61689999999999</c:v>
                </c:pt>
                <c:pt idx="153">
                  <c:v>126.3451</c:v>
                </c:pt>
                <c:pt idx="154">
                  <c:v>91.672399999999996</c:v>
                </c:pt>
                <c:pt idx="155">
                  <c:v>73.759399999999999</c:v>
                </c:pt>
                <c:pt idx="156">
                  <c:v>162.23310000000001</c:v>
                </c:pt>
                <c:pt idx="157">
                  <c:v>105.6474</c:v>
                </c:pt>
                <c:pt idx="158">
                  <c:v>74.594499999999996</c:v>
                </c:pt>
                <c:pt idx="159">
                  <c:v>89.738299999999995</c:v>
                </c:pt>
                <c:pt idx="160">
                  <c:v>79.492400000000004</c:v>
                </c:pt>
                <c:pt idx="161">
                  <c:v>95.706299999999999</c:v>
                </c:pt>
                <c:pt idx="162">
                  <c:v>58.122500000000002</c:v>
                </c:pt>
                <c:pt idx="163">
                  <c:v>83.770700000000005</c:v>
                </c:pt>
                <c:pt idx="164">
                  <c:v>112.2568</c:v>
                </c:pt>
                <c:pt idx="165">
                  <c:v>102.7687</c:v>
                </c:pt>
                <c:pt idx="166">
                  <c:v>98.402799999999999</c:v>
                </c:pt>
                <c:pt idx="167">
                  <c:v>78.025899999999993</c:v>
                </c:pt>
                <c:pt idx="168">
                  <c:v>69.321799999999996</c:v>
                </c:pt>
                <c:pt idx="169">
                  <c:v>115.0261</c:v>
                </c:pt>
                <c:pt idx="170">
                  <c:v>94.506399999999999</c:v>
                </c:pt>
                <c:pt idx="171">
                  <c:v>59.155799999999999</c:v>
                </c:pt>
                <c:pt idx="172">
                  <c:v>122.3494</c:v>
                </c:pt>
                <c:pt idx="173">
                  <c:v>171.39189999999999</c:v>
                </c:pt>
                <c:pt idx="174">
                  <c:v>170.37039999999999</c:v>
                </c:pt>
                <c:pt idx="175">
                  <c:v>119.8445</c:v>
                </c:pt>
                <c:pt idx="176">
                  <c:v>122.67400000000001</c:v>
                </c:pt>
                <c:pt idx="177">
                  <c:v>101.0106</c:v>
                </c:pt>
                <c:pt idx="178">
                  <c:v>119.13379999999999</c:v>
                </c:pt>
                <c:pt idx="179">
                  <c:v>100.1904</c:v>
                </c:pt>
                <c:pt idx="180">
                  <c:v>85.908699999999996</c:v>
                </c:pt>
                <c:pt idx="181">
                  <c:v>117.14360000000001</c:v>
                </c:pt>
                <c:pt idx="182">
                  <c:v>94.538899999999998</c:v>
                </c:pt>
                <c:pt idx="183">
                  <c:v>151.12459999999999</c:v>
                </c:pt>
                <c:pt idx="184">
                  <c:v>120.47539999999999</c:v>
                </c:pt>
                <c:pt idx="185">
                  <c:v>159.10079999999999</c:v>
                </c:pt>
                <c:pt idx="186">
                  <c:v>265.09440000000001</c:v>
                </c:pt>
                <c:pt idx="187">
                  <c:v>121.5508</c:v>
                </c:pt>
                <c:pt idx="188">
                  <c:v>77.908799999999999</c:v>
                </c:pt>
                <c:pt idx="189">
                  <c:v>65.984300000000005</c:v>
                </c:pt>
                <c:pt idx="190">
                  <c:v>87.512200000000007</c:v>
                </c:pt>
                <c:pt idx="191">
                  <c:v>132.2373</c:v>
                </c:pt>
                <c:pt idx="192">
                  <c:v>90.617000000000004</c:v>
                </c:pt>
                <c:pt idx="193">
                  <c:v>208.1251</c:v>
                </c:pt>
                <c:pt idx="194">
                  <c:v>85.026499999999999</c:v>
                </c:pt>
                <c:pt idx="195">
                  <c:v>136.46899999999999</c:v>
                </c:pt>
                <c:pt idx="196">
                  <c:v>60.451099999999997</c:v>
                </c:pt>
                <c:pt idx="197">
                  <c:v>114.18510000000001</c:v>
                </c:pt>
                <c:pt idx="198">
                  <c:v>94.309399999999997</c:v>
                </c:pt>
                <c:pt idx="199">
                  <c:v>142.32390000000001</c:v>
                </c:pt>
                <c:pt idx="200">
                  <c:v>116.4062</c:v>
                </c:pt>
                <c:pt idx="201">
                  <c:v>102.4014</c:v>
                </c:pt>
                <c:pt idx="202">
                  <c:v>132.46639999999999</c:v>
                </c:pt>
                <c:pt idx="203">
                  <c:v>56.974699999999999</c:v>
                </c:pt>
                <c:pt idx="204">
                  <c:v>86.096400000000003</c:v>
                </c:pt>
                <c:pt idx="205">
                  <c:v>60.633699999999997</c:v>
                </c:pt>
                <c:pt idx="206">
                  <c:v>74.124099999999999</c:v>
                </c:pt>
                <c:pt idx="207">
                  <c:v>129.55959999999999</c:v>
                </c:pt>
                <c:pt idx="208">
                  <c:v>130.46190000000001</c:v>
                </c:pt>
                <c:pt idx="209">
                  <c:v>114.6331</c:v>
                </c:pt>
                <c:pt idx="210">
                  <c:v>99.716099999999997</c:v>
                </c:pt>
                <c:pt idx="211">
                  <c:v>87.985799999999998</c:v>
                </c:pt>
                <c:pt idx="212">
                  <c:v>101.9162</c:v>
                </c:pt>
                <c:pt idx="213">
                  <c:v>114.1533</c:v>
                </c:pt>
                <c:pt idx="214">
                  <c:v>131.84180000000001</c:v>
                </c:pt>
                <c:pt idx="215">
                  <c:v>141.91669999999999</c:v>
                </c:pt>
                <c:pt idx="216">
                  <c:v>131.76130000000001</c:v>
                </c:pt>
                <c:pt idx="217">
                  <c:v>103.3896</c:v>
                </c:pt>
                <c:pt idx="218">
                  <c:v>77.261499999999998</c:v>
                </c:pt>
                <c:pt idx="219">
                  <c:v>66.391999999999996</c:v>
                </c:pt>
                <c:pt idx="220">
                  <c:v>91.412700000000001</c:v>
                </c:pt>
                <c:pt idx="221">
                  <c:v>107.6609</c:v>
                </c:pt>
                <c:pt idx="222">
                  <c:v>77.252300000000005</c:v>
                </c:pt>
                <c:pt idx="223">
                  <c:v>149.19130000000001</c:v>
                </c:pt>
                <c:pt idx="224">
                  <c:v>162.578</c:v>
                </c:pt>
                <c:pt idx="225">
                  <c:v>66.200100000000006</c:v>
                </c:pt>
                <c:pt idx="226">
                  <c:v>111.2419</c:v>
                </c:pt>
                <c:pt idx="227">
                  <c:v>82.242099999999994</c:v>
                </c:pt>
                <c:pt idx="228">
                  <c:v>76.747500000000002</c:v>
                </c:pt>
                <c:pt idx="229">
                  <c:v>90.050899999999999</c:v>
                </c:pt>
                <c:pt idx="230">
                  <c:v>107.4588</c:v>
                </c:pt>
                <c:pt idx="231">
                  <c:v>113.0646</c:v>
                </c:pt>
                <c:pt idx="232">
                  <c:v>125.1439</c:v>
                </c:pt>
                <c:pt idx="233">
                  <c:v>83.866600000000005</c:v>
                </c:pt>
                <c:pt idx="234">
                  <c:v>91.8108</c:v>
                </c:pt>
                <c:pt idx="235">
                  <c:v>83.656000000000006</c:v>
                </c:pt>
                <c:pt idx="236">
                  <c:v>152.77440000000001</c:v>
                </c:pt>
                <c:pt idx="237">
                  <c:v>97.245099999999994</c:v>
                </c:pt>
                <c:pt idx="238">
                  <c:v>83.112399999999994</c:v>
                </c:pt>
                <c:pt idx="239">
                  <c:v>86.530600000000007</c:v>
                </c:pt>
                <c:pt idx="240">
                  <c:v>97.574399999999997</c:v>
                </c:pt>
                <c:pt idx="241">
                  <c:v>127.3416</c:v>
                </c:pt>
                <c:pt idx="242">
                  <c:v>116.393</c:v>
                </c:pt>
                <c:pt idx="243">
                  <c:v>246.02539999999999</c:v>
                </c:pt>
                <c:pt idx="244">
                  <c:v>161.20259999999999</c:v>
                </c:pt>
                <c:pt idx="245">
                  <c:v>125.3416</c:v>
                </c:pt>
                <c:pt idx="246">
                  <c:v>104.96429999999999</c:v>
                </c:pt>
                <c:pt idx="247">
                  <c:v>106.9524</c:v>
                </c:pt>
                <c:pt idx="248">
                  <c:v>71.837999999999994</c:v>
                </c:pt>
                <c:pt idx="249">
                  <c:v>86.149500000000003</c:v>
                </c:pt>
                <c:pt idx="250">
                  <c:v>117.1579</c:v>
                </c:pt>
                <c:pt idx="251">
                  <c:v>65.516300000000001</c:v>
                </c:pt>
                <c:pt idx="252">
                  <c:v>85.675700000000006</c:v>
                </c:pt>
                <c:pt idx="253">
                  <c:v>101.0946</c:v>
                </c:pt>
                <c:pt idx="254">
                  <c:v>55.536099999999998</c:v>
                </c:pt>
                <c:pt idx="255">
                  <c:v>146.43860000000001</c:v>
                </c:pt>
                <c:pt idx="256">
                  <c:v>62.057200000000002</c:v>
                </c:pt>
                <c:pt idx="257">
                  <c:v>96.251400000000004</c:v>
                </c:pt>
                <c:pt idx="258">
                  <c:v>95.2119</c:v>
                </c:pt>
                <c:pt idx="259">
                  <c:v>152.13980000000001</c:v>
                </c:pt>
                <c:pt idx="260">
                  <c:v>53.337699999999998</c:v>
                </c:pt>
                <c:pt idx="261">
                  <c:v>109.6246</c:v>
                </c:pt>
                <c:pt idx="262">
                  <c:v>60.131399999999999</c:v>
                </c:pt>
                <c:pt idx="263">
                  <c:v>56.418599999999998</c:v>
                </c:pt>
                <c:pt idx="264">
                  <c:v>158.59780000000001</c:v>
                </c:pt>
                <c:pt idx="265">
                  <c:v>89.887299999999996</c:v>
                </c:pt>
                <c:pt idx="266">
                  <c:v>135.78700000000001</c:v>
                </c:pt>
                <c:pt idx="267">
                  <c:v>63.603999999999999</c:v>
                </c:pt>
                <c:pt idx="268">
                  <c:v>88.569000000000003</c:v>
                </c:pt>
                <c:pt idx="269">
                  <c:v>56.111899999999999</c:v>
                </c:pt>
                <c:pt idx="270">
                  <c:v>145.67429999999999</c:v>
                </c:pt>
                <c:pt idx="271">
                  <c:v>155.22389999999999</c:v>
                </c:pt>
                <c:pt idx="272">
                  <c:v>116.0534</c:v>
                </c:pt>
                <c:pt idx="273">
                  <c:v>109.4195</c:v>
                </c:pt>
                <c:pt idx="274">
                  <c:v>143.1934</c:v>
                </c:pt>
                <c:pt idx="275">
                  <c:v>101.65170000000001</c:v>
                </c:pt>
                <c:pt idx="276">
                  <c:v>112.48739999999999</c:v>
                </c:pt>
                <c:pt idx="277">
                  <c:v>110.29810000000001</c:v>
                </c:pt>
                <c:pt idx="278">
                  <c:v>163.68340000000001</c:v>
                </c:pt>
                <c:pt idx="279">
                  <c:v>148.17779999999999</c:v>
                </c:pt>
                <c:pt idx="280">
                  <c:v>157.58799999999999</c:v>
                </c:pt>
                <c:pt idx="281">
                  <c:v>112.60550000000001</c:v>
                </c:pt>
                <c:pt idx="282">
                  <c:v>102.5133</c:v>
                </c:pt>
                <c:pt idx="283">
                  <c:v>101.36150000000001</c:v>
                </c:pt>
                <c:pt idx="284">
                  <c:v>135.01259999999999</c:v>
                </c:pt>
                <c:pt idx="285">
                  <c:v>95.639300000000006</c:v>
                </c:pt>
                <c:pt idx="286">
                  <c:v>84.845100000000002</c:v>
                </c:pt>
                <c:pt idx="287">
                  <c:v>138.0086</c:v>
                </c:pt>
                <c:pt idx="288">
                  <c:v>84.911799999999999</c:v>
                </c:pt>
                <c:pt idx="289">
                  <c:v>116.5106</c:v>
                </c:pt>
                <c:pt idx="290">
                  <c:v>83.042400000000001</c:v>
                </c:pt>
                <c:pt idx="291">
                  <c:v>111.4118</c:v>
                </c:pt>
                <c:pt idx="292">
                  <c:v>104.407</c:v>
                </c:pt>
                <c:pt idx="293">
                  <c:v>94.292900000000003</c:v>
                </c:pt>
                <c:pt idx="294">
                  <c:v>139.8425</c:v>
                </c:pt>
                <c:pt idx="295">
                  <c:v>119.97110000000001</c:v>
                </c:pt>
                <c:pt idx="296">
                  <c:v>87.153099999999995</c:v>
                </c:pt>
                <c:pt idx="297">
                  <c:v>82.180199999999999</c:v>
                </c:pt>
                <c:pt idx="298">
                  <c:v>117.0839</c:v>
                </c:pt>
                <c:pt idx="299">
                  <c:v>135.30520000000001</c:v>
                </c:pt>
                <c:pt idx="300">
                  <c:v>123.1418</c:v>
                </c:pt>
                <c:pt idx="301">
                  <c:v>86.045500000000004</c:v>
                </c:pt>
                <c:pt idx="302">
                  <c:v>122.1885</c:v>
                </c:pt>
                <c:pt idx="303">
                  <c:v>122.509</c:v>
                </c:pt>
                <c:pt idx="304">
                  <c:v>114.3015</c:v>
                </c:pt>
                <c:pt idx="305">
                  <c:v>143.53460000000001</c:v>
                </c:pt>
                <c:pt idx="306">
                  <c:v>93.361699999999999</c:v>
                </c:pt>
                <c:pt idx="307">
                  <c:v>91.475800000000007</c:v>
                </c:pt>
                <c:pt idx="308">
                  <c:v>153.76759999999999</c:v>
                </c:pt>
                <c:pt idx="309">
                  <c:v>104.3737</c:v>
                </c:pt>
                <c:pt idx="310">
                  <c:v>128.2251</c:v>
                </c:pt>
                <c:pt idx="311">
                  <c:v>98.814099999999996</c:v>
                </c:pt>
                <c:pt idx="312">
                  <c:v>80.437100000000001</c:v>
                </c:pt>
                <c:pt idx="313">
                  <c:v>64.912199999999999</c:v>
                </c:pt>
                <c:pt idx="314">
                  <c:v>74.786900000000003</c:v>
                </c:pt>
                <c:pt idx="315">
                  <c:v>110.11790000000001</c:v>
                </c:pt>
                <c:pt idx="316">
                  <c:v>153.2457</c:v>
                </c:pt>
                <c:pt idx="317">
                  <c:v>142.87379999999999</c:v>
                </c:pt>
                <c:pt idx="318">
                  <c:v>74.887799999999999</c:v>
                </c:pt>
                <c:pt idx="319">
                  <c:v>114.8681</c:v>
                </c:pt>
                <c:pt idx="320">
                  <c:v>133.28389999999999</c:v>
                </c:pt>
                <c:pt idx="321">
                  <c:v>79.561999999999998</c:v>
                </c:pt>
                <c:pt idx="322">
                  <c:v>109.12309999999999</c:v>
                </c:pt>
                <c:pt idx="323">
                  <c:v>105.7889</c:v>
                </c:pt>
                <c:pt idx="324">
                  <c:v>78.856999999999999</c:v>
                </c:pt>
                <c:pt idx="325">
                  <c:v>56.231900000000003</c:v>
                </c:pt>
                <c:pt idx="326">
                  <c:v>91.677000000000007</c:v>
                </c:pt>
                <c:pt idx="327">
                  <c:v>131.94470000000001</c:v>
                </c:pt>
                <c:pt idx="328">
                  <c:v>130.89930000000001</c:v>
                </c:pt>
                <c:pt idx="329">
                  <c:v>87.643799999999999</c:v>
                </c:pt>
                <c:pt idx="330">
                  <c:v>112.6405</c:v>
                </c:pt>
                <c:pt idx="331">
                  <c:v>90.582300000000004</c:v>
                </c:pt>
                <c:pt idx="332">
                  <c:v>205.8888</c:v>
                </c:pt>
                <c:pt idx="333">
                  <c:v>112.3738</c:v>
                </c:pt>
                <c:pt idx="334">
                  <c:v>69.706000000000003</c:v>
                </c:pt>
                <c:pt idx="335">
                  <c:v>109.84690000000001</c:v>
                </c:pt>
                <c:pt idx="336">
                  <c:v>94.085700000000003</c:v>
                </c:pt>
                <c:pt idx="337">
                  <c:v>121.2799</c:v>
                </c:pt>
                <c:pt idx="338">
                  <c:v>112.3951</c:v>
                </c:pt>
                <c:pt idx="339">
                  <c:v>134.91839999999999</c:v>
                </c:pt>
                <c:pt idx="340">
                  <c:v>106.9224</c:v>
                </c:pt>
                <c:pt idx="341">
                  <c:v>99.383899999999997</c:v>
                </c:pt>
                <c:pt idx="342">
                  <c:v>85.545000000000002</c:v>
                </c:pt>
                <c:pt idx="343">
                  <c:v>55.021999999999998</c:v>
                </c:pt>
                <c:pt idx="344">
                  <c:v>161.97489999999999</c:v>
                </c:pt>
                <c:pt idx="345">
                  <c:v>104.3693</c:v>
                </c:pt>
                <c:pt idx="346">
                  <c:v>135.1814</c:v>
                </c:pt>
                <c:pt idx="347">
                  <c:v>94.778199999999998</c:v>
                </c:pt>
                <c:pt idx="348">
                  <c:v>83.244399999999999</c:v>
                </c:pt>
                <c:pt idx="349">
                  <c:v>133.05609999999999</c:v>
                </c:pt>
                <c:pt idx="350">
                  <c:v>87.396199999999993</c:v>
                </c:pt>
                <c:pt idx="351">
                  <c:v>69.222399999999993</c:v>
                </c:pt>
                <c:pt idx="352">
                  <c:v>135.458</c:v>
                </c:pt>
                <c:pt idx="353">
                  <c:v>112.7269</c:v>
                </c:pt>
                <c:pt idx="354">
                  <c:v>61.308900000000001</c:v>
                </c:pt>
                <c:pt idx="355">
                  <c:v>105.42919999999999</c:v>
                </c:pt>
                <c:pt idx="356">
                  <c:v>107.9504</c:v>
                </c:pt>
                <c:pt idx="357">
                  <c:v>59.501199999999997</c:v>
                </c:pt>
                <c:pt idx="358">
                  <c:v>78.925899999999999</c:v>
                </c:pt>
                <c:pt idx="359">
                  <c:v>117.1045</c:v>
                </c:pt>
                <c:pt idx="360">
                  <c:v>107.6294</c:v>
                </c:pt>
                <c:pt idx="361">
                  <c:v>70.752600000000001</c:v>
                </c:pt>
                <c:pt idx="362">
                  <c:v>125.8309</c:v>
                </c:pt>
                <c:pt idx="363">
                  <c:v>79.943600000000004</c:v>
                </c:pt>
                <c:pt idx="364">
                  <c:v>90.574100000000001</c:v>
                </c:pt>
                <c:pt idx="365">
                  <c:v>75.938100000000006</c:v>
                </c:pt>
                <c:pt idx="366">
                  <c:v>145.6645</c:v>
                </c:pt>
                <c:pt idx="367">
                  <c:v>112.5209</c:v>
                </c:pt>
                <c:pt idx="368">
                  <c:v>99.545900000000003</c:v>
                </c:pt>
                <c:pt idx="369">
                  <c:v>104.7259</c:v>
                </c:pt>
                <c:pt idx="370">
                  <c:v>109.3385</c:v>
                </c:pt>
                <c:pt idx="371">
                  <c:v>77.424400000000006</c:v>
                </c:pt>
                <c:pt idx="372">
                  <c:v>70.084800000000001</c:v>
                </c:pt>
                <c:pt idx="373">
                  <c:v>75.139799999999994</c:v>
                </c:pt>
                <c:pt idx="374">
                  <c:v>114.6998</c:v>
                </c:pt>
                <c:pt idx="375">
                  <c:v>144.33529999999999</c:v>
                </c:pt>
                <c:pt idx="376">
                  <c:v>85.232399999999998</c:v>
                </c:pt>
                <c:pt idx="377">
                  <c:v>95.464299999999994</c:v>
                </c:pt>
                <c:pt idx="378">
                  <c:v>41.354100000000003</c:v>
                </c:pt>
                <c:pt idx="379">
                  <c:v>178.2011</c:v>
                </c:pt>
                <c:pt idx="380">
                  <c:v>101.3026</c:v>
                </c:pt>
                <c:pt idx="381">
                  <c:v>75.654600000000002</c:v>
                </c:pt>
                <c:pt idx="382">
                  <c:v>92.119399999999999</c:v>
                </c:pt>
                <c:pt idx="383">
                  <c:v>61.16</c:v>
                </c:pt>
                <c:pt idx="384">
                  <c:v>95.111099999999993</c:v>
                </c:pt>
                <c:pt idx="385">
                  <c:v>68.944100000000006</c:v>
                </c:pt>
                <c:pt idx="386">
                  <c:v>127.1357</c:v>
                </c:pt>
                <c:pt idx="387">
                  <c:v>131.55170000000001</c:v>
                </c:pt>
                <c:pt idx="388">
                  <c:v>75.577799999999996</c:v>
                </c:pt>
                <c:pt idx="389">
                  <c:v>102.8185</c:v>
                </c:pt>
                <c:pt idx="390">
                  <c:v>99.811300000000003</c:v>
                </c:pt>
                <c:pt idx="391">
                  <c:v>115.879</c:v>
                </c:pt>
                <c:pt idx="392">
                  <c:v>90.827600000000004</c:v>
                </c:pt>
                <c:pt idx="393">
                  <c:v>58.878999999999998</c:v>
                </c:pt>
                <c:pt idx="394">
                  <c:v>149.7587</c:v>
                </c:pt>
                <c:pt idx="395">
                  <c:v>109.9436</c:v>
                </c:pt>
                <c:pt idx="396">
                  <c:v>135.88999999999999</c:v>
                </c:pt>
                <c:pt idx="397">
                  <c:v>116.441</c:v>
                </c:pt>
                <c:pt idx="398">
                  <c:v>115.86969999999999</c:v>
                </c:pt>
                <c:pt idx="399">
                  <c:v>214.19759999999999</c:v>
                </c:pt>
                <c:pt idx="400">
                  <c:v>130.18049999999999</c:v>
                </c:pt>
                <c:pt idx="401">
                  <c:v>105.65770000000001</c:v>
                </c:pt>
                <c:pt idx="402">
                  <c:v>113.5343</c:v>
                </c:pt>
                <c:pt idx="403">
                  <c:v>102.5549</c:v>
                </c:pt>
                <c:pt idx="404">
                  <c:v>96.732399999999998</c:v>
                </c:pt>
                <c:pt idx="405">
                  <c:v>136.35769999999999</c:v>
                </c:pt>
                <c:pt idx="406">
                  <c:v>75.998500000000007</c:v>
                </c:pt>
                <c:pt idx="407">
                  <c:v>134.8663</c:v>
                </c:pt>
                <c:pt idx="408">
                  <c:v>91.533900000000003</c:v>
                </c:pt>
                <c:pt idx="409">
                  <c:v>87.945099999999996</c:v>
                </c:pt>
                <c:pt idx="410">
                  <c:v>114.7466</c:v>
                </c:pt>
                <c:pt idx="411">
                  <c:v>110.3578</c:v>
                </c:pt>
                <c:pt idx="412">
                  <c:v>131.04839999999999</c:v>
                </c:pt>
                <c:pt idx="413">
                  <c:v>82.727699999999999</c:v>
                </c:pt>
                <c:pt idx="414">
                  <c:v>117.1344</c:v>
                </c:pt>
                <c:pt idx="415">
                  <c:v>99.602800000000002</c:v>
                </c:pt>
                <c:pt idx="416">
                  <c:v>75.514200000000002</c:v>
                </c:pt>
                <c:pt idx="417">
                  <c:v>101.1529</c:v>
                </c:pt>
                <c:pt idx="418">
                  <c:v>93.6798</c:v>
                </c:pt>
                <c:pt idx="419">
                  <c:v>129.4023</c:v>
                </c:pt>
                <c:pt idx="420">
                  <c:v>148.20840000000001</c:v>
                </c:pt>
                <c:pt idx="421">
                  <c:v>89.995800000000003</c:v>
                </c:pt>
                <c:pt idx="422">
                  <c:v>87.162599999999998</c:v>
                </c:pt>
                <c:pt idx="423">
                  <c:v>99.954599999999999</c:v>
                </c:pt>
                <c:pt idx="424">
                  <c:v>78.615600000000001</c:v>
                </c:pt>
                <c:pt idx="425">
                  <c:v>92.656099999999995</c:v>
                </c:pt>
                <c:pt idx="426">
                  <c:v>73.304599999999994</c:v>
                </c:pt>
                <c:pt idx="427">
                  <c:v>116.8287</c:v>
                </c:pt>
                <c:pt idx="428">
                  <c:v>86.055000000000007</c:v>
                </c:pt>
                <c:pt idx="429">
                  <c:v>117.8583</c:v>
                </c:pt>
                <c:pt idx="430">
                  <c:v>116.04300000000001</c:v>
                </c:pt>
                <c:pt idx="431">
                  <c:v>92.786699999999996</c:v>
                </c:pt>
                <c:pt idx="432">
                  <c:v>66.250200000000007</c:v>
                </c:pt>
                <c:pt idx="433">
                  <c:v>92.874600000000001</c:v>
                </c:pt>
                <c:pt idx="434">
                  <c:v>89.653700000000001</c:v>
                </c:pt>
                <c:pt idx="435">
                  <c:v>92.014300000000006</c:v>
                </c:pt>
                <c:pt idx="436">
                  <c:v>161.63249999999999</c:v>
                </c:pt>
                <c:pt idx="437">
                  <c:v>129.9281</c:v>
                </c:pt>
                <c:pt idx="438">
                  <c:v>82.097999999999999</c:v>
                </c:pt>
                <c:pt idx="439">
                  <c:v>47.0411</c:v>
                </c:pt>
                <c:pt idx="440">
                  <c:v>96.836500000000001</c:v>
                </c:pt>
                <c:pt idx="441">
                  <c:v>159.76750000000001</c:v>
                </c:pt>
                <c:pt idx="442">
                  <c:v>140.96350000000001</c:v>
                </c:pt>
                <c:pt idx="443">
                  <c:v>130.3323</c:v>
                </c:pt>
                <c:pt idx="444">
                  <c:v>83.508099999999999</c:v>
                </c:pt>
                <c:pt idx="445">
                  <c:v>116.6906</c:v>
                </c:pt>
                <c:pt idx="446">
                  <c:v>152.11859999999999</c:v>
                </c:pt>
                <c:pt idx="447">
                  <c:v>126.2373</c:v>
                </c:pt>
                <c:pt idx="448">
                  <c:v>174.364</c:v>
                </c:pt>
                <c:pt idx="449">
                  <c:v>107.6619</c:v>
                </c:pt>
                <c:pt idx="450">
                  <c:v>71.471299999999999</c:v>
                </c:pt>
                <c:pt idx="451">
                  <c:v>94.062399999999997</c:v>
                </c:pt>
                <c:pt idx="452">
                  <c:v>87.241100000000003</c:v>
                </c:pt>
                <c:pt idx="453">
                  <c:v>109.6052</c:v>
                </c:pt>
                <c:pt idx="454">
                  <c:v>62.767499999999998</c:v>
                </c:pt>
                <c:pt idx="455">
                  <c:v>105.3507</c:v>
                </c:pt>
                <c:pt idx="456">
                  <c:v>67.0334</c:v>
                </c:pt>
                <c:pt idx="457">
                  <c:v>91.011600000000001</c:v>
                </c:pt>
                <c:pt idx="458">
                  <c:v>165.1576</c:v>
                </c:pt>
                <c:pt idx="459">
                  <c:v>128.99780000000001</c:v>
                </c:pt>
                <c:pt idx="460">
                  <c:v>54.862499999999997</c:v>
                </c:pt>
                <c:pt idx="461">
                  <c:v>101.7111</c:v>
                </c:pt>
                <c:pt idx="462">
                  <c:v>111.1281</c:v>
                </c:pt>
                <c:pt idx="463">
                  <c:v>112.4585</c:v>
                </c:pt>
                <c:pt idx="464">
                  <c:v>66.281099999999995</c:v>
                </c:pt>
                <c:pt idx="465">
                  <c:v>94.476799999999997</c:v>
                </c:pt>
                <c:pt idx="466">
                  <c:v>83.047799999999995</c:v>
                </c:pt>
                <c:pt idx="467">
                  <c:v>63.618400000000001</c:v>
                </c:pt>
                <c:pt idx="468">
                  <c:v>61.383800000000001</c:v>
                </c:pt>
                <c:pt idx="469">
                  <c:v>106.0067</c:v>
                </c:pt>
                <c:pt idx="470">
                  <c:v>79.531800000000004</c:v>
                </c:pt>
                <c:pt idx="471">
                  <c:v>91.229600000000005</c:v>
                </c:pt>
                <c:pt idx="472">
                  <c:v>145.64670000000001</c:v>
                </c:pt>
                <c:pt idx="473">
                  <c:v>96.180700000000002</c:v>
                </c:pt>
                <c:pt idx="474">
                  <c:v>114.14530000000001</c:v>
                </c:pt>
                <c:pt idx="475">
                  <c:v>59.070300000000003</c:v>
                </c:pt>
                <c:pt idx="476">
                  <c:v>121.16549999999999</c:v>
                </c:pt>
                <c:pt idx="477">
                  <c:v>111.54600000000001</c:v>
                </c:pt>
                <c:pt idx="478">
                  <c:v>61.0747</c:v>
                </c:pt>
                <c:pt idx="479">
                  <c:v>45.893999999999998</c:v>
                </c:pt>
                <c:pt idx="480">
                  <c:v>80.771900000000002</c:v>
                </c:pt>
                <c:pt idx="481">
                  <c:v>154.28210000000001</c:v>
                </c:pt>
                <c:pt idx="482">
                  <c:v>93.133700000000005</c:v>
                </c:pt>
                <c:pt idx="483">
                  <c:v>143.12809999999999</c:v>
                </c:pt>
                <c:pt idx="484">
                  <c:v>112.14570000000001</c:v>
                </c:pt>
                <c:pt idx="485">
                  <c:v>141.44479999999999</c:v>
                </c:pt>
                <c:pt idx="486">
                  <c:v>95.473399999999998</c:v>
                </c:pt>
                <c:pt idx="487">
                  <c:v>145.18430000000001</c:v>
                </c:pt>
                <c:pt idx="488">
                  <c:v>161.17060000000001</c:v>
                </c:pt>
                <c:pt idx="489">
                  <c:v>143.4538</c:v>
                </c:pt>
                <c:pt idx="490">
                  <c:v>102.8185</c:v>
                </c:pt>
                <c:pt idx="491">
                  <c:v>123.1238</c:v>
                </c:pt>
                <c:pt idx="492">
                  <c:v>201.03149999999999</c:v>
                </c:pt>
                <c:pt idx="493">
                  <c:v>66.030199999999994</c:v>
                </c:pt>
                <c:pt idx="494">
                  <c:v>113.6635</c:v>
                </c:pt>
                <c:pt idx="495">
                  <c:v>108.1057</c:v>
                </c:pt>
                <c:pt idx="496">
                  <c:v>114.8205</c:v>
                </c:pt>
                <c:pt idx="497">
                  <c:v>117.648</c:v>
                </c:pt>
                <c:pt idx="498">
                  <c:v>119.8623</c:v>
                </c:pt>
                <c:pt idx="499">
                  <c:v>109.74379999999999</c:v>
                </c:pt>
                <c:pt idx="500">
                  <c:v>105.6507</c:v>
                </c:pt>
                <c:pt idx="501">
                  <c:v>114.2886</c:v>
                </c:pt>
                <c:pt idx="502">
                  <c:v>159.32050000000001</c:v>
                </c:pt>
                <c:pt idx="503">
                  <c:v>96.095500000000001</c:v>
                </c:pt>
                <c:pt idx="504">
                  <c:v>164.87870000000001</c:v>
                </c:pt>
                <c:pt idx="505">
                  <c:v>61.762099999999997</c:v>
                </c:pt>
                <c:pt idx="506">
                  <c:v>118.2516</c:v>
                </c:pt>
                <c:pt idx="507">
                  <c:v>88.468999999999994</c:v>
                </c:pt>
                <c:pt idx="508">
                  <c:v>114.3907</c:v>
                </c:pt>
                <c:pt idx="509">
                  <c:v>91.828299999999999</c:v>
                </c:pt>
                <c:pt idx="510">
                  <c:v>102.3527</c:v>
                </c:pt>
                <c:pt idx="511">
                  <c:v>47.548200000000001</c:v>
                </c:pt>
                <c:pt idx="512">
                  <c:v>108.72239999999999</c:v>
                </c:pt>
                <c:pt idx="513">
                  <c:v>203.68100000000001</c:v>
                </c:pt>
                <c:pt idx="514">
                  <c:v>71.655000000000001</c:v>
                </c:pt>
                <c:pt idx="515">
                  <c:v>79.343500000000006</c:v>
                </c:pt>
                <c:pt idx="516">
                  <c:v>95.578800000000001</c:v>
                </c:pt>
                <c:pt idx="517">
                  <c:v>122.29430000000001</c:v>
                </c:pt>
                <c:pt idx="518">
                  <c:v>87.575900000000004</c:v>
                </c:pt>
                <c:pt idx="519">
                  <c:v>80.8553</c:v>
                </c:pt>
                <c:pt idx="520">
                  <c:v>108.75109999999999</c:v>
                </c:pt>
                <c:pt idx="521">
                  <c:v>191.6207</c:v>
                </c:pt>
                <c:pt idx="522">
                  <c:v>138.53149999999999</c:v>
                </c:pt>
                <c:pt idx="523">
                  <c:v>111.1794</c:v>
                </c:pt>
                <c:pt idx="524">
                  <c:v>112.3248</c:v>
                </c:pt>
                <c:pt idx="525">
                  <c:v>74.131</c:v>
                </c:pt>
                <c:pt idx="526">
                  <c:v>112.0318</c:v>
                </c:pt>
                <c:pt idx="527">
                  <c:v>58.604599999999998</c:v>
                </c:pt>
                <c:pt idx="528">
                  <c:v>84.499099999999999</c:v>
                </c:pt>
                <c:pt idx="529">
                  <c:v>93.023700000000005</c:v>
                </c:pt>
                <c:pt idx="530">
                  <c:v>92.227099999999993</c:v>
                </c:pt>
                <c:pt idx="531">
                  <c:v>116.3535</c:v>
                </c:pt>
                <c:pt idx="532">
                  <c:v>154.52869999999999</c:v>
                </c:pt>
                <c:pt idx="533">
                  <c:v>163.21190000000001</c:v>
                </c:pt>
                <c:pt idx="534">
                  <c:v>87.363399999999999</c:v>
                </c:pt>
                <c:pt idx="535">
                  <c:v>79.082899999999995</c:v>
                </c:pt>
                <c:pt idx="536">
                  <c:v>85.652600000000007</c:v>
                </c:pt>
                <c:pt idx="537">
                  <c:v>93.184899999999999</c:v>
                </c:pt>
                <c:pt idx="538">
                  <c:v>121.5493</c:v>
                </c:pt>
                <c:pt idx="539">
                  <c:v>132.5821</c:v>
                </c:pt>
                <c:pt idx="540">
                  <c:v>145.1335</c:v>
                </c:pt>
                <c:pt idx="541">
                  <c:v>99.010900000000007</c:v>
                </c:pt>
                <c:pt idx="542">
                  <c:v>111.23990000000001</c:v>
                </c:pt>
                <c:pt idx="543">
                  <c:v>101.7471</c:v>
                </c:pt>
                <c:pt idx="544">
                  <c:v>101.2807</c:v>
                </c:pt>
                <c:pt idx="545">
                  <c:v>102.6601</c:v>
                </c:pt>
                <c:pt idx="546">
                  <c:v>86.825199999999995</c:v>
                </c:pt>
                <c:pt idx="547">
                  <c:v>59.6175</c:v>
                </c:pt>
                <c:pt idx="548">
                  <c:v>114.9726</c:v>
                </c:pt>
                <c:pt idx="549">
                  <c:v>99.990899999999996</c:v>
                </c:pt>
                <c:pt idx="550">
                  <c:v>105.30500000000001</c:v>
                </c:pt>
                <c:pt idx="551">
                  <c:v>129.21369999999999</c:v>
                </c:pt>
                <c:pt idx="552">
                  <c:v>128.37860000000001</c:v>
                </c:pt>
                <c:pt idx="553">
                  <c:v>126.22239999999999</c:v>
                </c:pt>
                <c:pt idx="554">
                  <c:v>90.189700000000002</c:v>
                </c:pt>
                <c:pt idx="555">
                  <c:v>62.419400000000003</c:v>
                </c:pt>
                <c:pt idx="556">
                  <c:v>136.6216</c:v>
                </c:pt>
                <c:pt idx="557">
                  <c:v>81.126199999999997</c:v>
                </c:pt>
                <c:pt idx="558">
                  <c:v>110.54949999999999</c:v>
                </c:pt>
                <c:pt idx="559">
                  <c:v>58.826300000000003</c:v>
                </c:pt>
                <c:pt idx="560">
                  <c:v>81.6374</c:v>
                </c:pt>
                <c:pt idx="561">
                  <c:v>108.17570000000001</c:v>
                </c:pt>
                <c:pt idx="562">
                  <c:v>139.1087</c:v>
                </c:pt>
                <c:pt idx="563">
                  <c:v>95.339200000000005</c:v>
                </c:pt>
                <c:pt idx="564">
                  <c:v>101.20050000000001</c:v>
                </c:pt>
                <c:pt idx="565">
                  <c:v>161.2972</c:v>
                </c:pt>
                <c:pt idx="566">
                  <c:v>64.066199999999995</c:v>
                </c:pt>
                <c:pt idx="567">
                  <c:v>113.8597</c:v>
                </c:pt>
                <c:pt idx="568">
                  <c:v>85.750799999999998</c:v>
                </c:pt>
                <c:pt idx="569">
                  <c:v>112.2033</c:v>
                </c:pt>
                <c:pt idx="570">
                  <c:v>135.15639999999999</c:v>
                </c:pt>
                <c:pt idx="571">
                  <c:v>169.0017</c:v>
                </c:pt>
                <c:pt idx="572">
                  <c:v>104.3094</c:v>
                </c:pt>
                <c:pt idx="573">
                  <c:v>170.5478</c:v>
                </c:pt>
                <c:pt idx="574">
                  <c:v>82.668999999999997</c:v>
                </c:pt>
                <c:pt idx="575">
                  <c:v>79.039699999999996</c:v>
                </c:pt>
                <c:pt idx="576">
                  <c:v>116.92319999999999</c:v>
                </c:pt>
                <c:pt idx="577">
                  <c:v>87.720399999999998</c:v>
                </c:pt>
                <c:pt idx="578">
                  <c:v>73.321600000000004</c:v>
                </c:pt>
                <c:pt idx="579">
                  <c:v>92.524000000000001</c:v>
                </c:pt>
                <c:pt idx="580">
                  <c:v>97.430700000000002</c:v>
                </c:pt>
                <c:pt idx="581">
                  <c:v>81.933999999999997</c:v>
                </c:pt>
                <c:pt idx="582">
                  <c:v>91.611900000000006</c:v>
                </c:pt>
                <c:pt idx="583">
                  <c:v>98.803600000000003</c:v>
                </c:pt>
                <c:pt idx="584">
                  <c:v>110.5228</c:v>
                </c:pt>
                <c:pt idx="585">
                  <c:v>118.62390000000001</c:v>
                </c:pt>
                <c:pt idx="586">
                  <c:v>98.317499999999995</c:v>
                </c:pt>
                <c:pt idx="587">
                  <c:v>127.53449999999999</c:v>
                </c:pt>
                <c:pt idx="588">
                  <c:v>85.045400000000001</c:v>
                </c:pt>
                <c:pt idx="589">
                  <c:v>78.228800000000007</c:v>
                </c:pt>
                <c:pt idx="590">
                  <c:v>75.584299999999999</c:v>
                </c:pt>
                <c:pt idx="591">
                  <c:v>103.2791</c:v>
                </c:pt>
                <c:pt idx="592">
                  <c:v>87.120199999999997</c:v>
                </c:pt>
                <c:pt idx="593">
                  <c:v>120.364</c:v>
                </c:pt>
                <c:pt idx="594">
                  <c:v>119.0444</c:v>
                </c:pt>
                <c:pt idx="595">
                  <c:v>110.4853</c:v>
                </c:pt>
                <c:pt idx="596">
                  <c:v>79.362799999999993</c:v>
                </c:pt>
                <c:pt idx="597">
                  <c:v>120.07510000000001</c:v>
                </c:pt>
                <c:pt idx="598">
                  <c:v>79.142300000000006</c:v>
                </c:pt>
                <c:pt idx="599">
                  <c:v>117.0762</c:v>
                </c:pt>
                <c:pt idx="600">
                  <c:v>122.4935</c:v>
                </c:pt>
                <c:pt idx="601">
                  <c:v>142.91030000000001</c:v>
                </c:pt>
                <c:pt idx="602">
                  <c:v>102.0822</c:v>
                </c:pt>
                <c:pt idx="603">
                  <c:v>128.1259</c:v>
                </c:pt>
                <c:pt idx="604">
                  <c:v>125.52330000000001</c:v>
                </c:pt>
                <c:pt idx="605">
                  <c:v>114.29900000000001</c:v>
                </c:pt>
                <c:pt idx="606">
                  <c:v>80.891000000000005</c:v>
                </c:pt>
                <c:pt idx="607">
                  <c:v>71.869500000000002</c:v>
                </c:pt>
                <c:pt idx="608">
                  <c:v>99.582499999999996</c:v>
                </c:pt>
                <c:pt idx="609">
                  <c:v>100.0843</c:v>
                </c:pt>
                <c:pt idx="610">
                  <c:v>94.786000000000001</c:v>
                </c:pt>
                <c:pt idx="611">
                  <c:v>79.140100000000004</c:v>
                </c:pt>
                <c:pt idx="612">
                  <c:v>75.344399999999993</c:v>
                </c:pt>
                <c:pt idx="613">
                  <c:v>117.5245</c:v>
                </c:pt>
                <c:pt idx="614">
                  <c:v>84.951499999999996</c:v>
                </c:pt>
                <c:pt idx="615">
                  <c:v>88.371700000000004</c:v>
                </c:pt>
                <c:pt idx="616">
                  <c:v>50.033299999999997</c:v>
                </c:pt>
                <c:pt idx="617">
                  <c:v>180.58750000000001</c:v>
                </c:pt>
                <c:pt idx="618">
                  <c:v>97.345600000000005</c:v>
                </c:pt>
                <c:pt idx="619">
                  <c:v>135.04089999999999</c:v>
                </c:pt>
                <c:pt idx="620">
                  <c:v>115.6392</c:v>
                </c:pt>
                <c:pt idx="621">
                  <c:v>70.229200000000006</c:v>
                </c:pt>
                <c:pt idx="622">
                  <c:v>123.5125</c:v>
                </c:pt>
                <c:pt idx="623">
                  <c:v>125.2261</c:v>
                </c:pt>
                <c:pt idx="624">
                  <c:v>81.516800000000003</c:v>
                </c:pt>
                <c:pt idx="625">
                  <c:v>81.927000000000007</c:v>
                </c:pt>
                <c:pt idx="626">
                  <c:v>142.6686</c:v>
                </c:pt>
                <c:pt idx="627">
                  <c:v>144.10290000000001</c:v>
                </c:pt>
                <c:pt idx="628">
                  <c:v>103.8651</c:v>
                </c:pt>
                <c:pt idx="629">
                  <c:v>82.376099999999994</c:v>
                </c:pt>
                <c:pt idx="630">
                  <c:v>95.211500000000001</c:v>
                </c:pt>
                <c:pt idx="631">
                  <c:v>103.7632</c:v>
                </c:pt>
                <c:pt idx="632">
                  <c:v>124.02070000000001</c:v>
                </c:pt>
                <c:pt idx="633">
                  <c:v>83.809899999999999</c:v>
                </c:pt>
                <c:pt idx="634">
                  <c:v>92.068299999999994</c:v>
                </c:pt>
                <c:pt idx="635">
                  <c:v>71.788200000000003</c:v>
                </c:pt>
                <c:pt idx="636">
                  <c:v>94.720799999999997</c:v>
                </c:pt>
                <c:pt idx="637">
                  <c:v>114.7403</c:v>
                </c:pt>
                <c:pt idx="638">
                  <c:v>96.378699999999995</c:v>
                </c:pt>
                <c:pt idx="639">
                  <c:v>62.339100000000002</c:v>
                </c:pt>
                <c:pt idx="640">
                  <c:v>71.122399999999999</c:v>
                </c:pt>
                <c:pt idx="641">
                  <c:v>76.830699999999993</c:v>
                </c:pt>
                <c:pt idx="642">
                  <c:v>92.278199999999998</c:v>
                </c:pt>
                <c:pt idx="643">
                  <c:v>78.293899999999994</c:v>
                </c:pt>
                <c:pt idx="644">
                  <c:v>95.432900000000004</c:v>
                </c:pt>
                <c:pt idx="645">
                  <c:v>76.5809</c:v>
                </c:pt>
                <c:pt idx="646">
                  <c:v>93.646299999999997</c:v>
                </c:pt>
                <c:pt idx="647">
                  <c:v>140.18170000000001</c:v>
                </c:pt>
                <c:pt idx="648">
                  <c:v>122.0303</c:v>
                </c:pt>
                <c:pt idx="649">
                  <c:v>78.364599999999996</c:v>
                </c:pt>
                <c:pt idx="650">
                  <c:v>80.3703</c:v>
                </c:pt>
                <c:pt idx="651">
                  <c:v>50.823700000000002</c:v>
                </c:pt>
                <c:pt idx="652">
                  <c:v>119.71510000000001</c:v>
                </c:pt>
                <c:pt idx="653">
                  <c:v>61.861199999999997</c:v>
                </c:pt>
                <c:pt idx="654">
                  <c:v>115.8369</c:v>
                </c:pt>
                <c:pt idx="655">
                  <c:v>70.441599999999994</c:v>
                </c:pt>
                <c:pt idx="656">
                  <c:v>98.834800000000001</c:v>
                </c:pt>
                <c:pt idx="657">
                  <c:v>101.2794</c:v>
                </c:pt>
                <c:pt idx="658">
                  <c:v>78.740600000000001</c:v>
                </c:pt>
                <c:pt idx="659">
                  <c:v>58.726999999999997</c:v>
                </c:pt>
                <c:pt idx="660">
                  <c:v>104.7804</c:v>
                </c:pt>
                <c:pt idx="661">
                  <c:v>88.7821</c:v>
                </c:pt>
                <c:pt idx="662">
                  <c:v>92.102999999999994</c:v>
                </c:pt>
                <c:pt idx="663">
                  <c:v>79.633799999999994</c:v>
                </c:pt>
                <c:pt idx="664">
                  <c:v>100.4639</c:v>
                </c:pt>
                <c:pt idx="665">
                  <c:v>99.824100000000001</c:v>
                </c:pt>
                <c:pt idx="666">
                  <c:v>87.09</c:v>
                </c:pt>
                <c:pt idx="667">
                  <c:v>85.426599999999993</c:v>
                </c:pt>
                <c:pt idx="668">
                  <c:v>137.2217</c:v>
                </c:pt>
                <c:pt idx="669">
                  <c:v>79.508499999999998</c:v>
                </c:pt>
                <c:pt idx="670">
                  <c:v>108.5885</c:v>
                </c:pt>
                <c:pt idx="671">
                  <c:v>171.09829999999999</c:v>
                </c:pt>
                <c:pt idx="672">
                  <c:v>86.462900000000005</c:v>
                </c:pt>
                <c:pt idx="673">
                  <c:v>54.805700000000002</c:v>
                </c:pt>
                <c:pt idx="674">
                  <c:v>117.1671</c:v>
                </c:pt>
                <c:pt idx="675">
                  <c:v>102.5354</c:v>
                </c:pt>
                <c:pt idx="676">
                  <c:v>80.681600000000003</c:v>
                </c:pt>
                <c:pt idx="677">
                  <c:v>75.211799999999997</c:v>
                </c:pt>
                <c:pt idx="678">
                  <c:v>82.186199999999999</c:v>
                </c:pt>
                <c:pt idx="679">
                  <c:v>151.8098</c:v>
                </c:pt>
                <c:pt idx="680">
                  <c:v>86.729600000000005</c:v>
                </c:pt>
                <c:pt idx="681">
                  <c:v>73.231200000000001</c:v>
                </c:pt>
                <c:pt idx="682">
                  <c:v>117.29730000000001</c:v>
                </c:pt>
                <c:pt idx="683">
                  <c:v>126.517</c:v>
                </c:pt>
                <c:pt idx="684">
                  <c:v>102.3391</c:v>
                </c:pt>
                <c:pt idx="685">
                  <c:v>129.29650000000001</c:v>
                </c:pt>
                <c:pt idx="686">
                  <c:v>84.292199999999994</c:v>
                </c:pt>
                <c:pt idx="687">
                  <c:v>60.221400000000003</c:v>
                </c:pt>
                <c:pt idx="688">
                  <c:v>70.905199999999994</c:v>
                </c:pt>
                <c:pt idx="689">
                  <c:v>94.670900000000003</c:v>
                </c:pt>
                <c:pt idx="690">
                  <c:v>69.695899999999995</c:v>
                </c:pt>
                <c:pt idx="691">
                  <c:v>116.2946</c:v>
                </c:pt>
                <c:pt idx="692">
                  <c:v>40.703600000000002</c:v>
                </c:pt>
                <c:pt idx="693">
                  <c:v>88.372399999999999</c:v>
                </c:pt>
                <c:pt idx="694">
                  <c:v>126.872</c:v>
                </c:pt>
                <c:pt idx="695">
                  <c:v>131.88310000000001</c:v>
                </c:pt>
                <c:pt idx="696">
                  <c:v>82.685599999999994</c:v>
                </c:pt>
                <c:pt idx="697">
                  <c:v>69.486999999999995</c:v>
                </c:pt>
                <c:pt idx="698">
                  <c:v>99.355999999999995</c:v>
                </c:pt>
                <c:pt idx="699">
                  <c:v>153.01310000000001</c:v>
                </c:pt>
                <c:pt idx="700">
                  <c:v>162.49160000000001</c:v>
                </c:pt>
                <c:pt idx="701">
                  <c:v>82.570300000000003</c:v>
                </c:pt>
                <c:pt idx="702">
                  <c:v>138.42740000000001</c:v>
                </c:pt>
                <c:pt idx="703">
                  <c:v>49.6815</c:v>
                </c:pt>
                <c:pt idx="704">
                  <c:v>97.648300000000006</c:v>
                </c:pt>
                <c:pt idx="705">
                  <c:v>147.12860000000001</c:v>
                </c:pt>
                <c:pt idx="706">
                  <c:v>48.855499999999999</c:v>
                </c:pt>
                <c:pt idx="707">
                  <c:v>67.53</c:v>
                </c:pt>
                <c:pt idx="708">
                  <c:v>110.6052</c:v>
                </c:pt>
                <c:pt idx="709">
                  <c:v>76.892600000000002</c:v>
                </c:pt>
                <c:pt idx="710">
                  <c:v>67.061700000000002</c:v>
                </c:pt>
                <c:pt idx="711">
                  <c:v>97.974900000000005</c:v>
                </c:pt>
                <c:pt idx="712">
                  <c:v>103.00700000000001</c:v>
                </c:pt>
                <c:pt idx="713">
                  <c:v>78.638099999999994</c:v>
                </c:pt>
                <c:pt idx="714">
                  <c:v>72.4773</c:v>
                </c:pt>
                <c:pt idx="715">
                  <c:v>131.54220000000001</c:v>
                </c:pt>
                <c:pt idx="716">
                  <c:v>135.04419999999999</c:v>
                </c:pt>
                <c:pt idx="717">
                  <c:v>102.83750000000001</c:v>
                </c:pt>
                <c:pt idx="718">
                  <c:v>126.38500000000001</c:v>
                </c:pt>
                <c:pt idx="719">
                  <c:v>114.80589999999999</c:v>
                </c:pt>
                <c:pt idx="720">
                  <c:v>115.6557</c:v>
                </c:pt>
                <c:pt idx="721">
                  <c:v>99.101799999999997</c:v>
                </c:pt>
                <c:pt idx="722">
                  <c:v>78.111900000000006</c:v>
                </c:pt>
                <c:pt idx="723">
                  <c:v>103.0518</c:v>
                </c:pt>
                <c:pt idx="724">
                  <c:v>69.009500000000003</c:v>
                </c:pt>
                <c:pt idx="725">
                  <c:v>125.4383</c:v>
                </c:pt>
                <c:pt idx="726">
                  <c:v>76.033100000000005</c:v>
                </c:pt>
                <c:pt idx="727">
                  <c:v>81.620800000000003</c:v>
                </c:pt>
                <c:pt idx="728">
                  <c:v>86.391999999999996</c:v>
                </c:pt>
                <c:pt idx="729">
                  <c:v>89.379000000000005</c:v>
                </c:pt>
                <c:pt idx="730">
                  <c:v>148.59870000000001</c:v>
                </c:pt>
                <c:pt idx="731">
                  <c:v>85.309399999999997</c:v>
                </c:pt>
                <c:pt idx="732">
                  <c:v>111.408</c:v>
                </c:pt>
                <c:pt idx="733">
                  <c:v>105.5963</c:v>
                </c:pt>
                <c:pt idx="734">
                  <c:v>105.9302</c:v>
                </c:pt>
                <c:pt idx="735">
                  <c:v>87.191599999999994</c:v>
                </c:pt>
                <c:pt idx="736">
                  <c:v>50.645000000000003</c:v>
                </c:pt>
                <c:pt idx="737">
                  <c:v>101.5274</c:v>
                </c:pt>
                <c:pt idx="738">
                  <c:v>79.900800000000004</c:v>
                </c:pt>
                <c:pt idx="739">
                  <c:v>88.203199999999995</c:v>
                </c:pt>
                <c:pt idx="740">
                  <c:v>123.6198</c:v>
                </c:pt>
                <c:pt idx="741">
                  <c:v>104.85120000000001</c:v>
                </c:pt>
                <c:pt idx="742">
                  <c:v>83.486000000000004</c:v>
                </c:pt>
                <c:pt idx="743">
                  <c:v>89.765299999999996</c:v>
                </c:pt>
                <c:pt idx="744">
                  <c:v>88.708699999999993</c:v>
                </c:pt>
                <c:pt idx="745">
                  <c:v>56.750399999999999</c:v>
                </c:pt>
                <c:pt idx="746">
                  <c:v>50.398600000000002</c:v>
                </c:pt>
                <c:pt idx="747">
                  <c:v>78.791899999999998</c:v>
                </c:pt>
                <c:pt idx="748">
                  <c:v>75.265600000000006</c:v>
                </c:pt>
                <c:pt idx="749">
                  <c:v>105.11490000000001</c:v>
                </c:pt>
                <c:pt idx="750">
                  <c:v>103.93170000000001</c:v>
                </c:pt>
                <c:pt idx="751">
                  <c:v>105.20610000000001</c:v>
                </c:pt>
                <c:pt idx="752">
                  <c:v>125.8888</c:v>
                </c:pt>
                <c:pt idx="753">
                  <c:v>68.550399999999996</c:v>
                </c:pt>
                <c:pt idx="754">
                  <c:v>66.689800000000005</c:v>
                </c:pt>
                <c:pt idx="755">
                  <c:v>136.20099999999999</c:v>
                </c:pt>
                <c:pt idx="756">
                  <c:v>66.370599999999996</c:v>
                </c:pt>
                <c:pt idx="757">
                  <c:v>97.7517</c:v>
                </c:pt>
                <c:pt idx="758">
                  <c:v>117.0398</c:v>
                </c:pt>
                <c:pt idx="759">
                  <c:v>89.583600000000004</c:v>
                </c:pt>
                <c:pt idx="760">
                  <c:v>56.441000000000003</c:v>
                </c:pt>
                <c:pt idx="761">
                  <c:v>63.8367</c:v>
                </c:pt>
                <c:pt idx="762">
                  <c:v>86.978499999999997</c:v>
                </c:pt>
                <c:pt idx="763">
                  <c:v>64.449399999999997</c:v>
                </c:pt>
                <c:pt idx="764">
                  <c:v>202.5103</c:v>
                </c:pt>
                <c:pt idx="765">
                  <c:v>80.321200000000005</c:v>
                </c:pt>
                <c:pt idx="766">
                  <c:v>78.813199999999995</c:v>
                </c:pt>
                <c:pt idx="767">
                  <c:v>129.23840000000001</c:v>
                </c:pt>
                <c:pt idx="768">
                  <c:v>128.64179999999999</c:v>
                </c:pt>
                <c:pt idx="769">
                  <c:v>74.142099999999999</c:v>
                </c:pt>
                <c:pt idx="770">
                  <c:v>71.934100000000001</c:v>
                </c:pt>
                <c:pt idx="771">
                  <c:v>90.130200000000002</c:v>
                </c:pt>
                <c:pt idx="772">
                  <c:v>121.74169999999999</c:v>
                </c:pt>
                <c:pt idx="773">
                  <c:v>101.0942</c:v>
                </c:pt>
                <c:pt idx="774">
                  <c:v>149.47720000000001</c:v>
                </c:pt>
                <c:pt idx="775">
                  <c:v>72.026200000000003</c:v>
                </c:pt>
                <c:pt idx="776">
                  <c:v>155.09889999999999</c:v>
                </c:pt>
                <c:pt idx="777">
                  <c:v>80.331699999999998</c:v>
                </c:pt>
                <c:pt idx="778">
                  <c:v>65.493399999999994</c:v>
                </c:pt>
                <c:pt idx="779">
                  <c:v>173.32599999999999</c:v>
                </c:pt>
                <c:pt idx="780">
                  <c:v>54.250599999999999</c:v>
                </c:pt>
                <c:pt idx="781">
                  <c:v>73.831400000000002</c:v>
                </c:pt>
                <c:pt idx="782">
                  <c:v>80.586600000000004</c:v>
                </c:pt>
                <c:pt idx="783">
                  <c:v>104.672</c:v>
                </c:pt>
                <c:pt idx="784">
                  <c:v>83.682000000000002</c:v>
                </c:pt>
                <c:pt idx="785">
                  <c:v>127.0911</c:v>
                </c:pt>
                <c:pt idx="786">
                  <c:v>76.850200000000001</c:v>
                </c:pt>
                <c:pt idx="787">
                  <c:v>123.7929</c:v>
                </c:pt>
                <c:pt idx="788">
                  <c:v>108.81019999999999</c:v>
                </c:pt>
                <c:pt idx="789">
                  <c:v>99.185699999999997</c:v>
                </c:pt>
                <c:pt idx="790">
                  <c:v>116.7461</c:v>
                </c:pt>
                <c:pt idx="791">
                  <c:v>120.71299999999999</c:v>
                </c:pt>
                <c:pt idx="792">
                  <c:v>103.0956</c:v>
                </c:pt>
                <c:pt idx="793">
                  <c:v>45.8354</c:v>
                </c:pt>
                <c:pt idx="794">
                  <c:v>75.314800000000005</c:v>
                </c:pt>
                <c:pt idx="795">
                  <c:v>87.492699999999999</c:v>
                </c:pt>
                <c:pt idx="796">
                  <c:v>89.583699999999993</c:v>
                </c:pt>
                <c:pt idx="797">
                  <c:v>105.15770000000001</c:v>
                </c:pt>
                <c:pt idx="798">
                  <c:v>127.2754</c:v>
                </c:pt>
                <c:pt idx="799">
                  <c:v>75.689599999999999</c:v>
                </c:pt>
                <c:pt idx="800">
                  <c:v>80.066999999999993</c:v>
                </c:pt>
                <c:pt idx="801">
                  <c:v>78.522900000000007</c:v>
                </c:pt>
                <c:pt idx="802">
                  <c:v>104.5714</c:v>
                </c:pt>
                <c:pt idx="803">
                  <c:v>94.370999999999995</c:v>
                </c:pt>
                <c:pt idx="804">
                  <c:v>90.7483</c:v>
                </c:pt>
                <c:pt idx="805">
                  <c:v>81.595200000000006</c:v>
                </c:pt>
                <c:pt idx="806">
                  <c:v>76.182900000000004</c:v>
                </c:pt>
                <c:pt idx="807">
                  <c:v>101.70820000000001</c:v>
                </c:pt>
                <c:pt idx="808">
                  <c:v>86.302400000000006</c:v>
                </c:pt>
                <c:pt idx="809">
                  <c:v>153.13229999999999</c:v>
                </c:pt>
                <c:pt idx="810">
                  <c:v>89.917299999999997</c:v>
                </c:pt>
                <c:pt idx="811">
                  <c:v>137.18559999999999</c:v>
                </c:pt>
                <c:pt idx="812">
                  <c:v>69.761899999999997</c:v>
                </c:pt>
                <c:pt idx="813">
                  <c:v>84.212999999999994</c:v>
                </c:pt>
                <c:pt idx="814">
                  <c:v>86.863600000000005</c:v>
                </c:pt>
                <c:pt idx="815">
                  <c:v>94.903099999999995</c:v>
                </c:pt>
                <c:pt idx="816">
                  <c:v>70.367999999999995</c:v>
                </c:pt>
                <c:pt idx="817">
                  <c:v>179.37950000000001</c:v>
                </c:pt>
                <c:pt idx="818">
                  <c:v>148.04050000000001</c:v>
                </c:pt>
                <c:pt idx="819">
                  <c:v>83.444500000000005</c:v>
                </c:pt>
                <c:pt idx="820">
                  <c:v>66.036900000000003</c:v>
                </c:pt>
                <c:pt idx="821">
                  <c:v>77.2637</c:v>
                </c:pt>
                <c:pt idx="822">
                  <c:v>154.84909999999999</c:v>
                </c:pt>
                <c:pt idx="823">
                  <c:v>134.03749999999999</c:v>
                </c:pt>
                <c:pt idx="824">
                  <c:v>81.981700000000004</c:v>
                </c:pt>
                <c:pt idx="825">
                  <c:v>56.029400000000003</c:v>
                </c:pt>
                <c:pt idx="826">
                  <c:v>118.50060000000001</c:v>
                </c:pt>
                <c:pt idx="827">
                  <c:v>78.421899999999994</c:v>
                </c:pt>
                <c:pt idx="828">
                  <c:v>151.27979999999999</c:v>
                </c:pt>
                <c:pt idx="829">
                  <c:v>62.181899999999999</c:v>
                </c:pt>
                <c:pt idx="830">
                  <c:v>161.91640000000001</c:v>
                </c:pt>
                <c:pt idx="831">
                  <c:v>81.358500000000006</c:v>
                </c:pt>
                <c:pt idx="832">
                  <c:v>151.79400000000001</c:v>
                </c:pt>
                <c:pt idx="833">
                  <c:v>107.673</c:v>
                </c:pt>
                <c:pt idx="834">
                  <c:v>73.513999999999996</c:v>
                </c:pt>
                <c:pt idx="835">
                  <c:v>121.70659999999999</c:v>
                </c:pt>
                <c:pt idx="836">
                  <c:v>81.320599999999999</c:v>
                </c:pt>
                <c:pt idx="837">
                  <c:v>78.5184</c:v>
                </c:pt>
                <c:pt idx="838">
                  <c:v>111.8554</c:v>
                </c:pt>
                <c:pt idx="839">
                  <c:v>99.023600000000002</c:v>
                </c:pt>
                <c:pt idx="840">
                  <c:v>116.9169</c:v>
                </c:pt>
                <c:pt idx="841">
                  <c:v>89.402000000000001</c:v>
                </c:pt>
                <c:pt idx="842">
                  <c:v>119.5446</c:v>
                </c:pt>
                <c:pt idx="843">
                  <c:v>130.2328</c:v>
                </c:pt>
                <c:pt idx="844">
                  <c:v>51.962899999999998</c:v>
                </c:pt>
                <c:pt idx="845">
                  <c:v>66.620199999999997</c:v>
                </c:pt>
                <c:pt idx="846">
                  <c:v>142.24279999999999</c:v>
                </c:pt>
                <c:pt idx="847">
                  <c:v>65.282899999999998</c:v>
                </c:pt>
                <c:pt idx="848">
                  <c:v>75.661600000000007</c:v>
                </c:pt>
                <c:pt idx="849">
                  <c:v>91.665700000000001</c:v>
                </c:pt>
                <c:pt idx="850">
                  <c:v>116.5839</c:v>
                </c:pt>
                <c:pt idx="851">
                  <c:v>61.512700000000002</c:v>
                </c:pt>
                <c:pt idx="852">
                  <c:v>123.7816</c:v>
                </c:pt>
                <c:pt idx="853">
                  <c:v>98.635999999999996</c:v>
                </c:pt>
                <c:pt idx="854">
                  <c:v>69.776499999999999</c:v>
                </c:pt>
                <c:pt idx="855">
                  <c:v>100.1859</c:v>
                </c:pt>
                <c:pt idx="856">
                  <c:v>122.7608</c:v>
                </c:pt>
                <c:pt idx="857">
                  <c:v>123.18</c:v>
                </c:pt>
                <c:pt idx="858">
                  <c:v>108.7658</c:v>
                </c:pt>
                <c:pt idx="859">
                  <c:v>120.26300000000001</c:v>
                </c:pt>
                <c:pt idx="860">
                  <c:v>77.31</c:v>
                </c:pt>
                <c:pt idx="861">
                  <c:v>75.620400000000004</c:v>
                </c:pt>
                <c:pt idx="862">
                  <c:v>60.596200000000003</c:v>
                </c:pt>
                <c:pt idx="863">
                  <c:v>137.08000000000001</c:v>
                </c:pt>
                <c:pt idx="864">
                  <c:v>93.066800000000001</c:v>
                </c:pt>
                <c:pt idx="865">
                  <c:v>162.8477</c:v>
                </c:pt>
                <c:pt idx="866">
                  <c:v>118.7727</c:v>
                </c:pt>
                <c:pt idx="867">
                  <c:v>66.882499999999993</c:v>
                </c:pt>
                <c:pt idx="868">
                  <c:v>122.3254</c:v>
                </c:pt>
                <c:pt idx="869">
                  <c:v>99.913499999999999</c:v>
                </c:pt>
                <c:pt idx="870">
                  <c:v>128.03219999999999</c:v>
                </c:pt>
                <c:pt idx="871">
                  <c:v>104.5022</c:v>
                </c:pt>
                <c:pt idx="872">
                  <c:v>70.454099999999997</c:v>
                </c:pt>
                <c:pt idx="873">
                  <c:v>83.805400000000006</c:v>
                </c:pt>
                <c:pt idx="874">
                  <c:v>89.141400000000004</c:v>
                </c:pt>
                <c:pt idx="875">
                  <c:v>104.3921</c:v>
                </c:pt>
                <c:pt idx="876">
                  <c:v>108.81699999999999</c:v>
                </c:pt>
                <c:pt idx="877">
                  <c:v>64.534400000000005</c:v>
                </c:pt>
                <c:pt idx="878">
                  <c:v>185.8038</c:v>
                </c:pt>
                <c:pt idx="879">
                  <c:v>74.331999999999994</c:v>
                </c:pt>
                <c:pt idx="880">
                  <c:v>148.69990000000001</c:v>
                </c:pt>
                <c:pt idx="881">
                  <c:v>119.038</c:v>
                </c:pt>
                <c:pt idx="882">
                  <c:v>118.69670000000001</c:v>
                </c:pt>
                <c:pt idx="883">
                  <c:v>158.5273</c:v>
                </c:pt>
                <c:pt idx="884">
                  <c:v>74.382199999999997</c:v>
                </c:pt>
                <c:pt idx="885">
                  <c:v>118.12</c:v>
                </c:pt>
                <c:pt idx="886">
                  <c:v>138.89150000000001</c:v>
                </c:pt>
                <c:pt idx="887">
                  <c:v>84.892200000000003</c:v>
                </c:pt>
                <c:pt idx="888">
                  <c:v>62.195300000000003</c:v>
                </c:pt>
                <c:pt idx="889">
                  <c:v>104.3981</c:v>
                </c:pt>
                <c:pt idx="890">
                  <c:v>153.45590000000001</c:v>
                </c:pt>
                <c:pt idx="891">
                  <c:v>74.300799999999995</c:v>
                </c:pt>
                <c:pt idx="892">
                  <c:v>88.926900000000003</c:v>
                </c:pt>
                <c:pt idx="893">
                  <c:v>121.181</c:v>
                </c:pt>
                <c:pt idx="894">
                  <c:v>146.70269999999999</c:v>
                </c:pt>
                <c:pt idx="895">
                  <c:v>152.7473</c:v>
                </c:pt>
                <c:pt idx="896">
                  <c:v>114.6641</c:v>
                </c:pt>
                <c:pt idx="897">
                  <c:v>120.96850000000001</c:v>
                </c:pt>
                <c:pt idx="898">
                  <c:v>77.383700000000005</c:v>
                </c:pt>
                <c:pt idx="899">
                  <c:v>72.169399999999996</c:v>
                </c:pt>
                <c:pt idx="900">
                  <c:v>52.821599999999997</c:v>
                </c:pt>
                <c:pt idx="901">
                  <c:v>82.487200000000001</c:v>
                </c:pt>
                <c:pt idx="902">
                  <c:v>146.49969999999999</c:v>
                </c:pt>
                <c:pt idx="903">
                  <c:v>96.354399999999998</c:v>
                </c:pt>
                <c:pt idx="904">
                  <c:v>130.2201</c:v>
                </c:pt>
                <c:pt idx="905">
                  <c:v>104.19289999999999</c:v>
                </c:pt>
                <c:pt idx="906">
                  <c:v>100.72750000000001</c:v>
                </c:pt>
                <c:pt idx="907">
                  <c:v>115.3198</c:v>
                </c:pt>
                <c:pt idx="908">
                  <c:v>104.1737</c:v>
                </c:pt>
                <c:pt idx="909">
                  <c:v>179.8878</c:v>
                </c:pt>
                <c:pt idx="910">
                  <c:v>137.32259999999999</c:v>
                </c:pt>
                <c:pt idx="911">
                  <c:v>94.018000000000001</c:v>
                </c:pt>
                <c:pt idx="912">
                  <c:v>124.9956</c:v>
                </c:pt>
                <c:pt idx="913">
                  <c:v>101.46810000000001</c:v>
                </c:pt>
                <c:pt idx="914">
                  <c:v>97.845200000000006</c:v>
                </c:pt>
                <c:pt idx="915">
                  <c:v>69.666300000000007</c:v>
                </c:pt>
                <c:pt idx="916">
                  <c:v>95.304699999999997</c:v>
                </c:pt>
                <c:pt idx="917">
                  <c:v>97.598699999999994</c:v>
                </c:pt>
                <c:pt idx="918">
                  <c:v>176.56989999999999</c:v>
                </c:pt>
                <c:pt idx="919">
                  <c:v>103.89</c:v>
                </c:pt>
                <c:pt idx="920">
                  <c:v>197.58709999999999</c:v>
                </c:pt>
                <c:pt idx="921">
                  <c:v>99.808099999999996</c:v>
                </c:pt>
                <c:pt idx="922">
                  <c:v>81.118700000000004</c:v>
                </c:pt>
                <c:pt idx="923">
                  <c:v>85.519800000000004</c:v>
                </c:pt>
                <c:pt idx="924">
                  <c:v>107.79170000000001</c:v>
                </c:pt>
                <c:pt idx="925">
                  <c:v>82.121700000000004</c:v>
                </c:pt>
                <c:pt idx="926">
                  <c:v>67.229900000000001</c:v>
                </c:pt>
                <c:pt idx="927">
                  <c:v>102.8295</c:v>
                </c:pt>
                <c:pt idx="928">
                  <c:v>137.5299</c:v>
                </c:pt>
                <c:pt idx="929">
                  <c:v>50.768700000000003</c:v>
                </c:pt>
                <c:pt idx="930">
                  <c:v>70.602099999999993</c:v>
                </c:pt>
                <c:pt idx="931">
                  <c:v>102.9661</c:v>
                </c:pt>
                <c:pt idx="932">
                  <c:v>112.2186</c:v>
                </c:pt>
                <c:pt idx="933">
                  <c:v>126.7846</c:v>
                </c:pt>
                <c:pt idx="934">
                  <c:v>157.42529999999999</c:v>
                </c:pt>
                <c:pt idx="935">
                  <c:v>75.574200000000005</c:v>
                </c:pt>
                <c:pt idx="936">
                  <c:v>150.98599999999999</c:v>
                </c:pt>
                <c:pt idx="937">
                  <c:v>128.4</c:v>
                </c:pt>
                <c:pt idx="938">
                  <c:v>153.02809999999999</c:v>
                </c:pt>
                <c:pt idx="939">
                  <c:v>135.2413</c:v>
                </c:pt>
                <c:pt idx="940">
                  <c:v>78.995099999999994</c:v>
                </c:pt>
                <c:pt idx="941">
                  <c:v>85.127399999999994</c:v>
                </c:pt>
                <c:pt idx="942">
                  <c:v>124.5633</c:v>
                </c:pt>
                <c:pt idx="943">
                  <c:v>89.616600000000005</c:v>
                </c:pt>
                <c:pt idx="944">
                  <c:v>117.98869999999999</c:v>
                </c:pt>
                <c:pt idx="945">
                  <c:v>126.8189</c:v>
                </c:pt>
                <c:pt idx="946">
                  <c:v>116.04179999999999</c:v>
                </c:pt>
                <c:pt idx="947">
                  <c:v>99.831999999999994</c:v>
                </c:pt>
                <c:pt idx="948">
                  <c:v>116.476</c:v>
                </c:pt>
                <c:pt idx="949">
                  <c:v>118.6155</c:v>
                </c:pt>
                <c:pt idx="950">
                  <c:v>78.150800000000004</c:v>
                </c:pt>
                <c:pt idx="951">
                  <c:v>89.069199999999995</c:v>
                </c:pt>
                <c:pt idx="952">
                  <c:v>138.48259999999999</c:v>
                </c:pt>
                <c:pt idx="953">
                  <c:v>112.4663</c:v>
                </c:pt>
                <c:pt idx="954">
                  <c:v>93.466899999999995</c:v>
                </c:pt>
                <c:pt idx="955">
                  <c:v>73.219300000000004</c:v>
                </c:pt>
                <c:pt idx="956">
                  <c:v>119.3181</c:v>
                </c:pt>
                <c:pt idx="957">
                  <c:v>118.6354</c:v>
                </c:pt>
                <c:pt idx="958">
                  <c:v>74.773899999999998</c:v>
                </c:pt>
                <c:pt idx="959">
                  <c:v>89.015100000000004</c:v>
                </c:pt>
                <c:pt idx="960">
                  <c:v>132.1934</c:v>
                </c:pt>
                <c:pt idx="961">
                  <c:v>94.565200000000004</c:v>
                </c:pt>
                <c:pt idx="962">
                  <c:v>87.284099999999995</c:v>
                </c:pt>
                <c:pt idx="963">
                  <c:v>117.4525</c:v>
                </c:pt>
                <c:pt idx="964">
                  <c:v>77.0214</c:v>
                </c:pt>
                <c:pt idx="965">
                  <c:v>89.633499999999998</c:v>
                </c:pt>
                <c:pt idx="966">
                  <c:v>68.007999999999996</c:v>
                </c:pt>
                <c:pt idx="967">
                  <c:v>69.909099999999995</c:v>
                </c:pt>
                <c:pt idx="968">
                  <c:v>142.13990000000001</c:v>
                </c:pt>
                <c:pt idx="969">
                  <c:v>136.0489</c:v>
                </c:pt>
                <c:pt idx="970">
                  <c:v>89.445899999999995</c:v>
                </c:pt>
                <c:pt idx="971">
                  <c:v>104.1551</c:v>
                </c:pt>
                <c:pt idx="972">
                  <c:v>115.355</c:v>
                </c:pt>
                <c:pt idx="973">
                  <c:v>83.814700000000002</c:v>
                </c:pt>
                <c:pt idx="974">
                  <c:v>52.112299999999998</c:v>
                </c:pt>
                <c:pt idx="975">
                  <c:v>109.1104</c:v>
                </c:pt>
                <c:pt idx="976">
                  <c:v>170.2997</c:v>
                </c:pt>
                <c:pt idx="977">
                  <c:v>90.183999999999997</c:v>
                </c:pt>
                <c:pt idx="978">
                  <c:v>245.01480000000001</c:v>
                </c:pt>
                <c:pt idx="979">
                  <c:v>122.7174</c:v>
                </c:pt>
                <c:pt idx="980">
                  <c:v>113.1527</c:v>
                </c:pt>
                <c:pt idx="981">
                  <c:v>95.958399999999997</c:v>
                </c:pt>
                <c:pt idx="982">
                  <c:v>116.7822</c:v>
                </c:pt>
                <c:pt idx="983">
                  <c:v>101.96510000000001</c:v>
                </c:pt>
                <c:pt idx="984">
                  <c:v>52.4373</c:v>
                </c:pt>
                <c:pt idx="985">
                  <c:v>123.52160000000001</c:v>
                </c:pt>
                <c:pt idx="986">
                  <c:v>64.311999999999998</c:v>
                </c:pt>
                <c:pt idx="987">
                  <c:v>103.9025</c:v>
                </c:pt>
                <c:pt idx="988">
                  <c:v>114.37860000000001</c:v>
                </c:pt>
                <c:pt idx="989">
                  <c:v>106.4083</c:v>
                </c:pt>
                <c:pt idx="990">
                  <c:v>77.027299999999997</c:v>
                </c:pt>
                <c:pt idx="991">
                  <c:v>89.030500000000004</c:v>
                </c:pt>
                <c:pt idx="992">
                  <c:v>119.9422</c:v>
                </c:pt>
                <c:pt idx="993">
                  <c:v>145.71029999999999</c:v>
                </c:pt>
                <c:pt idx="994">
                  <c:v>67.784300000000002</c:v>
                </c:pt>
                <c:pt idx="995">
                  <c:v>104.3715</c:v>
                </c:pt>
                <c:pt idx="996">
                  <c:v>95.116299999999995</c:v>
                </c:pt>
                <c:pt idx="997">
                  <c:v>111.94629999999999</c:v>
                </c:pt>
                <c:pt idx="998">
                  <c:v>79.861199999999997</c:v>
                </c:pt>
                <c:pt idx="999">
                  <c:v>95.048000000000002</c:v>
                </c:pt>
              </c:numCache>
            </c:numRef>
          </c:xVal>
          <c:yVal>
            <c:numRef>
              <c:f>'Vanilla BS call option'!$R$2:$R$1001</c:f>
              <c:numCache>
                <c:formatCode>0.00</c:formatCode>
                <c:ptCount val="1000"/>
                <c:pt idx="0">
                  <c:v>2.161</c:v>
                </c:pt>
                <c:pt idx="1">
                  <c:v>0</c:v>
                </c:pt>
                <c:pt idx="2">
                  <c:v>15.819100000000001</c:v>
                </c:pt>
                <c:pt idx="3">
                  <c:v>0</c:v>
                </c:pt>
                <c:pt idx="4">
                  <c:v>9.2515999999999998</c:v>
                </c:pt>
                <c:pt idx="5">
                  <c:v>0</c:v>
                </c:pt>
                <c:pt idx="6">
                  <c:v>40.254300000000001</c:v>
                </c:pt>
                <c:pt idx="7">
                  <c:v>0</c:v>
                </c:pt>
                <c:pt idx="8">
                  <c:v>1.4902</c:v>
                </c:pt>
                <c:pt idx="9">
                  <c:v>0</c:v>
                </c:pt>
                <c:pt idx="10">
                  <c:v>6.5472000000000001</c:v>
                </c:pt>
                <c:pt idx="11">
                  <c:v>0</c:v>
                </c:pt>
                <c:pt idx="12">
                  <c:v>10.8119</c:v>
                </c:pt>
                <c:pt idx="13">
                  <c:v>0</c:v>
                </c:pt>
                <c:pt idx="14">
                  <c:v>22.166699999999999</c:v>
                </c:pt>
                <c:pt idx="15">
                  <c:v>0</c:v>
                </c:pt>
                <c:pt idx="16">
                  <c:v>28.672499999999999</c:v>
                </c:pt>
                <c:pt idx="17">
                  <c:v>0</c:v>
                </c:pt>
                <c:pt idx="18">
                  <c:v>44.589100000000002</c:v>
                </c:pt>
                <c:pt idx="19">
                  <c:v>0</c:v>
                </c:pt>
                <c:pt idx="20">
                  <c:v>35.352699999999999</c:v>
                </c:pt>
                <c:pt idx="21">
                  <c:v>0</c:v>
                </c:pt>
                <c:pt idx="22">
                  <c:v>58.331899999999997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20.3506</c:v>
                </c:pt>
                <c:pt idx="27">
                  <c:v>64.160799999999995</c:v>
                </c:pt>
                <c:pt idx="28">
                  <c:v>14.384</c:v>
                </c:pt>
                <c:pt idx="29">
                  <c:v>49.012099999999997</c:v>
                </c:pt>
                <c:pt idx="30">
                  <c:v>34.982999999999997</c:v>
                </c:pt>
                <c:pt idx="31">
                  <c:v>0</c:v>
                </c:pt>
                <c:pt idx="32">
                  <c:v>0</c:v>
                </c:pt>
                <c:pt idx="33">
                  <c:v>102.93259999999999</c:v>
                </c:pt>
                <c:pt idx="34">
                  <c:v>0</c:v>
                </c:pt>
                <c:pt idx="35">
                  <c:v>16.2776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38.545299999999997</c:v>
                </c:pt>
                <c:pt idx="41">
                  <c:v>0</c:v>
                </c:pt>
                <c:pt idx="42">
                  <c:v>0</c:v>
                </c:pt>
                <c:pt idx="43">
                  <c:v>29.767099999999999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0.66839999999999999</c:v>
                </c:pt>
                <c:pt idx="51">
                  <c:v>84.380399999999995</c:v>
                </c:pt>
                <c:pt idx="52">
                  <c:v>21.489799999999999</c:v>
                </c:pt>
                <c:pt idx="53">
                  <c:v>96.568299999999994</c:v>
                </c:pt>
                <c:pt idx="54">
                  <c:v>18.406199999999998</c:v>
                </c:pt>
                <c:pt idx="55">
                  <c:v>0</c:v>
                </c:pt>
                <c:pt idx="56">
                  <c:v>24.645099999999999</c:v>
                </c:pt>
                <c:pt idx="57">
                  <c:v>58.042200000000001</c:v>
                </c:pt>
                <c:pt idx="58">
                  <c:v>0</c:v>
                </c:pt>
                <c:pt idx="59">
                  <c:v>0</c:v>
                </c:pt>
                <c:pt idx="60">
                  <c:v>27.0349</c:v>
                </c:pt>
                <c:pt idx="61">
                  <c:v>0</c:v>
                </c:pt>
                <c:pt idx="62">
                  <c:v>38.404699999999998</c:v>
                </c:pt>
                <c:pt idx="63">
                  <c:v>67.601100000000002</c:v>
                </c:pt>
                <c:pt idx="64">
                  <c:v>12.129200000000001</c:v>
                </c:pt>
                <c:pt idx="65">
                  <c:v>37.476399999999998</c:v>
                </c:pt>
                <c:pt idx="66">
                  <c:v>18.908000000000001</c:v>
                </c:pt>
                <c:pt idx="67">
                  <c:v>0</c:v>
                </c:pt>
                <c:pt idx="68">
                  <c:v>20.837399999999999</c:v>
                </c:pt>
                <c:pt idx="69">
                  <c:v>4.9882</c:v>
                </c:pt>
                <c:pt idx="70">
                  <c:v>0</c:v>
                </c:pt>
                <c:pt idx="71">
                  <c:v>16.748000000000001</c:v>
                </c:pt>
                <c:pt idx="72">
                  <c:v>43.714199999999998</c:v>
                </c:pt>
                <c:pt idx="73">
                  <c:v>0</c:v>
                </c:pt>
                <c:pt idx="74">
                  <c:v>3.9628000000000001</c:v>
                </c:pt>
                <c:pt idx="75">
                  <c:v>30.578299999999999</c:v>
                </c:pt>
                <c:pt idx="76">
                  <c:v>0</c:v>
                </c:pt>
                <c:pt idx="77">
                  <c:v>25.505299999999998</c:v>
                </c:pt>
                <c:pt idx="78">
                  <c:v>82.751900000000006</c:v>
                </c:pt>
                <c:pt idx="79">
                  <c:v>22.630800000000001</c:v>
                </c:pt>
                <c:pt idx="80">
                  <c:v>0</c:v>
                </c:pt>
                <c:pt idx="81">
                  <c:v>0</c:v>
                </c:pt>
                <c:pt idx="82">
                  <c:v>5.5986000000000002</c:v>
                </c:pt>
                <c:pt idx="83">
                  <c:v>0.33310000000000001</c:v>
                </c:pt>
                <c:pt idx="84">
                  <c:v>9.33</c:v>
                </c:pt>
                <c:pt idx="85">
                  <c:v>0</c:v>
                </c:pt>
                <c:pt idx="86">
                  <c:v>0</c:v>
                </c:pt>
                <c:pt idx="87">
                  <c:v>15.715999999999999</c:v>
                </c:pt>
                <c:pt idx="88">
                  <c:v>29.195399999999999</c:v>
                </c:pt>
                <c:pt idx="89">
                  <c:v>0</c:v>
                </c:pt>
                <c:pt idx="90">
                  <c:v>0</c:v>
                </c:pt>
                <c:pt idx="91">
                  <c:v>23.274899999999999</c:v>
                </c:pt>
                <c:pt idx="92">
                  <c:v>35.467199999999998</c:v>
                </c:pt>
                <c:pt idx="93">
                  <c:v>11.5441</c:v>
                </c:pt>
                <c:pt idx="94">
                  <c:v>0</c:v>
                </c:pt>
                <c:pt idx="95">
                  <c:v>0</c:v>
                </c:pt>
                <c:pt idx="96">
                  <c:v>24.175999999999998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93.575599999999994</c:v>
                </c:pt>
                <c:pt idx="102">
                  <c:v>25.0626</c:v>
                </c:pt>
                <c:pt idx="103">
                  <c:v>24.9054</c:v>
                </c:pt>
                <c:pt idx="104">
                  <c:v>23.589099999999998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108.7548</c:v>
                </c:pt>
                <c:pt idx="110">
                  <c:v>35.237699999999997</c:v>
                </c:pt>
                <c:pt idx="111">
                  <c:v>10.2722</c:v>
                </c:pt>
                <c:pt idx="112">
                  <c:v>0</c:v>
                </c:pt>
                <c:pt idx="113">
                  <c:v>0</c:v>
                </c:pt>
                <c:pt idx="114">
                  <c:v>5.5449000000000002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0.33239999999999997</c:v>
                </c:pt>
                <c:pt idx="119">
                  <c:v>0</c:v>
                </c:pt>
                <c:pt idx="120">
                  <c:v>0</c:v>
                </c:pt>
                <c:pt idx="121">
                  <c:v>37.012999999999998</c:v>
                </c:pt>
                <c:pt idx="122">
                  <c:v>13.409599999999999</c:v>
                </c:pt>
                <c:pt idx="123">
                  <c:v>56.734099999999998</c:v>
                </c:pt>
                <c:pt idx="124">
                  <c:v>6.8380999999999998</c:v>
                </c:pt>
                <c:pt idx="125">
                  <c:v>0</c:v>
                </c:pt>
                <c:pt idx="126">
                  <c:v>10.199400000000001</c:v>
                </c:pt>
                <c:pt idx="127">
                  <c:v>33.221899999999998</c:v>
                </c:pt>
                <c:pt idx="128">
                  <c:v>0</c:v>
                </c:pt>
                <c:pt idx="129">
                  <c:v>51.737200000000001</c:v>
                </c:pt>
                <c:pt idx="130">
                  <c:v>0</c:v>
                </c:pt>
                <c:pt idx="131">
                  <c:v>0</c:v>
                </c:pt>
                <c:pt idx="132">
                  <c:v>60.756799999999998</c:v>
                </c:pt>
                <c:pt idx="133">
                  <c:v>0.63680000000000003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1.0980000000000001</c:v>
                </c:pt>
                <c:pt idx="138">
                  <c:v>19.500900000000001</c:v>
                </c:pt>
                <c:pt idx="139">
                  <c:v>36.956600000000002</c:v>
                </c:pt>
                <c:pt idx="140">
                  <c:v>0</c:v>
                </c:pt>
                <c:pt idx="141">
                  <c:v>21.956800000000001</c:v>
                </c:pt>
                <c:pt idx="142">
                  <c:v>0</c:v>
                </c:pt>
                <c:pt idx="143">
                  <c:v>11.128399999999999</c:v>
                </c:pt>
                <c:pt idx="144">
                  <c:v>50.5852</c:v>
                </c:pt>
                <c:pt idx="145">
                  <c:v>76.737899999999996</c:v>
                </c:pt>
                <c:pt idx="146">
                  <c:v>3.4186999999999999</c:v>
                </c:pt>
                <c:pt idx="147">
                  <c:v>9.0300000000000005E-2</c:v>
                </c:pt>
                <c:pt idx="148">
                  <c:v>73.538600000000002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64.616900000000001</c:v>
                </c:pt>
                <c:pt idx="153">
                  <c:v>26.345099999999999</c:v>
                </c:pt>
                <c:pt idx="154">
                  <c:v>0</c:v>
                </c:pt>
                <c:pt idx="155">
                  <c:v>0</c:v>
                </c:pt>
                <c:pt idx="156">
                  <c:v>62.2331</c:v>
                </c:pt>
                <c:pt idx="157">
                  <c:v>5.6474000000000002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12.2568</c:v>
                </c:pt>
                <c:pt idx="165">
                  <c:v>2.7686999999999999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15.0261</c:v>
                </c:pt>
                <c:pt idx="170">
                  <c:v>0</c:v>
                </c:pt>
                <c:pt idx="171">
                  <c:v>0</c:v>
                </c:pt>
                <c:pt idx="172">
                  <c:v>22.349399999999999</c:v>
                </c:pt>
                <c:pt idx="173">
                  <c:v>71.391900000000007</c:v>
                </c:pt>
                <c:pt idx="174">
                  <c:v>70.370400000000004</c:v>
                </c:pt>
                <c:pt idx="175">
                  <c:v>19.8445</c:v>
                </c:pt>
                <c:pt idx="176">
                  <c:v>22.673999999999999</c:v>
                </c:pt>
                <c:pt idx="177">
                  <c:v>1.0105999999999999</c:v>
                </c:pt>
                <c:pt idx="178">
                  <c:v>19.133800000000001</c:v>
                </c:pt>
                <c:pt idx="179">
                  <c:v>0.19040000000000001</c:v>
                </c:pt>
                <c:pt idx="180">
                  <c:v>0</c:v>
                </c:pt>
                <c:pt idx="181">
                  <c:v>17.143599999999999</c:v>
                </c:pt>
                <c:pt idx="182">
                  <c:v>0</c:v>
                </c:pt>
                <c:pt idx="183">
                  <c:v>51.124600000000001</c:v>
                </c:pt>
                <c:pt idx="184">
                  <c:v>20.4754</c:v>
                </c:pt>
                <c:pt idx="185">
                  <c:v>59.1008</c:v>
                </c:pt>
                <c:pt idx="186">
                  <c:v>165.09440000000001</c:v>
                </c:pt>
                <c:pt idx="187">
                  <c:v>21.550799999999999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32.237299999999998</c:v>
                </c:pt>
                <c:pt idx="192">
                  <c:v>0</c:v>
                </c:pt>
                <c:pt idx="193">
                  <c:v>108.1251</c:v>
                </c:pt>
                <c:pt idx="194">
                  <c:v>0</c:v>
                </c:pt>
                <c:pt idx="195">
                  <c:v>36.469000000000001</c:v>
                </c:pt>
                <c:pt idx="196">
                  <c:v>0</c:v>
                </c:pt>
                <c:pt idx="197">
                  <c:v>14.1851</c:v>
                </c:pt>
                <c:pt idx="198">
                  <c:v>0</c:v>
                </c:pt>
                <c:pt idx="199">
                  <c:v>42.323900000000002</c:v>
                </c:pt>
                <c:pt idx="200">
                  <c:v>16.406199999999998</c:v>
                </c:pt>
                <c:pt idx="201">
                  <c:v>2.4014000000000002</c:v>
                </c:pt>
                <c:pt idx="202">
                  <c:v>32.4664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29.5596</c:v>
                </c:pt>
                <c:pt idx="208">
                  <c:v>30.4619</c:v>
                </c:pt>
                <c:pt idx="209">
                  <c:v>14.633100000000001</c:v>
                </c:pt>
                <c:pt idx="210">
                  <c:v>0</c:v>
                </c:pt>
                <c:pt idx="211">
                  <c:v>0</c:v>
                </c:pt>
                <c:pt idx="212">
                  <c:v>1.9161999999999999</c:v>
                </c:pt>
                <c:pt idx="213">
                  <c:v>14.1533</c:v>
                </c:pt>
                <c:pt idx="214">
                  <c:v>31.841799999999999</c:v>
                </c:pt>
                <c:pt idx="215">
                  <c:v>41.916699999999999</c:v>
                </c:pt>
                <c:pt idx="216">
                  <c:v>31.761299999999999</c:v>
                </c:pt>
                <c:pt idx="217">
                  <c:v>3.3896000000000002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7.6608999999999998</c:v>
                </c:pt>
                <c:pt idx="222">
                  <c:v>0</c:v>
                </c:pt>
                <c:pt idx="223">
                  <c:v>49.191299999999998</c:v>
                </c:pt>
                <c:pt idx="224">
                  <c:v>62.578000000000003</c:v>
                </c:pt>
                <c:pt idx="225">
                  <c:v>0</c:v>
                </c:pt>
                <c:pt idx="226">
                  <c:v>11.241899999999999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7.4588000000000001</c:v>
                </c:pt>
                <c:pt idx="231">
                  <c:v>13.0646</c:v>
                </c:pt>
                <c:pt idx="232">
                  <c:v>25.143899999999999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52.7744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27.341699999999999</c:v>
                </c:pt>
                <c:pt idx="242">
                  <c:v>16.393000000000001</c:v>
                </c:pt>
                <c:pt idx="243">
                  <c:v>146.02539999999999</c:v>
                </c:pt>
                <c:pt idx="244">
                  <c:v>61.202599999999997</c:v>
                </c:pt>
                <c:pt idx="245">
                  <c:v>25.341699999999999</c:v>
                </c:pt>
                <c:pt idx="246">
                  <c:v>4.9642999999999997</c:v>
                </c:pt>
                <c:pt idx="247">
                  <c:v>6.9523999999999999</c:v>
                </c:pt>
                <c:pt idx="248">
                  <c:v>0</c:v>
                </c:pt>
                <c:pt idx="249">
                  <c:v>0</c:v>
                </c:pt>
                <c:pt idx="250">
                  <c:v>17.157900000000001</c:v>
                </c:pt>
                <c:pt idx="251">
                  <c:v>0</c:v>
                </c:pt>
                <c:pt idx="252">
                  <c:v>0</c:v>
                </c:pt>
                <c:pt idx="253">
                  <c:v>1.0946</c:v>
                </c:pt>
                <c:pt idx="254">
                  <c:v>0</c:v>
                </c:pt>
                <c:pt idx="255">
                  <c:v>46.438600000000001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52.139800000000001</c:v>
                </c:pt>
                <c:pt idx="260">
                  <c:v>0</c:v>
                </c:pt>
                <c:pt idx="261">
                  <c:v>9.6245999999999992</c:v>
                </c:pt>
                <c:pt idx="262">
                  <c:v>0</c:v>
                </c:pt>
                <c:pt idx="263">
                  <c:v>0</c:v>
                </c:pt>
                <c:pt idx="264">
                  <c:v>58.597799999999999</c:v>
                </c:pt>
                <c:pt idx="265">
                  <c:v>0</c:v>
                </c:pt>
                <c:pt idx="266">
                  <c:v>35.786999999999999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45.674300000000002</c:v>
                </c:pt>
                <c:pt idx="271">
                  <c:v>55.2239</c:v>
                </c:pt>
                <c:pt idx="272">
                  <c:v>16.0534</c:v>
                </c:pt>
                <c:pt idx="273">
                  <c:v>9.4194999999999993</c:v>
                </c:pt>
                <c:pt idx="274">
                  <c:v>43.193399999999997</c:v>
                </c:pt>
                <c:pt idx="275">
                  <c:v>1.6516999999999999</c:v>
                </c:pt>
                <c:pt idx="276">
                  <c:v>12.487399999999999</c:v>
                </c:pt>
                <c:pt idx="277">
                  <c:v>10.2981</c:v>
                </c:pt>
                <c:pt idx="278">
                  <c:v>63.683399999999999</c:v>
                </c:pt>
                <c:pt idx="279">
                  <c:v>48.177799999999998</c:v>
                </c:pt>
                <c:pt idx="280">
                  <c:v>57.588000000000001</c:v>
                </c:pt>
                <c:pt idx="281">
                  <c:v>12.605499999999999</c:v>
                </c:pt>
                <c:pt idx="282">
                  <c:v>2.5133000000000001</c:v>
                </c:pt>
                <c:pt idx="283">
                  <c:v>1.3614999999999999</c:v>
                </c:pt>
                <c:pt idx="284">
                  <c:v>35.012599999999999</c:v>
                </c:pt>
                <c:pt idx="285">
                  <c:v>0</c:v>
                </c:pt>
                <c:pt idx="286">
                  <c:v>0</c:v>
                </c:pt>
                <c:pt idx="287">
                  <c:v>38.008600000000001</c:v>
                </c:pt>
                <c:pt idx="288">
                  <c:v>0</c:v>
                </c:pt>
                <c:pt idx="289">
                  <c:v>16.5106</c:v>
                </c:pt>
                <c:pt idx="290">
                  <c:v>0</c:v>
                </c:pt>
                <c:pt idx="291">
                  <c:v>11.411799999999999</c:v>
                </c:pt>
                <c:pt idx="292">
                  <c:v>4.407</c:v>
                </c:pt>
                <c:pt idx="293">
                  <c:v>0</c:v>
                </c:pt>
                <c:pt idx="294">
                  <c:v>39.842500000000001</c:v>
                </c:pt>
                <c:pt idx="295">
                  <c:v>19.9711</c:v>
                </c:pt>
                <c:pt idx="296">
                  <c:v>0</c:v>
                </c:pt>
                <c:pt idx="297">
                  <c:v>0</c:v>
                </c:pt>
                <c:pt idx="298">
                  <c:v>17.0839</c:v>
                </c:pt>
                <c:pt idx="299">
                  <c:v>35.305199999999999</c:v>
                </c:pt>
                <c:pt idx="300">
                  <c:v>23.1418</c:v>
                </c:pt>
                <c:pt idx="301">
                  <c:v>0</c:v>
                </c:pt>
                <c:pt idx="302">
                  <c:v>22.188500000000001</c:v>
                </c:pt>
                <c:pt idx="303">
                  <c:v>22.5091</c:v>
                </c:pt>
                <c:pt idx="304">
                  <c:v>14.301500000000001</c:v>
                </c:pt>
                <c:pt idx="305">
                  <c:v>43.534599999999998</c:v>
                </c:pt>
                <c:pt idx="306">
                  <c:v>0</c:v>
                </c:pt>
                <c:pt idx="307">
                  <c:v>0</c:v>
                </c:pt>
                <c:pt idx="308">
                  <c:v>53.767600000000002</c:v>
                </c:pt>
                <c:pt idx="309">
                  <c:v>4.3737000000000004</c:v>
                </c:pt>
                <c:pt idx="310">
                  <c:v>28.225100000000001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10.117900000000001</c:v>
                </c:pt>
                <c:pt idx="316">
                  <c:v>53.245699999999999</c:v>
                </c:pt>
                <c:pt idx="317">
                  <c:v>42.873800000000003</c:v>
                </c:pt>
                <c:pt idx="318">
                  <c:v>0</c:v>
                </c:pt>
                <c:pt idx="319">
                  <c:v>14.8681</c:v>
                </c:pt>
                <c:pt idx="320">
                  <c:v>33.283900000000003</c:v>
                </c:pt>
                <c:pt idx="321">
                  <c:v>0</c:v>
                </c:pt>
                <c:pt idx="322">
                  <c:v>9.1231000000000009</c:v>
                </c:pt>
                <c:pt idx="323">
                  <c:v>5.7888999999999999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31.944700000000001</c:v>
                </c:pt>
                <c:pt idx="328">
                  <c:v>30.8993</c:v>
                </c:pt>
                <c:pt idx="329">
                  <c:v>0</c:v>
                </c:pt>
                <c:pt idx="330">
                  <c:v>12.640499999999999</c:v>
                </c:pt>
                <c:pt idx="331">
                  <c:v>0</c:v>
                </c:pt>
                <c:pt idx="332">
                  <c:v>105.8888</c:v>
                </c:pt>
                <c:pt idx="333">
                  <c:v>12.373799999999999</c:v>
                </c:pt>
                <c:pt idx="334">
                  <c:v>0</c:v>
                </c:pt>
                <c:pt idx="335">
                  <c:v>9.8468999999999998</c:v>
                </c:pt>
                <c:pt idx="336">
                  <c:v>0</c:v>
                </c:pt>
                <c:pt idx="337">
                  <c:v>21.279900000000001</c:v>
                </c:pt>
                <c:pt idx="338">
                  <c:v>12.395099999999999</c:v>
                </c:pt>
                <c:pt idx="339">
                  <c:v>34.918399999999998</c:v>
                </c:pt>
                <c:pt idx="340">
                  <c:v>6.9223999999999997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61.974899999999998</c:v>
                </c:pt>
                <c:pt idx="345">
                  <c:v>4.3693</c:v>
                </c:pt>
                <c:pt idx="346">
                  <c:v>35.181399999999996</c:v>
                </c:pt>
                <c:pt idx="347">
                  <c:v>0</c:v>
                </c:pt>
                <c:pt idx="348">
                  <c:v>0</c:v>
                </c:pt>
                <c:pt idx="349">
                  <c:v>33.056100000000001</c:v>
                </c:pt>
                <c:pt idx="350">
                  <c:v>0</c:v>
                </c:pt>
                <c:pt idx="351">
                  <c:v>0</c:v>
                </c:pt>
                <c:pt idx="352">
                  <c:v>35.457999999999998</c:v>
                </c:pt>
                <c:pt idx="353">
                  <c:v>12.726900000000001</c:v>
                </c:pt>
                <c:pt idx="354">
                  <c:v>0</c:v>
                </c:pt>
                <c:pt idx="355">
                  <c:v>5.4291999999999998</c:v>
                </c:pt>
                <c:pt idx="356">
                  <c:v>7.9504000000000001</c:v>
                </c:pt>
                <c:pt idx="357">
                  <c:v>0</c:v>
                </c:pt>
                <c:pt idx="358">
                  <c:v>0</c:v>
                </c:pt>
                <c:pt idx="359">
                  <c:v>17.104500000000002</c:v>
                </c:pt>
                <c:pt idx="360">
                  <c:v>7.6294000000000004</c:v>
                </c:pt>
                <c:pt idx="361">
                  <c:v>0</c:v>
                </c:pt>
                <c:pt idx="362">
                  <c:v>25.831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45.664499999999997</c:v>
                </c:pt>
                <c:pt idx="367">
                  <c:v>12.520899999999999</c:v>
                </c:pt>
                <c:pt idx="368">
                  <c:v>0</c:v>
                </c:pt>
                <c:pt idx="369">
                  <c:v>4.7259000000000002</c:v>
                </c:pt>
                <c:pt idx="370">
                  <c:v>9.3384999999999998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14.6998</c:v>
                </c:pt>
                <c:pt idx="375">
                  <c:v>44.335299999999997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78.201099999999997</c:v>
                </c:pt>
                <c:pt idx="380">
                  <c:v>1.3026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27.1357</c:v>
                </c:pt>
                <c:pt idx="387">
                  <c:v>31.5517</c:v>
                </c:pt>
                <c:pt idx="388">
                  <c:v>0</c:v>
                </c:pt>
                <c:pt idx="389">
                  <c:v>2.8184999999999998</c:v>
                </c:pt>
                <c:pt idx="390">
                  <c:v>0</c:v>
                </c:pt>
                <c:pt idx="391">
                  <c:v>15.879</c:v>
                </c:pt>
                <c:pt idx="392">
                  <c:v>0</c:v>
                </c:pt>
                <c:pt idx="393">
                  <c:v>0</c:v>
                </c:pt>
                <c:pt idx="394">
                  <c:v>49.758699999999997</c:v>
                </c:pt>
                <c:pt idx="395">
                  <c:v>9.9436</c:v>
                </c:pt>
                <c:pt idx="396">
                  <c:v>35.89</c:v>
                </c:pt>
                <c:pt idx="397">
                  <c:v>16.440999999999999</c:v>
                </c:pt>
                <c:pt idx="398">
                  <c:v>15.8697</c:v>
                </c:pt>
                <c:pt idx="399">
                  <c:v>114.19759999999999</c:v>
                </c:pt>
                <c:pt idx="400">
                  <c:v>30.180499999999999</c:v>
                </c:pt>
                <c:pt idx="401">
                  <c:v>5.6577000000000002</c:v>
                </c:pt>
                <c:pt idx="402">
                  <c:v>13.5343</c:v>
                </c:pt>
                <c:pt idx="403">
                  <c:v>2.5548999999999999</c:v>
                </c:pt>
                <c:pt idx="404">
                  <c:v>0</c:v>
                </c:pt>
                <c:pt idx="405">
                  <c:v>36.357700000000001</c:v>
                </c:pt>
                <c:pt idx="406">
                  <c:v>0</c:v>
                </c:pt>
                <c:pt idx="407">
                  <c:v>34.866300000000003</c:v>
                </c:pt>
                <c:pt idx="408">
                  <c:v>0</c:v>
                </c:pt>
                <c:pt idx="409">
                  <c:v>0</c:v>
                </c:pt>
                <c:pt idx="410">
                  <c:v>14.746600000000001</c:v>
                </c:pt>
                <c:pt idx="411">
                  <c:v>10.357799999999999</c:v>
                </c:pt>
                <c:pt idx="412">
                  <c:v>31.048400000000001</c:v>
                </c:pt>
                <c:pt idx="413">
                  <c:v>0</c:v>
                </c:pt>
                <c:pt idx="414">
                  <c:v>17.134399999999999</c:v>
                </c:pt>
                <c:pt idx="415">
                  <c:v>0</c:v>
                </c:pt>
                <c:pt idx="416">
                  <c:v>0</c:v>
                </c:pt>
                <c:pt idx="417">
                  <c:v>1.1529</c:v>
                </c:pt>
                <c:pt idx="418">
                  <c:v>0</c:v>
                </c:pt>
                <c:pt idx="419">
                  <c:v>29.4023</c:v>
                </c:pt>
                <c:pt idx="420">
                  <c:v>48.208399999999997</c:v>
                </c:pt>
                <c:pt idx="421">
                  <c:v>0</c:v>
                </c:pt>
                <c:pt idx="422">
                  <c:v>0</c:v>
                </c:pt>
                <c:pt idx="423">
                  <c:v>8.9999999999999998E-4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16.828700000000001</c:v>
                </c:pt>
                <c:pt idx="428">
                  <c:v>0</c:v>
                </c:pt>
                <c:pt idx="429">
                  <c:v>17.8583</c:v>
                </c:pt>
                <c:pt idx="430">
                  <c:v>16.042999999999999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61.6325</c:v>
                </c:pt>
                <c:pt idx="437">
                  <c:v>29.928100000000001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59.767499999999998</c:v>
                </c:pt>
                <c:pt idx="442">
                  <c:v>40.963500000000003</c:v>
                </c:pt>
                <c:pt idx="443">
                  <c:v>30.3323</c:v>
                </c:pt>
                <c:pt idx="444">
                  <c:v>0</c:v>
                </c:pt>
                <c:pt idx="445">
                  <c:v>16.6906</c:v>
                </c:pt>
                <c:pt idx="446">
                  <c:v>52.118600000000001</c:v>
                </c:pt>
                <c:pt idx="447">
                  <c:v>26.237300000000001</c:v>
                </c:pt>
                <c:pt idx="448">
                  <c:v>74.364000000000004</c:v>
                </c:pt>
                <c:pt idx="449">
                  <c:v>7.6619000000000002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9.6052</c:v>
                </c:pt>
                <c:pt idx="454">
                  <c:v>0</c:v>
                </c:pt>
                <c:pt idx="455">
                  <c:v>5.3506999999999998</c:v>
                </c:pt>
                <c:pt idx="456">
                  <c:v>0</c:v>
                </c:pt>
                <c:pt idx="457">
                  <c:v>0</c:v>
                </c:pt>
                <c:pt idx="458">
                  <c:v>65.157600000000002</c:v>
                </c:pt>
                <c:pt idx="459">
                  <c:v>28.997800000000002</c:v>
                </c:pt>
                <c:pt idx="460">
                  <c:v>0</c:v>
                </c:pt>
                <c:pt idx="461">
                  <c:v>1.7111000000000001</c:v>
                </c:pt>
                <c:pt idx="462">
                  <c:v>11.1281</c:v>
                </c:pt>
                <c:pt idx="463">
                  <c:v>12.458500000000001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6.0067000000000004</c:v>
                </c:pt>
                <c:pt idx="470">
                  <c:v>0</c:v>
                </c:pt>
                <c:pt idx="471">
                  <c:v>0</c:v>
                </c:pt>
                <c:pt idx="472">
                  <c:v>45.646700000000003</c:v>
                </c:pt>
                <c:pt idx="473">
                  <c:v>0</c:v>
                </c:pt>
                <c:pt idx="474">
                  <c:v>14.145300000000001</c:v>
                </c:pt>
                <c:pt idx="475">
                  <c:v>0</c:v>
                </c:pt>
                <c:pt idx="476">
                  <c:v>21.165500000000002</c:v>
                </c:pt>
                <c:pt idx="477">
                  <c:v>11.546099999999999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54.2821</c:v>
                </c:pt>
                <c:pt idx="482">
                  <c:v>0</c:v>
                </c:pt>
                <c:pt idx="483">
                  <c:v>43.128100000000003</c:v>
                </c:pt>
                <c:pt idx="484">
                  <c:v>12.1457</c:v>
                </c:pt>
                <c:pt idx="485">
                  <c:v>41.444800000000001</c:v>
                </c:pt>
                <c:pt idx="486">
                  <c:v>0</c:v>
                </c:pt>
                <c:pt idx="487">
                  <c:v>45.1843</c:v>
                </c:pt>
                <c:pt idx="488">
                  <c:v>61.1706</c:v>
                </c:pt>
                <c:pt idx="489">
                  <c:v>43.453800000000001</c:v>
                </c:pt>
                <c:pt idx="490">
                  <c:v>2.8184999999999998</c:v>
                </c:pt>
                <c:pt idx="491">
                  <c:v>23.123799999999999</c:v>
                </c:pt>
                <c:pt idx="492">
                  <c:v>101.03149999999999</c:v>
                </c:pt>
                <c:pt idx="493">
                  <c:v>0</c:v>
                </c:pt>
                <c:pt idx="494">
                  <c:v>13.663500000000001</c:v>
                </c:pt>
                <c:pt idx="495">
                  <c:v>8.1057000000000006</c:v>
                </c:pt>
                <c:pt idx="496">
                  <c:v>14.820499999999999</c:v>
                </c:pt>
                <c:pt idx="497">
                  <c:v>17.648</c:v>
                </c:pt>
                <c:pt idx="498">
                  <c:v>19.862300000000001</c:v>
                </c:pt>
                <c:pt idx="499">
                  <c:v>9.7438000000000002</c:v>
                </c:pt>
                <c:pt idx="500">
                  <c:v>5.6506999999999996</c:v>
                </c:pt>
                <c:pt idx="501">
                  <c:v>14.2887</c:v>
                </c:pt>
                <c:pt idx="502">
                  <c:v>59.320500000000003</c:v>
                </c:pt>
                <c:pt idx="503">
                  <c:v>0</c:v>
                </c:pt>
                <c:pt idx="504">
                  <c:v>64.878699999999995</c:v>
                </c:pt>
                <c:pt idx="505">
                  <c:v>0</c:v>
                </c:pt>
                <c:pt idx="506">
                  <c:v>18.2516</c:v>
                </c:pt>
                <c:pt idx="507">
                  <c:v>0</c:v>
                </c:pt>
                <c:pt idx="508">
                  <c:v>14.390700000000001</c:v>
                </c:pt>
                <c:pt idx="509">
                  <c:v>0</c:v>
                </c:pt>
                <c:pt idx="510">
                  <c:v>2.3527</c:v>
                </c:pt>
                <c:pt idx="511">
                  <c:v>0</c:v>
                </c:pt>
                <c:pt idx="512">
                  <c:v>8.7224000000000004</c:v>
                </c:pt>
                <c:pt idx="513">
                  <c:v>103.681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22.2943</c:v>
                </c:pt>
                <c:pt idx="518">
                  <c:v>0</c:v>
                </c:pt>
                <c:pt idx="519">
                  <c:v>0</c:v>
                </c:pt>
                <c:pt idx="520">
                  <c:v>8.7510999999999992</c:v>
                </c:pt>
                <c:pt idx="521">
                  <c:v>91.620699999999999</c:v>
                </c:pt>
                <c:pt idx="522">
                  <c:v>38.531500000000001</c:v>
                </c:pt>
                <c:pt idx="523">
                  <c:v>11.179399999999999</c:v>
                </c:pt>
                <c:pt idx="524">
                  <c:v>12.3248</c:v>
                </c:pt>
                <c:pt idx="525">
                  <c:v>0</c:v>
                </c:pt>
                <c:pt idx="526">
                  <c:v>12.0318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16.3535</c:v>
                </c:pt>
                <c:pt idx="532">
                  <c:v>54.528700000000001</c:v>
                </c:pt>
                <c:pt idx="533">
                  <c:v>63.2119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21.549299999999999</c:v>
                </c:pt>
                <c:pt idx="539">
                  <c:v>32.582099999999997</c:v>
                </c:pt>
                <c:pt idx="540">
                  <c:v>45.133499999999998</c:v>
                </c:pt>
                <c:pt idx="541">
                  <c:v>0</c:v>
                </c:pt>
                <c:pt idx="542">
                  <c:v>11.2399</c:v>
                </c:pt>
                <c:pt idx="543">
                  <c:v>1.7471000000000001</c:v>
                </c:pt>
                <c:pt idx="544">
                  <c:v>1.2806999999999999</c:v>
                </c:pt>
                <c:pt idx="545">
                  <c:v>2.6600999999999999</c:v>
                </c:pt>
                <c:pt idx="546">
                  <c:v>0</c:v>
                </c:pt>
                <c:pt idx="547">
                  <c:v>0</c:v>
                </c:pt>
                <c:pt idx="548">
                  <c:v>14.9726</c:v>
                </c:pt>
                <c:pt idx="549">
                  <c:v>8.0000000000000002E-3</c:v>
                </c:pt>
                <c:pt idx="550">
                  <c:v>5.3049999999999997</c:v>
                </c:pt>
                <c:pt idx="551">
                  <c:v>29.213699999999999</c:v>
                </c:pt>
                <c:pt idx="552">
                  <c:v>28.378599999999999</c:v>
                </c:pt>
                <c:pt idx="553">
                  <c:v>26.2224</c:v>
                </c:pt>
                <c:pt idx="554">
                  <c:v>0</c:v>
                </c:pt>
                <c:pt idx="555">
                  <c:v>0</c:v>
                </c:pt>
                <c:pt idx="556">
                  <c:v>36.621600000000001</c:v>
                </c:pt>
                <c:pt idx="557">
                  <c:v>0</c:v>
                </c:pt>
                <c:pt idx="558">
                  <c:v>10.5495</c:v>
                </c:pt>
                <c:pt idx="559">
                  <c:v>0</c:v>
                </c:pt>
                <c:pt idx="560">
                  <c:v>0</c:v>
                </c:pt>
                <c:pt idx="561">
                  <c:v>8.1757000000000009</c:v>
                </c:pt>
                <c:pt idx="562">
                  <c:v>39.108699999999999</c:v>
                </c:pt>
                <c:pt idx="563">
                  <c:v>0</c:v>
                </c:pt>
                <c:pt idx="564">
                  <c:v>1.2004999999999999</c:v>
                </c:pt>
                <c:pt idx="565">
                  <c:v>61.297199999999997</c:v>
                </c:pt>
                <c:pt idx="566">
                  <c:v>0</c:v>
                </c:pt>
                <c:pt idx="567">
                  <c:v>13.8597</c:v>
                </c:pt>
                <c:pt idx="568">
                  <c:v>0</c:v>
                </c:pt>
                <c:pt idx="569">
                  <c:v>12.2033</c:v>
                </c:pt>
                <c:pt idx="570">
                  <c:v>35.156500000000001</c:v>
                </c:pt>
                <c:pt idx="571">
                  <c:v>69.0017</c:v>
                </c:pt>
                <c:pt idx="572">
                  <c:v>4.3094000000000001</c:v>
                </c:pt>
                <c:pt idx="573">
                  <c:v>70.547799999999995</c:v>
                </c:pt>
                <c:pt idx="574">
                  <c:v>0</c:v>
                </c:pt>
                <c:pt idx="575">
                  <c:v>0</c:v>
                </c:pt>
                <c:pt idx="576">
                  <c:v>16.923200000000001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10.5228</c:v>
                </c:pt>
                <c:pt idx="585">
                  <c:v>18.623899999999999</c:v>
                </c:pt>
                <c:pt idx="586">
                  <c:v>0</c:v>
                </c:pt>
                <c:pt idx="587">
                  <c:v>27.534500000000001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3.2791000000000001</c:v>
                </c:pt>
                <c:pt idx="592">
                  <c:v>0</c:v>
                </c:pt>
                <c:pt idx="593">
                  <c:v>20.364000000000001</c:v>
                </c:pt>
                <c:pt idx="594">
                  <c:v>19.0444</c:v>
                </c:pt>
                <c:pt idx="595">
                  <c:v>10.485300000000001</c:v>
                </c:pt>
                <c:pt idx="596">
                  <c:v>0</c:v>
                </c:pt>
                <c:pt idx="597">
                  <c:v>20.075099999999999</c:v>
                </c:pt>
                <c:pt idx="598">
                  <c:v>0</c:v>
                </c:pt>
                <c:pt idx="599">
                  <c:v>17.0762</c:v>
                </c:pt>
                <c:pt idx="600">
                  <c:v>22.493500000000001</c:v>
                </c:pt>
                <c:pt idx="601">
                  <c:v>42.910299999999999</c:v>
                </c:pt>
                <c:pt idx="602">
                  <c:v>2.0821999999999998</c:v>
                </c:pt>
                <c:pt idx="603">
                  <c:v>28.125900000000001</c:v>
                </c:pt>
                <c:pt idx="604">
                  <c:v>25.523299999999999</c:v>
                </c:pt>
                <c:pt idx="605">
                  <c:v>14.298999999999999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8.43E-2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17.5245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80.587500000000006</c:v>
                </c:pt>
                <c:pt idx="618">
                  <c:v>0</c:v>
                </c:pt>
                <c:pt idx="619">
                  <c:v>35.040900000000001</c:v>
                </c:pt>
                <c:pt idx="620">
                  <c:v>15.639200000000001</c:v>
                </c:pt>
                <c:pt idx="621">
                  <c:v>0</c:v>
                </c:pt>
                <c:pt idx="622">
                  <c:v>23.512499999999999</c:v>
                </c:pt>
                <c:pt idx="623">
                  <c:v>25.226099999999999</c:v>
                </c:pt>
                <c:pt idx="624">
                  <c:v>0</c:v>
                </c:pt>
                <c:pt idx="625">
                  <c:v>0</c:v>
                </c:pt>
                <c:pt idx="626">
                  <c:v>42.668599999999998</c:v>
                </c:pt>
                <c:pt idx="627">
                  <c:v>44.102899999999998</c:v>
                </c:pt>
                <c:pt idx="628">
                  <c:v>3.8651</c:v>
                </c:pt>
                <c:pt idx="629">
                  <c:v>0</c:v>
                </c:pt>
                <c:pt idx="630">
                  <c:v>0</c:v>
                </c:pt>
                <c:pt idx="631">
                  <c:v>3.7631999999999999</c:v>
                </c:pt>
                <c:pt idx="632">
                  <c:v>24.020700000000001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14.7403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40.181699999999999</c:v>
                </c:pt>
                <c:pt idx="648">
                  <c:v>22.0303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19.7151</c:v>
                </c:pt>
                <c:pt idx="653">
                  <c:v>0</c:v>
                </c:pt>
                <c:pt idx="654">
                  <c:v>15.837</c:v>
                </c:pt>
                <c:pt idx="655">
                  <c:v>0</c:v>
                </c:pt>
                <c:pt idx="656">
                  <c:v>0</c:v>
                </c:pt>
                <c:pt idx="657">
                  <c:v>1.2794000000000001</c:v>
                </c:pt>
                <c:pt idx="658">
                  <c:v>0</c:v>
                </c:pt>
                <c:pt idx="659">
                  <c:v>0</c:v>
                </c:pt>
                <c:pt idx="660">
                  <c:v>4.7805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0.46389999999999998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37.221699999999998</c:v>
                </c:pt>
                <c:pt idx="669">
                  <c:v>0</c:v>
                </c:pt>
                <c:pt idx="670">
                  <c:v>8.5884999999999998</c:v>
                </c:pt>
                <c:pt idx="671">
                  <c:v>71.098299999999995</c:v>
                </c:pt>
                <c:pt idx="672">
                  <c:v>0</c:v>
                </c:pt>
                <c:pt idx="673">
                  <c:v>0</c:v>
                </c:pt>
                <c:pt idx="674">
                  <c:v>17.167100000000001</c:v>
                </c:pt>
                <c:pt idx="675">
                  <c:v>2.5354000000000001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51.809800000000003</c:v>
                </c:pt>
                <c:pt idx="680">
                  <c:v>0</c:v>
                </c:pt>
                <c:pt idx="681">
                  <c:v>0</c:v>
                </c:pt>
                <c:pt idx="682">
                  <c:v>17.2973</c:v>
                </c:pt>
                <c:pt idx="683">
                  <c:v>26.516999999999999</c:v>
                </c:pt>
                <c:pt idx="684">
                  <c:v>2.3391000000000002</c:v>
                </c:pt>
                <c:pt idx="685">
                  <c:v>29.296500000000002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16.294599999999999</c:v>
                </c:pt>
                <c:pt idx="692">
                  <c:v>0</c:v>
                </c:pt>
                <c:pt idx="693">
                  <c:v>0</c:v>
                </c:pt>
                <c:pt idx="694">
                  <c:v>26.872</c:v>
                </c:pt>
                <c:pt idx="695">
                  <c:v>31.883099999999999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53.013100000000001</c:v>
                </c:pt>
                <c:pt idx="700">
                  <c:v>62.491599999999998</c:v>
                </c:pt>
                <c:pt idx="701">
                  <c:v>0</c:v>
                </c:pt>
                <c:pt idx="702">
                  <c:v>38.427399999999999</c:v>
                </c:pt>
                <c:pt idx="703">
                  <c:v>0</c:v>
                </c:pt>
                <c:pt idx="704">
                  <c:v>0</c:v>
                </c:pt>
                <c:pt idx="705">
                  <c:v>47.128599999999999</c:v>
                </c:pt>
                <c:pt idx="706">
                  <c:v>0</c:v>
                </c:pt>
                <c:pt idx="707">
                  <c:v>0</c:v>
                </c:pt>
                <c:pt idx="708">
                  <c:v>10.6052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3.0070000000000001</c:v>
                </c:pt>
                <c:pt idx="713">
                  <c:v>0</c:v>
                </c:pt>
                <c:pt idx="714">
                  <c:v>0</c:v>
                </c:pt>
                <c:pt idx="715">
                  <c:v>31.542200000000001</c:v>
                </c:pt>
                <c:pt idx="716">
                  <c:v>35.044199999999996</c:v>
                </c:pt>
                <c:pt idx="717">
                  <c:v>2.8374999999999999</c:v>
                </c:pt>
                <c:pt idx="718">
                  <c:v>26.385000000000002</c:v>
                </c:pt>
                <c:pt idx="719">
                  <c:v>14.805899999999999</c:v>
                </c:pt>
                <c:pt idx="720">
                  <c:v>15.6557</c:v>
                </c:pt>
                <c:pt idx="721">
                  <c:v>0</c:v>
                </c:pt>
                <c:pt idx="722">
                  <c:v>0</c:v>
                </c:pt>
                <c:pt idx="723">
                  <c:v>3.0518000000000001</c:v>
                </c:pt>
                <c:pt idx="724">
                  <c:v>0</c:v>
                </c:pt>
                <c:pt idx="725">
                  <c:v>25.438300000000002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48.598700000000001</c:v>
                </c:pt>
                <c:pt idx="731">
                  <c:v>0</c:v>
                </c:pt>
                <c:pt idx="732">
                  <c:v>11.407999999999999</c:v>
                </c:pt>
                <c:pt idx="733">
                  <c:v>5.5963000000000003</c:v>
                </c:pt>
                <c:pt idx="734">
                  <c:v>5.9302000000000001</c:v>
                </c:pt>
                <c:pt idx="735">
                  <c:v>0</c:v>
                </c:pt>
                <c:pt idx="736">
                  <c:v>0</c:v>
                </c:pt>
                <c:pt idx="737">
                  <c:v>1.5274000000000001</c:v>
                </c:pt>
                <c:pt idx="738">
                  <c:v>0</c:v>
                </c:pt>
                <c:pt idx="739">
                  <c:v>0</c:v>
                </c:pt>
                <c:pt idx="740">
                  <c:v>23.619800000000001</c:v>
                </c:pt>
                <c:pt idx="741">
                  <c:v>4.8512000000000004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5.1148999999999996</c:v>
                </c:pt>
                <c:pt idx="750">
                  <c:v>3.9317000000000002</c:v>
                </c:pt>
                <c:pt idx="751">
                  <c:v>5.2061000000000002</c:v>
                </c:pt>
                <c:pt idx="752">
                  <c:v>25.8889</c:v>
                </c:pt>
                <c:pt idx="753">
                  <c:v>0</c:v>
                </c:pt>
                <c:pt idx="754">
                  <c:v>0</c:v>
                </c:pt>
                <c:pt idx="755">
                  <c:v>36.201000000000001</c:v>
                </c:pt>
                <c:pt idx="756">
                  <c:v>0</c:v>
                </c:pt>
                <c:pt idx="757">
                  <c:v>0</c:v>
                </c:pt>
                <c:pt idx="758">
                  <c:v>17.0398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102.5103</c:v>
                </c:pt>
                <c:pt idx="765">
                  <c:v>0</c:v>
                </c:pt>
                <c:pt idx="766">
                  <c:v>0</c:v>
                </c:pt>
                <c:pt idx="767">
                  <c:v>29.238399999999999</c:v>
                </c:pt>
                <c:pt idx="768">
                  <c:v>28.6418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21.741700000000002</c:v>
                </c:pt>
                <c:pt idx="773">
                  <c:v>1.0942000000000001</c:v>
                </c:pt>
                <c:pt idx="774">
                  <c:v>49.477200000000003</c:v>
                </c:pt>
                <c:pt idx="775">
                  <c:v>0</c:v>
                </c:pt>
                <c:pt idx="776">
                  <c:v>55.0989</c:v>
                </c:pt>
                <c:pt idx="777">
                  <c:v>0</c:v>
                </c:pt>
                <c:pt idx="778">
                  <c:v>0</c:v>
                </c:pt>
                <c:pt idx="779">
                  <c:v>73.325999999999993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4.6719999999999997</c:v>
                </c:pt>
                <c:pt idx="784">
                  <c:v>0</c:v>
                </c:pt>
                <c:pt idx="785">
                  <c:v>27.091100000000001</c:v>
                </c:pt>
                <c:pt idx="786">
                  <c:v>0</c:v>
                </c:pt>
                <c:pt idx="787">
                  <c:v>23.792999999999999</c:v>
                </c:pt>
                <c:pt idx="788">
                  <c:v>8.8102</c:v>
                </c:pt>
                <c:pt idx="789">
                  <c:v>0</c:v>
                </c:pt>
                <c:pt idx="790">
                  <c:v>16.746099999999998</c:v>
                </c:pt>
                <c:pt idx="791">
                  <c:v>20.713000000000001</c:v>
                </c:pt>
                <c:pt idx="792">
                  <c:v>3.0956000000000001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5.1577000000000002</c:v>
                </c:pt>
                <c:pt idx="798">
                  <c:v>27.275400000000001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4.5713999999999997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1.7081999999999999</c:v>
                </c:pt>
                <c:pt idx="808">
                  <c:v>0</c:v>
                </c:pt>
                <c:pt idx="809">
                  <c:v>53.132300000000001</c:v>
                </c:pt>
                <c:pt idx="810">
                  <c:v>0</c:v>
                </c:pt>
                <c:pt idx="811">
                  <c:v>37.185600000000001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79.379499999999993</c:v>
                </c:pt>
                <c:pt idx="818">
                  <c:v>48.040500000000002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54.8491</c:v>
                </c:pt>
                <c:pt idx="823">
                  <c:v>34.037500000000001</c:v>
                </c:pt>
                <c:pt idx="824">
                  <c:v>0</c:v>
                </c:pt>
                <c:pt idx="825">
                  <c:v>0</c:v>
                </c:pt>
                <c:pt idx="826">
                  <c:v>18.500599999999999</c:v>
                </c:pt>
                <c:pt idx="827">
                  <c:v>0</c:v>
                </c:pt>
                <c:pt idx="828">
                  <c:v>51.279899999999998</c:v>
                </c:pt>
                <c:pt idx="829">
                  <c:v>0</c:v>
                </c:pt>
                <c:pt idx="830">
                  <c:v>61.916400000000003</c:v>
                </c:pt>
                <c:pt idx="831">
                  <c:v>0</c:v>
                </c:pt>
                <c:pt idx="832">
                  <c:v>51.793999999999997</c:v>
                </c:pt>
                <c:pt idx="833">
                  <c:v>7.6730999999999998</c:v>
                </c:pt>
                <c:pt idx="834">
                  <c:v>0</c:v>
                </c:pt>
                <c:pt idx="835">
                  <c:v>21.706600000000002</c:v>
                </c:pt>
                <c:pt idx="836">
                  <c:v>0</c:v>
                </c:pt>
                <c:pt idx="837">
                  <c:v>0</c:v>
                </c:pt>
                <c:pt idx="838">
                  <c:v>11.855399999999999</c:v>
                </c:pt>
                <c:pt idx="839">
                  <c:v>0</c:v>
                </c:pt>
                <c:pt idx="840">
                  <c:v>16.916899999999998</c:v>
                </c:pt>
                <c:pt idx="841">
                  <c:v>0</c:v>
                </c:pt>
                <c:pt idx="842">
                  <c:v>19.544599999999999</c:v>
                </c:pt>
                <c:pt idx="843">
                  <c:v>30.232800000000001</c:v>
                </c:pt>
                <c:pt idx="844">
                  <c:v>0</c:v>
                </c:pt>
                <c:pt idx="845">
                  <c:v>0</c:v>
                </c:pt>
                <c:pt idx="846">
                  <c:v>42.242800000000003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16.5839</c:v>
                </c:pt>
                <c:pt idx="851">
                  <c:v>0</c:v>
                </c:pt>
                <c:pt idx="852">
                  <c:v>23.781600000000001</c:v>
                </c:pt>
                <c:pt idx="853">
                  <c:v>0</c:v>
                </c:pt>
                <c:pt idx="854">
                  <c:v>0</c:v>
                </c:pt>
                <c:pt idx="855">
                  <c:v>0.18590000000000001</c:v>
                </c:pt>
                <c:pt idx="856">
                  <c:v>22.7608</c:v>
                </c:pt>
                <c:pt idx="857">
                  <c:v>23.18</c:v>
                </c:pt>
                <c:pt idx="858">
                  <c:v>8.7658000000000005</c:v>
                </c:pt>
                <c:pt idx="859">
                  <c:v>20.263000000000002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37.08</c:v>
                </c:pt>
                <c:pt idx="864">
                  <c:v>0</c:v>
                </c:pt>
                <c:pt idx="865">
                  <c:v>62.847700000000003</c:v>
                </c:pt>
                <c:pt idx="866">
                  <c:v>18.7727</c:v>
                </c:pt>
                <c:pt idx="867">
                  <c:v>0</c:v>
                </c:pt>
                <c:pt idx="868">
                  <c:v>22.325399999999998</c:v>
                </c:pt>
                <c:pt idx="869">
                  <c:v>0</c:v>
                </c:pt>
                <c:pt idx="870">
                  <c:v>28.0322</c:v>
                </c:pt>
                <c:pt idx="871">
                  <c:v>4.5022000000000002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4.3921000000000001</c:v>
                </c:pt>
                <c:pt idx="876">
                  <c:v>8.8170000000000002</c:v>
                </c:pt>
                <c:pt idx="877">
                  <c:v>0</c:v>
                </c:pt>
                <c:pt idx="878">
                  <c:v>85.803799999999995</c:v>
                </c:pt>
                <c:pt idx="879">
                  <c:v>0</c:v>
                </c:pt>
                <c:pt idx="880">
                  <c:v>48.6999</c:v>
                </c:pt>
                <c:pt idx="881">
                  <c:v>19.038</c:v>
                </c:pt>
                <c:pt idx="882">
                  <c:v>18.6967</c:v>
                </c:pt>
                <c:pt idx="883">
                  <c:v>58.527299999999997</c:v>
                </c:pt>
                <c:pt idx="884">
                  <c:v>0</c:v>
                </c:pt>
                <c:pt idx="885">
                  <c:v>18.12</c:v>
                </c:pt>
                <c:pt idx="886">
                  <c:v>38.891500000000001</c:v>
                </c:pt>
                <c:pt idx="887">
                  <c:v>0</c:v>
                </c:pt>
                <c:pt idx="888">
                  <c:v>0</c:v>
                </c:pt>
                <c:pt idx="889">
                  <c:v>4.3981000000000003</c:v>
                </c:pt>
                <c:pt idx="890">
                  <c:v>53.4559</c:v>
                </c:pt>
                <c:pt idx="891">
                  <c:v>0</c:v>
                </c:pt>
                <c:pt idx="892">
                  <c:v>0</c:v>
                </c:pt>
                <c:pt idx="893">
                  <c:v>21.181000000000001</c:v>
                </c:pt>
                <c:pt idx="894">
                  <c:v>46.7027</c:v>
                </c:pt>
                <c:pt idx="895">
                  <c:v>52.747399999999999</c:v>
                </c:pt>
                <c:pt idx="896">
                  <c:v>14.664099999999999</c:v>
                </c:pt>
                <c:pt idx="897">
                  <c:v>20.968499999999999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46.499699999999997</c:v>
                </c:pt>
                <c:pt idx="903">
                  <c:v>0</c:v>
                </c:pt>
                <c:pt idx="904">
                  <c:v>30.220099999999999</c:v>
                </c:pt>
                <c:pt idx="905">
                  <c:v>4.1928999999999998</c:v>
                </c:pt>
                <c:pt idx="906">
                  <c:v>0.72750000000000004</c:v>
                </c:pt>
                <c:pt idx="907">
                  <c:v>15.319800000000001</c:v>
                </c:pt>
                <c:pt idx="908">
                  <c:v>4.1737000000000002</c:v>
                </c:pt>
                <c:pt idx="909">
                  <c:v>79.887799999999999</c:v>
                </c:pt>
                <c:pt idx="910">
                  <c:v>37.322600000000001</c:v>
                </c:pt>
                <c:pt idx="911">
                  <c:v>0</c:v>
                </c:pt>
                <c:pt idx="912">
                  <c:v>24.9956</c:v>
                </c:pt>
                <c:pt idx="913">
                  <c:v>1.4681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76.569900000000004</c:v>
                </c:pt>
                <c:pt idx="919">
                  <c:v>3.89</c:v>
                </c:pt>
                <c:pt idx="920">
                  <c:v>97.587100000000007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7.7916999999999996</c:v>
                </c:pt>
                <c:pt idx="925">
                  <c:v>0</c:v>
                </c:pt>
                <c:pt idx="926">
                  <c:v>0</c:v>
                </c:pt>
                <c:pt idx="927">
                  <c:v>2.8294999999999999</c:v>
                </c:pt>
                <c:pt idx="928">
                  <c:v>37.529899999999998</c:v>
                </c:pt>
                <c:pt idx="929">
                  <c:v>0</c:v>
                </c:pt>
                <c:pt idx="930">
                  <c:v>0</c:v>
                </c:pt>
                <c:pt idx="931">
                  <c:v>2.9661</c:v>
                </c:pt>
                <c:pt idx="932">
                  <c:v>12.2186</c:v>
                </c:pt>
                <c:pt idx="933">
                  <c:v>26.784600000000001</c:v>
                </c:pt>
                <c:pt idx="934">
                  <c:v>57.4253</c:v>
                </c:pt>
                <c:pt idx="935">
                  <c:v>0</c:v>
                </c:pt>
                <c:pt idx="936">
                  <c:v>50.985999999999997</c:v>
                </c:pt>
                <c:pt idx="937">
                  <c:v>28.4</c:v>
                </c:pt>
                <c:pt idx="938">
                  <c:v>53.028100000000002</c:v>
                </c:pt>
                <c:pt idx="939">
                  <c:v>35.241300000000003</c:v>
                </c:pt>
                <c:pt idx="940">
                  <c:v>0</c:v>
                </c:pt>
                <c:pt idx="941">
                  <c:v>0</c:v>
                </c:pt>
                <c:pt idx="942">
                  <c:v>24.563300000000002</c:v>
                </c:pt>
                <c:pt idx="943">
                  <c:v>0</c:v>
                </c:pt>
                <c:pt idx="944">
                  <c:v>17.988700000000001</c:v>
                </c:pt>
                <c:pt idx="945">
                  <c:v>26.818899999999999</c:v>
                </c:pt>
                <c:pt idx="946">
                  <c:v>16.041799999999999</c:v>
                </c:pt>
                <c:pt idx="947">
                  <c:v>0</c:v>
                </c:pt>
                <c:pt idx="948">
                  <c:v>16.475999999999999</c:v>
                </c:pt>
                <c:pt idx="949">
                  <c:v>18.615500000000001</c:v>
                </c:pt>
                <c:pt idx="950">
                  <c:v>0</c:v>
                </c:pt>
                <c:pt idx="951">
                  <c:v>0</c:v>
                </c:pt>
                <c:pt idx="952">
                  <c:v>38.482599999999998</c:v>
                </c:pt>
                <c:pt idx="953">
                  <c:v>12.4663</c:v>
                </c:pt>
                <c:pt idx="954">
                  <c:v>0</c:v>
                </c:pt>
                <c:pt idx="955">
                  <c:v>0</c:v>
                </c:pt>
                <c:pt idx="956">
                  <c:v>19.318100000000001</c:v>
                </c:pt>
                <c:pt idx="957">
                  <c:v>18.635400000000001</c:v>
                </c:pt>
                <c:pt idx="958">
                  <c:v>0</c:v>
                </c:pt>
                <c:pt idx="959">
                  <c:v>0</c:v>
                </c:pt>
                <c:pt idx="960">
                  <c:v>32.193399999999997</c:v>
                </c:pt>
                <c:pt idx="961">
                  <c:v>0</c:v>
                </c:pt>
                <c:pt idx="962">
                  <c:v>0</c:v>
                </c:pt>
                <c:pt idx="963">
                  <c:v>17.452500000000001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42.139899999999997</c:v>
                </c:pt>
                <c:pt idx="969">
                  <c:v>36.048900000000003</c:v>
                </c:pt>
                <c:pt idx="970">
                  <c:v>0</c:v>
                </c:pt>
                <c:pt idx="971">
                  <c:v>4.1551</c:v>
                </c:pt>
                <c:pt idx="972">
                  <c:v>15.355</c:v>
                </c:pt>
                <c:pt idx="973">
                  <c:v>0</c:v>
                </c:pt>
                <c:pt idx="974">
                  <c:v>0</c:v>
                </c:pt>
                <c:pt idx="975">
                  <c:v>9.1104000000000003</c:v>
                </c:pt>
                <c:pt idx="976">
                  <c:v>70.299700000000001</c:v>
                </c:pt>
                <c:pt idx="977">
                  <c:v>0</c:v>
                </c:pt>
                <c:pt idx="978">
                  <c:v>145.01480000000001</c:v>
                </c:pt>
                <c:pt idx="979">
                  <c:v>22.717400000000001</c:v>
                </c:pt>
                <c:pt idx="980">
                  <c:v>13.152699999999999</c:v>
                </c:pt>
                <c:pt idx="981">
                  <c:v>0</c:v>
                </c:pt>
                <c:pt idx="982">
                  <c:v>16.7822</c:v>
                </c:pt>
                <c:pt idx="983">
                  <c:v>1.9651000000000001</c:v>
                </c:pt>
                <c:pt idx="984">
                  <c:v>0</c:v>
                </c:pt>
                <c:pt idx="985">
                  <c:v>23.521599999999999</c:v>
                </c:pt>
                <c:pt idx="986">
                  <c:v>0</c:v>
                </c:pt>
                <c:pt idx="987">
                  <c:v>3.9024999999999999</c:v>
                </c:pt>
                <c:pt idx="988">
                  <c:v>14.3786</c:v>
                </c:pt>
                <c:pt idx="989">
                  <c:v>6.4082999999999997</c:v>
                </c:pt>
                <c:pt idx="990">
                  <c:v>0</c:v>
                </c:pt>
                <c:pt idx="991">
                  <c:v>0</c:v>
                </c:pt>
                <c:pt idx="992">
                  <c:v>19.9422</c:v>
                </c:pt>
                <c:pt idx="993">
                  <c:v>45.710299999999997</c:v>
                </c:pt>
                <c:pt idx="994">
                  <c:v>0</c:v>
                </c:pt>
                <c:pt idx="995">
                  <c:v>4.3715000000000002</c:v>
                </c:pt>
                <c:pt idx="996">
                  <c:v>0</c:v>
                </c:pt>
                <c:pt idx="997">
                  <c:v>11.946300000000001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04-47F0-8895-057109B20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749088"/>
        <c:axId val="384743840"/>
      </c:scatterChart>
      <c:valAx>
        <c:axId val="384749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43840"/>
        <c:crosses val="autoZero"/>
        <c:crossBetween val="midCat"/>
      </c:valAx>
      <c:valAx>
        <c:axId val="3847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749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'Vanilla BS call option'!$S$1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'Vanilla BS call option'!$Q$2:$Q$1001</c:f>
              <c:numCache>
                <c:formatCode>0.00</c:formatCode>
                <c:ptCount val="1000"/>
                <c:pt idx="0">
                  <c:v>102.161</c:v>
                </c:pt>
                <c:pt idx="1">
                  <c:v>93.2624</c:v>
                </c:pt>
                <c:pt idx="2">
                  <c:v>115.81910000000001</c:v>
                </c:pt>
                <c:pt idx="3">
                  <c:v>89.268299999999996</c:v>
                </c:pt>
                <c:pt idx="4">
                  <c:v>109.2516</c:v>
                </c:pt>
                <c:pt idx="5">
                  <c:v>91.637</c:v>
                </c:pt>
                <c:pt idx="6">
                  <c:v>140.2543</c:v>
                </c:pt>
                <c:pt idx="7">
                  <c:v>90.3249</c:v>
                </c:pt>
                <c:pt idx="8">
                  <c:v>101.4902</c:v>
                </c:pt>
                <c:pt idx="9">
                  <c:v>47.792299999999997</c:v>
                </c:pt>
                <c:pt idx="10">
                  <c:v>106.5472</c:v>
                </c:pt>
                <c:pt idx="11">
                  <c:v>67.899100000000004</c:v>
                </c:pt>
                <c:pt idx="12">
                  <c:v>110.81189999999999</c:v>
                </c:pt>
                <c:pt idx="13">
                  <c:v>77.881299999999996</c:v>
                </c:pt>
                <c:pt idx="14">
                  <c:v>122.16670000000001</c:v>
                </c:pt>
                <c:pt idx="15">
                  <c:v>84.145300000000006</c:v>
                </c:pt>
                <c:pt idx="16">
                  <c:v>128.67250000000001</c:v>
                </c:pt>
                <c:pt idx="17">
                  <c:v>88.079400000000007</c:v>
                </c:pt>
                <c:pt idx="18">
                  <c:v>144.5891</c:v>
                </c:pt>
                <c:pt idx="19">
                  <c:v>79.443700000000007</c:v>
                </c:pt>
                <c:pt idx="20">
                  <c:v>135.3527</c:v>
                </c:pt>
                <c:pt idx="21">
                  <c:v>98.382400000000004</c:v>
                </c:pt>
                <c:pt idx="22">
                  <c:v>158.33189999999999</c:v>
                </c:pt>
                <c:pt idx="23">
                  <c:v>90.836500000000001</c:v>
                </c:pt>
                <c:pt idx="24">
                  <c:v>69.322500000000005</c:v>
                </c:pt>
                <c:pt idx="25">
                  <c:v>67.534599999999998</c:v>
                </c:pt>
                <c:pt idx="26">
                  <c:v>120.3506</c:v>
                </c:pt>
                <c:pt idx="27">
                  <c:v>164.16079999999999</c:v>
                </c:pt>
                <c:pt idx="28">
                  <c:v>114.384</c:v>
                </c:pt>
                <c:pt idx="29">
                  <c:v>149.0121</c:v>
                </c:pt>
                <c:pt idx="30">
                  <c:v>134.983</c:v>
                </c:pt>
                <c:pt idx="31">
                  <c:v>98.646699999999996</c:v>
                </c:pt>
                <c:pt idx="32">
                  <c:v>66.658000000000001</c:v>
                </c:pt>
                <c:pt idx="33">
                  <c:v>202.93260000000001</c:v>
                </c:pt>
                <c:pt idx="34">
                  <c:v>85.751000000000005</c:v>
                </c:pt>
                <c:pt idx="35">
                  <c:v>116.27760000000001</c:v>
                </c:pt>
                <c:pt idx="36">
                  <c:v>80.528300000000002</c:v>
                </c:pt>
                <c:pt idx="37">
                  <c:v>75.726699999999994</c:v>
                </c:pt>
                <c:pt idx="38">
                  <c:v>89.218599999999995</c:v>
                </c:pt>
                <c:pt idx="39">
                  <c:v>69.918400000000005</c:v>
                </c:pt>
                <c:pt idx="40">
                  <c:v>138.5453</c:v>
                </c:pt>
                <c:pt idx="41">
                  <c:v>66.743200000000002</c:v>
                </c:pt>
                <c:pt idx="42">
                  <c:v>76.639099999999999</c:v>
                </c:pt>
                <c:pt idx="43">
                  <c:v>129.7671</c:v>
                </c:pt>
                <c:pt idx="44">
                  <c:v>80.173500000000004</c:v>
                </c:pt>
                <c:pt idx="45">
                  <c:v>95.573800000000006</c:v>
                </c:pt>
                <c:pt idx="46">
                  <c:v>74.484499999999997</c:v>
                </c:pt>
                <c:pt idx="47">
                  <c:v>73.590100000000007</c:v>
                </c:pt>
                <c:pt idx="48">
                  <c:v>79.963200000000001</c:v>
                </c:pt>
                <c:pt idx="49">
                  <c:v>84.153300000000002</c:v>
                </c:pt>
                <c:pt idx="50">
                  <c:v>100.66840000000001</c:v>
                </c:pt>
                <c:pt idx="51">
                  <c:v>184.38040000000001</c:v>
                </c:pt>
                <c:pt idx="52">
                  <c:v>121.4898</c:v>
                </c:pt>
                <c:pt idx="53">
                  <c:v>196.56829999999999</c:v>
                </c:pt>
                <c:pt idx="54">
                  <c:v>118.4062</c:v>
                </c:pt>
                <c:pt idx="55">
                  <c:v>86.978999999999999</c:v>
                </c:pt>
                <c:pt idx="56">
                  <c:v>124.6451</c:v>
                </c:pt>
                <c:pt idx="57">
                  <c:v>158.04220000000001</c:v>
                </c:pt>
                <c:pt idx="58">
                  <c:v>59.467399999999998</c:v>
                </c:pt>
                <c:pt idx="59">
                  <c:v>73.816900000000004</c:v>
                </c:pt>
                <c:pt idx="60">
                  <c:v>127.03489999999999</c:v>
                </c:pt>
                <c:pt idx="61">
                  <c:v>79.055300000000003</c:v>
                </c:pt>
                <c:pt idx="62">
                  <c:v>138.40469999999999</c:v>
                </c:pt>
                <c:pt idx="63">
                  <c:v>167.6011</c:v>
                </c:pt>
                <c:pt idx="64">
                  <c:v>112.1292</c:v>
                </c:pt>
                <c:pt idx="65">
                  <c:v>137.47640000000001</c:v>
                </c:pt>
                <c:pt idx="66">
                  <c:v>118.908</c:v>
                </c:pt>
                <c:pt idx="67">
                  <c:v>98.614999999999995</c:v>
                </c:pt>
                <c:pt idx="68">
                  <c:v>120.8374</c:v>
                </c:pt>
                <c:pt idx="69">
                  <c:v>104.98820000000001</c:v>
                </c:pt>
                <c:pt idx="70">
                  <c:v>77.662300000000002</c:v>
                </c:pt>
                <c:pt idx="71">
                  <c:v>116.748</c:v>
                </c:pt>
                <c:pt idx="72">
                  <c:v>143.71420000000001</c:v>
                </c:pt>
                <c:pt idx="73">
                  <c:v>88.054299999999998</c:v>
                </c:pt>
                <c:pt idx="74">
                  <c:v>103.9628</c:v>
                </c:pt>
                <c:pt idx="75">
                  <c:v>130.57830000000001</c:v>
                </c:pt>
                <c:pt idx="76">
                  <c:v>58.470100000000002</c:v>
                </c:pt>
                <c:pt idx="77">
                  <c:v>125.50530000000001</c:v>
                </c:pt>
                <c:pt idx="78">
                  <c:v>182.75190000000001</c:v>
                </c:pt>
                <c:pt idx="79">
                  <c:v>122.63079999999999</c:v>
                </c:pt>
                <c:pt idx="80">
                  <c:v>96.363500000000002</c:v>
                </c:pt>
                <c:pt idx="81">
                  <c:v>98.425399999999996</c:v>
                </c:pt>
                <c:pt idx="82">
                  <c:v>105.5986</c:v>
                </c:pt>
                <c:pt idx="83">
                  <c:v>100.3331</c:v>
                </c:pt>
                <c:pt idx="84">
                  <c:v>109.33</c:v>
                </c:pt>
                <c:pt idx="85">
                  <c:v>80.024100000000004</c:v>
                </c:pt>
                <c:pt idx="86">
                  <c:v>72.604900000000001</c:v>
                </c:pt>
                <c:pt idx="87">
                  <c:v>115.71599999999999</c:v>
                </c:pt>
                <c:pt idx="88">
                  <c:v>129.19540000000001</c:v>
                </c:pt>
                <c:pt idx="89">
                  <c:v>87.167599999999993</c:v>
                </c:pt>
                <c:pt idx="90">
                  <c:v>83.626800000000003</c:v>
                </c:pt>
                <c:pt idx="91">
                  <c:v>123.2749</c:v>
                </c:pt>
                <c:pt idx="92">
                  <c:v>135.46719999999999</c:v>
                </c:pt>
                <c:pt idx="93">
                  <c:v>111.5441</c:v>
                </c:pt>
                <c:pt idx="94">
                  <c:v>97.346000000000004</c:v>
                </c:pt>
                <c:pt idx="95">
                  <c:v>80.496899999999997</c:v>
                </c:pt>
                <c:pt idx="96">
                  <c:v>124.1759</c:v>
                </c:pt>
                <c:pt idx="97">
                  <c:v>61.837899999999998</c:v>
                </c:pt>
                <c:pt idx="98">
                  <c:v>51.597700000000003</c:v>
                </c:pt>
                <c:pt idx="99">
                  <c:v>85.471500000000006</c:v>
                </c:pt>
                <c:pt idx="100">
                  <c:v>89.339200000000005</c:v>
                </c:pt>
                <c:pt idx="101">
                  <c:v>193.57560000000001</c:v>
                </c:pt>
                <c:pt idx="102">
                  <c:v>125.0626</c:v>
                </c:pt>
                <c:pt idx="103">
                  <c:v>124.9054</c:v>
                </c:pt>
                <c:pt idx="104">
                  <c:v>123.5891</c:v>
                </c:pt>
                <c:pt idx="105">
                  <c:v>99.206199999999995</c:v>
                </c:pt>
                <c:pt idx="106">
                  <c:v>67.836399999999998</c:v>
                </c:pt>
                <c:pt idx="107">
                  <c:v>45.508600000000001</c:v>
                </c:pt>
                <c:pt idx="108">
                  <c:v>55.467500000000001</c:v>
                </c:pt>
                <c:pt idx="109">
                  <c:v>208.75479999999999</c:v>
                </c:pt>
                <c:pt idx="110">
                  <c:v>135.23769999999999</c:v>
                </c:pt>
                <c:pt idx="111">
                  <c:v>110.2722</c:v>
                </c:pt>
                <c:pt idx="112">
                  <c:v>93.218800000000002</c:v>
                </c:pt>
                <c:pt idx="113">
                  <c:v>82.784000000000006</c:v>
                </c:pt>
                <c:pt idx="114">
                  <c:v>105.5449</c:v>
                </c:pt>
                <c:pt idx="115">
                  <c:v>94.881299999999996</c:v>
                </c:pt>
                <c:pt idx="116">
                  <c:v>61.726999999999997</c:v>
                </c:pt>
                <c:pt idx="117">
                  <c:v>96.268699999999995</c:v>
                </c:pt>
                <c:pt idx="118">
                  <c:v>100.33240000000001</c:v>
                </c:pt>
                <c:pt idx="119">
                  <c:v>71.248699999999999</c:v>
                </c:pt>
                <c:pt idx="120">
                  <c:v>85.296700000000001</c:v>
                </c:pt>
                <c:pt idx="121">
                  <c:v>137.01300000000001</c:v>
                </c:pt>
                <c:pt idx="122">
                  <c:v>113.4096</c:v>
                </c:pt>
                <c:pt idx="123">
                  <c:v>156.73410000000001</c:v>
                </c:pt>
                <c:pt idx="124">
                  <c:v>106.8381</c:v>
                </c:pt>
                <c:pt idx="125">
                  <c:v>94.275899999999993</c:v>
                </c:pt>
                <c:pt idx="126">
                  <c:v>110.1994</c:v>
                </c:pt>
                <c:pt idx="127">
                  <c:v>133.22190000000001</c:v>
                </c:pt>
                <c:pt idx="128">
                  <c:v>90.071299999999994</c:v>
                </c:pt>
                <c:pt idx="129">
                  <c:v>151.7372</c:v>
                </c:pt>
                <c:pt idx="130">
                  <c:v>98.585899999999995</c:v>
                </c:pt>
                <c:pt idx="131">
                  <c:v>82.016199999999998</c:v>
                </c:pt>
                <c:pt idx="132">
                  <c:v>160.7568</c:v>
                </c:pt>
                <c:pt idx="133">
                  <c:v>100.63679999999999</c:v>
                </c:pt>
                <c:pt idx="134">
                  <c:v>84.763499999999993</c:v>
                </c:pt>
                <c:pt idx="135">
                  <c:v>80.941900000000004</c:v>
                </c:pt>
                <c:pt idx="136">
                  <c:v>87.447100000000006</c:v>
                </c:pt>
                <c:pt idx="137">
                  <c:v>101.098</c:v>
                </c:pt>
                <c:pt idx="138">
                  <c:v>119.5009</c:v>
                </c:pt>
                <c:pt idx="139">
                  <c:v>136.95660000000001</c:v>
                </c:pt>
                <c:pt idx="140">
                  <c:v>82.216200000000001</c:v>
                </c:pt>
                <c:pt idx="141">
                  <c:v>121.9568</c:v>
                </c:pt>
                <c:pt idx="142">
                  <c:v>94.197699999999998</c:v>
                </c:pt>
                <c:pt idx="143">
                  <c:v>111.1284</c:v>
                </c:pt>
                <c:pt idx="144">
                  <c:v>150.58519999999999</c:v>
                </c:pt>
                <c:pt idx="145">
                  <c:v>176.7379</c:v>
                </c:pt>
                <c:pt idx="146">
                  <c:v>103.4186</c:v>
                </c:pt>
                <c:pt idx="147">
                  <c:v>100.0902</c:v>
                </c:pt>
                <c:pt idx="148">
                  <c:v>173.5385</c:v>
                </c:pt>
                <c:pt idx="149">
                  <c:v>72.815200000000004</c:v>
                </c:pt>
                <c:pt idx="150">
                  <c:v>86.535200000000003</c:v>
                </c:pt>
                <c:pt idx="151">
                  <c:v>46.795999999999999</c:v>
                </c:pt>
                <c:pt idx="152">
                  <c:v>164.61689999999999</c:v>
                </c:pt>
                <c:pt idx="153">
                  <c:v>126.3451</c:v>
                </c:pt>
                <c:pt idx="154">
                  <c:v>91.672399999999996</c:v>
                </c:pt>
                <c:pt idx="155">
                  <c:v>73.759399999999999</c:v>
                </c:pt>
                <c:pt idx="156">
                  <c:v>162.23310000000001</c:v>
                </c:pt>
                <c:pt idx="157">
                  <c:v>105.6474</c:v>
                </c:pt>
                <c:pt idx="158">
                  <c:v>74.594499999999996</c:v>
                </c:pt>
                <c:pt idx="159">
                  <c:v>89.738299999999995</c:v>
                </c:pt>
                <c:pt idx="160">
                  <c:v>79.492400000000004</c:v>
                </c:pt>
                <c:pt idx="161">
                  <c:v>95.706299999999999</c:v>
                </c:pt>
                <c:pt idx="162">
                  <c:v>58.122500000000002</c:v>
                </c:pt>
                <c:pt idx="163">
                  <c:v>83.770700000000005</c:v>
                </c:pt>
                <c:pt idx="164">
                  <c:v>112.2568</c:v>
                </c:pt>
                <c:pt idx="165">
                  <c:v>102.7687</c:v>
                </c:pt>
                <c:pt idx="166">
                  <c:v>98.402799999999999</c:v>
                </c:pt>
                <c:pt idx="167">
                  <c:v>78.025899999999993</c:v>
                </c:pt>
                <c:pt idx="168">
                  <c:v>69.321799999999996</c:v>
                </c:pt>
                <c:pt idx="169">
                  <c:v>115.0261</c:v>
                </c:pt>
                <c:pt idx="170">
                  <c:v>94.506399999999999</c:v>
                </c:pt>
                <c:pt idx="171">
                  <c:v>59.155799999999999</c:v>
                </c:pt>
                <c:pt idx="172">
                  <c:v>122.3494</c:v>
                </c:pt>
                <c:pt idx="173">
                  <c:v>171.39189999999999</c:v>
                </c:pt>
                <c:pt idx="174">
                  <c:v>170.37039999999999</c:v>
                </c:pt>
                <c:pt idx="175">
                  <c:v>119.8445</c:v>
                </c:pt>
                <c:pt idx="176">
                  <c:v>122.67400000000001</c:v>
                </c:pt>
                <c:pt idx="177">
                  <c:v>101.0106</c:v>
                </c:pt>
                <c:pt idx="178">
                  <c:v>119.13379999999999</c:v>
                </c:pt>
                <c:pt idx="179">
                  <c:v>100.1904</c:v>
                </c:pt>
                <c:pt idx="180">
                  <c:v>85.908699999999996</c:v>
                </c:pt>
                <c:pt idx="181">
                  <c:v>117.14360000000001</c:v>
                </c:pt>
                <c:pt idx="182">
                  <c:v>94.538899999999998</c:v>
                </c:pt>
                <c:pt idx="183">
                  <c:v>151.12459999999999</c:v>
                </c:pt>
                <c:pt idx="184">
                  <c:v>120.47539999999999</c:v>
                </c:pt>
                <c:pt idx="185">
                  <c:v>159.10079999999999</c:v>
                </c:pt>
                <c:pt idx="186">
                  <c:v>265.09440000000001</c:v>
                </c:pt>
                <c:pt idx="187">
                  <c:v>121.5508</c:v>
                </c:pt>
                <c:pt idx="188">
                  <c:v>77.908799999999999</c:v>
                </c:pt>
                <c:pt idx="189">
                  <c:v>65.984300000000005</c:v>
                </c:pt>
                <c:pt idx="190">
                  <c:v>87.512200000000007</c:v>
                </c:pt>
                <c:pt idx="191">
                  <c:v>132.2373</c:v>
                </c:pt>
                <c:pt idx="192">
                  <c:v>90.617000000000004</c:v>
                </c:pt>
                <c:pt idx="193">
                  <c:v>208.1251</c:v>
                </c:pt>
                <c:pt idx="194">
                  <c:v>85.026499999999999</c:v>
                </c:pt>
                <c:pt idx="195">
                  <c:v>136.46899999999999</c:v>
                </c:pt>
                <c:pt idx="196">
                  <c:v>60.451099999999997</c:v>
                </c:pt>
                <c:pt idx="197">
                  <c:v>114.18510000000001</c:v>
                </c:pt>
                <c:pt idx="198">
                  <c:v>94.309399999999997</c:v>
                </c:pt>
                <c:pt idx="199">
                  <c:v>142.32390000000001</c:v>
                </c:pt>
                <c:pt idx="200">
                  <c:v>116.4062</c:v>
                </c:pt>
                <c:pt idx="201">
                  <c:v>102.4014</c:v>
                </c:pt>
                <c:pt idx="202">
                  <c:v>132.46639999999999</c:v>
                </c:pt>
                <c:pt idx="203">
                  <c:v>56.974699999999999</c:v>
                </c:pt>
                <c:pt idx="204">
                  <c:v>86.096400000000003</c:v>
                </c:pt>
                <c:pt idx="205">
                  <c:v>60.633699999999997</c:v>
                </c:pt>
                <c:pt idx="206">
                  <c:v>74.124099999999999</c:v>
                </c:pt>
                <c:pt idx="207">
                  <c:v>129.55959999999999</c:v>
                </c:pt>
                <c:pt idx="208">
                  <c:v>130.46190000000001</c:v>
                </c:pt>
                <c:pt idx="209">
                  <c:v>114.6331</c:v>
                </c:pt>
                <c:pt idx="210">
                  <c:v>99.716099999999997</c:v>
                </c:pt>
                <c:pt idx="211">
                  <c:v>87.985799999999998</c:v>
                </c:pt>
                <c:pt idx="212">
                  <c:v>101.9162</c:v>
                </c:pt>
                <c:pt idx="213">
                  <c:v>114.1533</c:v>
                </c:pt>
                <c:pt idx="214">
                  <c:v>131.84180000000001</c:v>
                </c:pt>
                <c:pt idx="215">
                  <c:v>141.91669999999999</c:v>
                </c:pt>
                <c:pt idx="216">
                  <c:v>131.76130000000001</c:v>
                </c:pt>
                <c:pt idx="217">
                  <c:v>103.3896</c:v>
                </c:pt>
                <c:pt idx="218">
                  <c:v>77.261499999999998</c:v>
                </c:pt>
                <c:pt idx="219">
                  <c:v>66.391999999999996</c:v>
                </c:pt>
                <c:pt idx="220">
                  <c:v>91.412700000000001</c:v>
                </c:pt>
                <c:pt idx="221">
                  <c:v>107.6609</c:v>
                </c:pt>
                <c:pt idx="222">
                  <c:v>77.252300000000005</c:v>
                </c:pt>
                <c:pt idx="223">
                  <c:v>149.19130000000001</c:v>
                </c:pt>
                <c:pt idx="224">
                  <c:v>162.578</c:v>
                </c:pt>
                <c:pt idx="225">
                  <c:v>66.200100000000006</c:v>
                </c:pt>
                <c:pt idx="226">
                  <c:v>111.2419</c:v>
                </c:pt>
                <c:pt idx="227">
                  <c:v>82.242099999999994</c:v>
                </c:pt>
                <c:pt idx="228">
                  <c:v>76.747500000000002</c:v>
                </c:pt>
                <c:pt idx="229">
                  <c:v>90.050899999999999</c:v>
                </c:pt>
                <c:pt idx="230">
                  <c:v>107.4588</c:v>
                </c:pt>
                <c:pt idx="231">
                  <c:v>113.0646</c:v>
                </c:pt>
                <c:pt idx="232">
                  <c:v>125.1439</c:v>
                </c:pt>
                <c:pt idx="233">
                  <c:v>83.866600000000005</c:v>
                </c:pt>
                <c:pt idx="234">
                  <c:v>91.8108</c:v>
                </c:pt>
                <c:pt idx="235">
                  <c:v>83.656000000000006</c:v>
                </c:pt>
                <c:pt idx="236">
                  <c:v>152.77440000000001</c:v>
                </c:pt>
                <c:pt idx="237">
                  <c:v>97.245099999999994</c:v>
                </c:pt>
                <c:pt idx="238">
                  <c:v>83.112399999999994</c:v>
                </c:pt>
                <c:pt idx="239">
                  <c:v>86.530600000000007</c:v>
                </c:pt>
                <c:pt idx="240">
                  <c:v>97.574399999999997</c:v>
                </c:pt>
                <c:pt idx="241">
                  <c:v>127.3416</c:v>
                </c:pt>
                <c:pt idx="242">
                  <c:v>116.393</c:v>
                </c:pt>
                <c:pt idx="243">
                  <c:v>246.02539999999999</c:v>
                </c:pt>
                <c:pt idx="244">
                  <c:v>161.20259999999999</c:v>
                </c:pt>
                <c:pt idx="245">
                  <c:v>125.3416</c:v>
                </c:pt>
                <c:pt idx="246">
                  <c:v>104.96429999999999</c:v>
                </c:pt>
                <c:pt idx="247">
                  <c:v>106.9524</c:v>
                </c:pt>
                <c:pt idx="248">
                  <c:v>71.837999999999994</c:v>
                </c:pt>
                <c:pt idx="249">
                  <c:v>86.149500000000003</c:v>
                </c:pt>
                <c:pt idx="250">
                  <c:v>117.1579</c:v>
                </c:pt>
                <c:pt idx="251">
                  <c:v>65.516300000000001</c:v>
                </c:pt>
                <c:pt idx="252">
                  <c:v>85.675700000000006</c:v>
                </c:pt>
                <c:pt idx="253">
                  <c:v>101.0946</c:v>
                </c:pt>
                <c:pt idx="254">
                  <c:v>55.536099999999998</c:v>
                </c:pt>
                <c:pt idx="255">
                  <c:v>146.43860000000001</c:v>
                </c:pt>
                <c:pt idx="256">
                  <c:v>62.057200000000002</c:v>
                </c:pt>
                <c:pt idx="257">
                  <c:v>96.251400000000004</c:v>
                </c:pt>
                <c:pt idx="258">
                  <c:v>95.2119</c:v>
                </c:pt>
                <c:pt idx="259">
                  <c:v>152.13980000000001</c:v>
                </c:pt>
                <c:pt idx="260">
                  <c:v>53.337699999999998</c:v>
                </c:pt>
                <c:pt idx="261">
                  <c:v>109.6246</c:v>
                </c:pt>
                <c:pt idx="262">
                  <c:v>60.131399999999999</c:v>
                </c:pt>
                <c:pt idx="263">
                  <c:v>56.418599999999998</c:v>
                </c:pt>
                <c:pt idx="264">
                  <c:v>158.59780000000001</c:v>
                </c:pt>
                <c:pt idx="265">
                  <c:v>89.887299999999996</c:v>
                </c:pt>
                <c:pt idx="266">
                  <c:v>135.78700000000001</c:v>
                </c:pt>
                <c:pt idx="267">
                  <c:v>63.603999999999999</c:v>
                </c:pt>
                <c:pt idx="268">
                  <c:v>88.569000000000003</c:v>
                </c:pt>
                <c:pt idx="269">
                  <c:v>56.111899999999999</c:v>
                </c:pt>
                <c:pt idx="270">
                  <c:v>145.67429999999999</c:v>
                </c:pt>
                <c:pt idx="271">
                  <c:v>155.22389999999999</c:v>
                </c:pt>
                <c:pt idx="272">
                  <c:v>116.0534</c:v>
                </c:pt>
                <c:pt idx="273">
                  <c:v>109.4195</c:v>
                </c:pt>
                <c:pt idx="274">
                  <c:v>143.1934</c:v>
                </c:pt>
                <c:pt idx="275">
                  <c:v>101.65170000000001</c:v>
                </c:pt>
                <c:pt idx="276">
                  <c:v>112.48739999999999</c:v>
                </c:pt>
                <c:pt idx="277">
                  <c:v>110.29810000000001</c:v>
                </c:pt>
                <c:pt idx="278">
                  <c:v>163.68340000000001</c:v>
                </c:pt>
                <c:pt idx="279">
                  <c:v>148.17779999999999</c:v>
                </c:pt>
                <c:pt idx="280">
                  <c:v>157.58799999999999</c:v>
                </c:pt>
                <c:pt idx="281">
                  <c:v>112.60550000000001</c:v>
                </c:pt>
                <c:pt idx="282">
                  <c:v>102.5133</c:v>
                </c:pt>
                <c:pt idx="283">
                  <c:v>101.36150000000001</c:v>
                </c:pt>
                <c:pt idx="284">
                  <c:v>135.01259999999999</c:v>
                </c:pt>
                <c:pt idx="285">
                  <c:v>95.639300000000006</c:v>
                </c:pt>
                <c:pt idx="286">
                  <c:v>84.845100000000002</c:v>
                </c:pt>
                <c:pt idx="287">
                  <c:v>138.0086</c:v>
                </c:pt>
                <c:pt idx="288">
                  <c:v>84.911799999999999</c:v>
                </c:pt>
                <c:pt idx="289">
                  <c:v>116.5106</c:v>
                </c:pt>
                <c:pt idx="290">
                  <c:v>83.042400000000001</c:v>
                </c:pt>
                <c:pt idx="291">
                  <c:v>111.4118</c:v>
                </c:pt>
                <c:pt idx="292">
                  <c:v>104.407</c:v>
                </c:pt>
                <c:pt idx="293">
                  <c:v>94.292900000000003</c:v>
                </c:pt>
                <c:pt idx="294">
                  <c:v>139.8425</c:v>
                </c:pt>
                <c:pt idx="295">
                  <c:v>119.97110000000001</c:v>
                </c:pt>
                <c:pt idx="296">
                  <c:v>87.153099999999995</c:v>
                </c:pt>
                <c:pt idx="297">
                  <c:v>82.180199999999999</c:v>
                </c:pt>
                <c:pt idx="298">
                  <c:v>117.0839</c:v>
                </c:pt>
                <c:pt idx="299">
                  <c:v>135.30520000000001</c:v>
                </c:pt>
                <c:pt idx="300">
                  <c:v>123.1418</c:v>
                </c:pt>
                <c:pt idx="301">
                  <c:v>86.045500000000004</c:v>
                </c:pt>
                <c:pt idx="302">
                  <c:v>122.1885</c:v>
                </c:pt>
                <c:pt idx="303">
                  <c:v>122.509</c:v>
                </c:pt>
                <c:pt idx="304">
                  <c:v>114.3015</c:v>
                </c:pt>
                <c:pt idx="305">
                  <c:v>143.53460000000001</c:v>
                </c:pt>
                <c:pt idx="306">
                  <c:v>93.361699999999999</c:v>
                </c:pt>
                <c:pt idx="307">
                  <c:v>91.475800000000007</c:v>
                </c:pt>
                <c:pt idx="308">
                  <c:v>153.76759999999999</c:v>
                </c:pt>
                <c:pt idx="309">
                  <c:v>104.3737</c:v>
                </c:pt>
                <c:pt idx="310">
                  <c:v>128.2251</c:v>
                </c:pt>
                <c:pt idx="311">
                  <c:v>98.814099999999996</c:v>
                </c:pt>
                <c:pt idx="312">
                  <c:v>80.437100000000001</c:v>
                </c:pt>
                <c:pt idx="313">
                  <c:v>64.912199999999999</c:v>
                </c:pt>
                <c:pt idx="314">
                  <c:v>74.786900000000003</c:v>
                </c:pt>
                <c:pt idx="315">
                  <c:v>110.11790000000001</c:v>
                </c:pt>
                <c:pt idx="316">
                  <c:v>153.2457</c:v>
                </c:pt>
                <c:pt idx="317">
                  <c:v>142.87379999999999</c:v>
                </c:pt>
                <c:pt idx="318">
                  <c:v>74.887799999999999</c:v>
                </c:pt>
                <c:pt idx="319">
                  <c:v>114.8681</c:v>
                </c:pt>
                <c:pt idx="320">
                  <c:v>133.28389999999999</c:v>
                </c:pt>
                <c:pt idx="321">
                  <c:v>79.561999999999998</c:v>
                </c:pt>
                <c:pt idx="322">
                  <c:v>109.12309999999999</c:v>
                </c:pt>
                <c:pt idx="323">
                  <c:v>105.7889</c:v>
                </c:pt>
                <c:pt idx="324">
                  <c:v>78.856999999999999</c:v>
                </c:pt>
                <c:pt idx="325">
                  <c:v>56.231900000000003</c:v>
                </c:pt>
                <c:pt idx="326">
                  <c:v>91.677000000000007</c:v>
                </c:pt>
                <c:pt idx="327">
                  <c:v>131.94470000000001</c:v>
                </c:pt>
                <c:pt idx="328">
                  <c:v>130.89930000000001</c:v>
                </c:pt>
                <c:pt idx="329">
                  <c:v>87.643799999999999</c:v>
                </c:pt>
                <c:pt idx="330">
                  <c:v>112.6405</c:v>
                </c:pt>
                <c:pt idx="331">
                  <c:v>90.582300000000004</c:v>
                </c:pt>
                <c:pt idx="332">
                  <c:v>205.8888</c:v>
                </c:pt>
                <c:pt idx="333">
                  <c:v>112.3738</c:v>
                </c:pt>
                <c:pt idx="334">
                  <c:v>69.706000000000003</c:v>
                </c:pt>
                <c:pt idx="335">
                  <c:v>109.84690000000001</c:v>
                </c:pt>
                <c:pt idx="336">
                  <c:v>94.085700000000003</c:v>
                </c:pt>
                <c:pt idx="337">
                  <c:v>121.2799</c:v>
                </c:pt>
                <c:pt idx="338">
                  <c:v>112.3951</c:v>
                </c:pt>
                <c:pt idx="339">
                  <c:v>134.91839999999999</c:v>
                </c:pt>
                <c:pt idx="340">
                  <c:v>106.9224</c:v>
                </c:pt>
                <c:pt idx="341">
                  <c:v>99.383899999999997</c:v>
                </c:pt>
                <c:pt idx="342">
                  <c:v>85.545000000000002</c:v>
                </c:pt>
                <c:pt idx="343">
                  <c:v>55.021999999999998</c:v>
                </c:pt>
                <c:pt idx="344">
                  <c:v>161.97489999999999</c:v>
                </c:pt>
                <c:pt idx="345">
                  <c:v>104.3693</c:v>
                </c:pt>
                <c:pt idx="346">
                  <c:v>135.1814</c:v>
                </c:pt>
                <c:pt idx="347">
                  <c:v>94.778199999999998</c:v>
                </c:pt>
                <c:pt idx="348">
                  <c:v>83.244399999999999</c:v>
                </c:pt>
                <c:pt idx="349">
                  <c:v>133.05609999999999</c:v>
                </c:pt>
                <c:pt idx="350">
                  <c:v>87.396199999999993</c:v>
                </c:pt>
                <c:pt idx="351">
                  <c:v>69.222399999999993</c:v>
                </c:pt>
                <c:pt idx="352">
                  <c:v>135.458</c:v>
                </c:pt>
                <c:pt idx="353">
                  <c:v>112.7269</c:v>
                </c:pt>
                <c:pt idx="354">
                  <c:v>61.308900000000001</c:v>
                </c:pt>
                <c:pt idx="355">
                  <c:v>105.42919999999999</c:v>
                </c:pt>
                <c:pt idx="356">
                  <c:v>107.9504</c:v>
                </c:pt>
                <c:pt idx="357">
                  <c:v>59.501199999999997</c:v>
                </c:pt>
                <c:pt idx="358">
                  <c:v>78.925899999999999</c:v>
                </c:pt>
                <c:pt idx="359">
                  <c:v>117.1045</c:v>
                </c:pt>
                <c:pt idx="360">
                  <c:v>107.6294</c:v>
                </c:pt>
                <c:pt idx="361">
                  <c:v>70.752600000000001</c:v>
                </c:pt>
                <c:pt idx="362">
                  <c:v>125.8309</c:v>
                </c:pt>
                <c:pt idx="363">
                  <c:v>79.943600000000004</c:v>
                </c:pt>
                <c:pt idx="364">
                  <c:v>90.574100000000001</c:v>
                </c:pt>
                <c:pt idx="365">
                  <c:v>75.938100000000006</c:v>
                </c:pt>
                <c:pt idx="366">
                  <c:v>145.6645</c:v>
                </c:pt>
                <c:pt idx="367">
                  <c:v>112.5209</c:v>
                </c:pt>
                <c:pt idx="368">
                  <c:v>99.545900000000003</c:v>
                </c:pt>
                <c:pt idx="369">
                  <c:v>104.7259</c:v>
                </c:pt>
                <c:pt idx="370">
                  <c:v>109.3385</c:v>
                </c:pt>
                <c:pt idx="371">
                  <c:v>77.424400000000006</c:v>
                </c:pt>
                <c:pt idx="372">
                  <c:v>70.084800000000001</c:v>
                </c:pt>
                <c:pt idx="373">
                  <c:v>75.139799999999994</c:v>
                </c:pt>
                <c:pt idx="374">
                  <c:v>114.6998</c:v>
                </c:pt>
                <c:pt idx="375">
                  <c:v>144.33529999999999</c:v>
                </c:pt>
                <c:pt idx="376">
                  <c:v>85.232399999999998</c:v>
                </c:pt>
                <c:pt idx="377">
                  <c:v>95.464299999999994</c:v>
                </c:pt>
                <c:pt idx="378">
                  <c:v>41.354100000000003</c:v>
                </c:pt>
                <c:pt idx="379">
                  <c:v>178.2011</c:v>
                </c:pt>
                <c:pt idx="380">
                  <c:v>101.3026</c:v>
                </c:pt>
                <c:pt idx="381">
                  <c:v>75.654600000000002</c:v>
                </c:pt>
                <c:pt idx="382">
                  <c:v>92.119399999999999</c:v>
                </c:pt>
                <c:pt idx="383">
                  <c:v>61.16</c:v>
                </c:pt>
                <c:pt idx="384">
                  <c:v>95.111099999999993</c:v>
                </c:pt>
                <c:pt idx="385">
                  <c:v>68.944100000000006</c:v>
                </c:pt>
                <c:pt idx="386">
                  <c:v>127.1357</c:v>
                </c:pt>
                <c:pt idx="387">
                  <c:v>131.55170000000001</c:v>
                </c:pt>
                <c:pt idx="388">
                  <c:v>75.577799999999996</c:v>
                </c:pt>
                <c:pt idx="389">
                  <c:v>102.8185</c:v>
                </c:pt>
                <c:pt idx="390">
                  <c:v>99.811300000000003</c:v>
                </c:pt>
                <c:pt idx="391">
                  <c:v>115.879</c:v>
                </c:pt>
                <c:pt idx="392">
                  <c:v>90.827600000000004</c:v>
                </c:pt>
                <c:pt idx="393">
                  <c:v>58.878999999999998</c:v>
                </c:pt>
                <c:pt idx="394">
                  <c:v>149.7587</c:v>
                </c:pt>
                <c:pt idx="395">
                  <c:v>109.9436</c:v>
                </c:pt>
                <c:pt idx="396">
                  <c:v>135.88999999999999</c:v>
                </c:pt>
                <c:pt idx="397">
                  <c:v>116.441</c:v>
                </c:pt>
                <c:pt idx="398">
                  <c:v>115.86969999999999</c:v>
                </c:pt>
                <c:pt idx="399">
                  <c:v>214.19759999999999</c:v>
                </c:pt>
                <c:pt idx="400">
                  <c:v>130.18049999999999</c:v>
                </c:pt>
                <c:pt idx="401">
                  <c:v>105.65770000000001</c:v>
                </c:pt>
                <c:pt idx="402">
                  <c:v>113.5343</c:v>
                </c:pt>
                <c:pt idx="403">
                  <c:v>102.5549</c:v>
                </c:pt>
                <c:pt idx="404">
                  <c:v>96.732399999999998</c:v>
                </c:pt>
                <c:pt idx="405">
                  <c:v>136.35769999999999</c:v>
                </c:pt>
                <c:pt idx="406">
                  <c:v>75.998500000000007</c:v>
                </c:pt>
                <c:pt idx="407">
                  <c:v>134.8663</c:v>
                </c:pt>
                <c:pt idx="408">
                  <c:v>91.533900000000003</c:v>
                </c:pt>
                <c:pt idx="409">
                  <c:v>87.945099999999996</c:v>
                </c:pt>
                <c:pt idx="410">
                  <c:v>114.7466</c:v>
                </c:pt>
                <c:pt idx="411">
                  <c:v>110.3578</c:v>
                </c:pt>
                <c:pt idx="412">
                  <c:v>131.04839999999999</c:v>
                </c:pt>
                <c:pt idx="413">
                  <c:v>82.727699999999999</c:v>
                </c:pt>
                <c:pt idx="414">
                  <c:v>117.1344</c:v>
                </c:pt>
                <c:pt idx="415">
                  <c:v>99.602800000000002</c:v>
                </c:pt>
                <c:pt idx="416">
                  <c:v>75.514200000000002</c:v>
                </c:pt>
                <c:pt idx="417">
                  <c:v>101.1529</c:v>
                </c:pt>
                <c:pt idx="418">
                  <c:v>93.6798</c:v>
                </c:pt>
                <c:pt idx="419">
                  <c:v>129.4023</c:v>
                </c:pt>
                <c:pt idx="420">
                  <c:v>148.20840000000001</c:v>
                </c:pt>
                <c:pt idx="421">
                  <c:v>89.995800000000003</c:v>
                </c:pt>
                <c:pt idx="422">
                  <c:v>87.162599999999998</c:v>
                </c:pt>
                <c:pt idx="423">
                  <c:v>99.954599999999999</c:v>
                </c:pt>
                <c:pt idx="424">
                  <c:v>78.615600000000001</c:v>
                </c:pt>
                <c:pt idx="425">
                  <c:v>92.656099999999995</c:v>
                </c:pt>
                <c:pt idx="426">
                  <c:v>73.304599999999994</c:v>
                </c:pt>
                <c:pt idx="427">
                  <c:v>116.8287</c:v>
                </c:pt>
                <c:pt idx="428">
                  <c:v>86.055000000000007</c:v>
                </c:pt>
                <c:pt idx="429">
                  <c:v>117.8583</c:v>
                </c:pt>
                <c:pt idx="430">
                  <c:v>116.04300000000001</c:v>
                </c:pt>
                <c:pt idx="431">
                  <c:v>92.786699999999996</c:v>
                </c:pt>
                <c:pt idx="432">
                  <c:v>66.250200000000007</c:v>
                </c:pt>
                <c:pt idx="433">
                  <c:v>92.874600000000001</c:v>
                </c:pt>
                <c:pt idx="434">
                  <c:v>89.653700000000001</c:v>
                </c:pt>
                <c:pt idx="435">
                  <c:v>92.014300000000006</c:v>
                </c:pt>
                <c:pt idx="436">
                  <c:v>161.63249999999999</c:v>
                </c:pt>
                <c:pt idx="437">
                  <c:v>129.9281</c:v>
                </c:pt>
                <c:pt idx="438">
                  <c:v>82.097999999999999</c:v>
                </c:pt>
                <c:pt idx="439">
                  <c:v>47.0411</c:v>
                </c:pt>
                <c:pt idx="440">
                  <c:v>96.836500000000001</c:v>
                </c:pt>
                <c:pt idx="441">
                  <c:v>159.76750000000001</c:v>
                </c:pt>
                <c:pt idx="442">
                  <c:v>140.96350000000001</c:v>
                </c:pt>
                <c:pt idx="443">
                  <c:v>130.3323</c:v>
                </c:pt>
                <c:pt idx="444">
                  <c:v>83.508099999999999</c:v>
                </c:pt>
                <c:pt idx="445">
                  <c:v>116.6906</c:v>
                </c:pt>
                <c:pt idx="446">
                  <c:v>152.11859999999999</c:v>
                </c:pt>
                <c:pt idx="447">
                  <c:v>126.2373</c:v>
                </c:pt>
                <c:pt idx="448">
                  <c:v>174.364</c:v>
                </c:pt>
                <c:pt idx="449">
                  <c:v>107.6619</c:v>
                </c:pt>
                <c:pt idx="450">
                  <c:v>71.471299999999999</c:v>
                </c:pt>
                <c:pt idx="451">
                  <c:v>94.062399999999997</c:v>
                </c:pt>
                <c:pt idx="452">
                  <c:v>87.241100000000003</c:v>
                </c:pt>
                <c:pt idx="453">
                  <c:v>109.6052</c:v>
                </c:pt>
                <c:pt idx="454">
                  <c:v>62.767499999999998</c:v>
                </c:pt>
                <c:pt idx="455">
                  <c:v>105.3507</c:v>
                </c:pt>
                <c:pt idx="456">
                  <c:v>67.0334</c:v>
                </c:pt>
                <c:pt idx="457">
                  <c:v>91.011600000000001</c:v>
                </c:pt>
                <c:pt idx="458">
                  <c:v>165.1576</c:v>
                </c:pt>
                <c:pt idx="459">
                  <c:v>128.99780000000001</c:v>
                </c:pt>
                <c:pt idx="460">
                  <c:v>54.862499999999997</c:v>
                </c:pt>
                <c:pt idx="461">
                  <c:v>101.7111</c:v>
                </c:pt>
                <c:pt idx="462">
                  <c:v>111.1281</c:v>
                </c:pt>
                <c:pt idx="463">
                  <c:v>112.4585</c:v>
                </c:pt>
                <c:pt idx="464">
                  <c:v>66.281099999999995</c:v>
                </c:pt>
                <c:pt idx="465">
                  <c:v>94.476799999999997</c:v>
                </c:pt>
                <c:pt idx="466">
                  <c:v>83.047799999999995</c:v>
                </c:pt>
                <c:pt idx="467">
                  <c:v>63.618400000000001</c:v>
                </c:pt>
                <c:pt idx="468">
                  <c:v>61.383800000000001</c:v>
                </c:pt>
                <c:pt idx="469">
                  <c:v>106.0067</c:v>
                </c:pt>
                <c:pt idx="470">
                  <c:v>79.531800000000004</c:v>
                </c:pt>
                <c:pt idx="471">
                  <c:v>91.229600000000005</c:v>
                </c:pt>
                <c:pt idx="472">
                  <c:v>145.64670000000001</c:v>
                </c:pt>
                <c:pt idx="473">
                  <c:v>96.180700000000002</c:v>
                </c:pt>
                <c:pt idx="474">
                  <c:v>114.14530000000001</c:v>
                </c:pt>
                <c:pt idx="475">
                  <c:v>59.070300000000003</c:v>
                </c:pt>
                <c:pt idx="476">
                  <c:v>121.16549999999999</c:v>
                </c:pt>
                <c:pt idx="477">
                  <c:v>111.54600000000001</c:v>
                </c:pt>
                <c:pt idx="478">
                  <c:v>61.0747</c:v>
                </c:pt>
                <c:pt idx="479">
                  <c:v>45.893999999999998</c:v>
                </c:pt>
                <c:pt idx="480">
                  <c:v>80.771900000000002</c:v>
                </c:pt>
                <c:pt idx="481">
                  <c:v>154.28210000000001</c:v>
                </c:pt>
                <c:pt idx="482">
                  <c:v>93.133700000000005</c:v>
                </c:pt>
                <c:pt idx="483">
                  <c:v>143.12809999999999</c:v>
                </c:pt>
                <c:pt idx="484">
                  <c:v>112.14570000000001</c:v>
                </c:pt>
                <c:pt idx="485">
                  <c:v>141.44479999999999</c:v>
                </c:pt>
                <c:pt idx="486">
                  <c:v>95.473399999999998</c:v>
                </c:pt>
                <c:pt idx="487">
                  <c:v>145.18430000000001</c:v>
                </c:pt>
                <c:pt idx="488">
                  <c:v>161.17060000000001</c:v>
                </c:pt>
                <c:pt idx="489">
                  <c:v>143.4538</c:v>
                </c:pt>
                <c:pt idx="490">
                  <c:v>102.8185</c:v>
                </c:pt>
                <c:pt idx="491">
                  <c:v>123.1238</c:v>
                </c:pt>
                <c:pt idx="492">
                  <c:v>201.03149999999999</c:v>
                </c:pt>
                <c:pt idx="493">
                  <c:v>66.030199999999994</c:v>
                </c:pt>
                <c:pt idx="494">
                  <c:v>113.6635</c:v>
                </c:pt>
                <c:pt idx="495">
                  <c:v>108.1057</c:v>
                </c:pt>
                <c:pt idx="496">
                  <c:v>114.8205</c:v>
                </c:pt>
                <c:pt idx="497">
                  <c:v>117.648</c:v>
                </c:pt>
                <c:pt idx="498">
                  <c:v>119.8623</c:v>
                </c:pt>
                <c:pt idx="499">
                  <c:v>109.74379999999999</c:v>
                </c:pt>
                <c:pt idx="500">
                  <c:v>105.6507</c:v>
                </c:pt>
                <c:pt idx="501">
                  <c:v>114.2886</c:v>
                </c:pt>
                <c:pt idx="502">
                  <c:v>159.32050000000001</c:v>
                </c:pt>
                <c:pt idx="503">
                  <c:v>96.095500000000001</c:v>
                </c:pt>
                <c:pt idx="504">
                  <c:v>164.87870000000001</c:v>
                </c:pt>
                <c:pt idx="505">
                  <c:v>61.762099999999997</c:v>
                </c:pt>
                <c:pt idx="506">
                  <c:v>118.2516</c:v>
                </c:pt>
                <c:pt idx="507">
                  <c:v>88.468999999999994</c:v>
                </c:pt>
                <c:pt idx="508">
                  <c:v>114.3907</c:v>
                </c:pt>
                <c:pt idx="509">
                  <c:v>91.828299999999999</c:v>
                </c:pt>
                <c:pt idx="510">
                  <c:v>102.3527</c:v>
                </c:pt>
                <c:pt idx="511">
                  <c:v>47.548200000000001</c:v>
                </c:pt>
                <c:pt idx="512">
                  <c:v>108.72239999999999</c:v>
                </c:pt>
                <c:pt idx="513">
                  <c:v>203.68100000000001</c:v>
                </c:pt>
                <c:pt idx="514">
                  <c:v>71.655000000000001</c:v>
                </c:pt>
                <c:pt idx="515">
                  <c:v>79.343500000000006</c:v>
                </c:pt>
                <c:pt idx="516">
                  <c:v>95.578800000000001</c:v>
                </c:pt>
                <c:pt idx="517">
                  <c:v>122.29430000000001</c:v>
                </c:pt>
                <c:pt idx="518">
                  <c:v>87.575900000000004</c:v>
                </c:pt>
                <c:pt idx="519">
                  <c:v>80.8553</c:v>
                </c:pt>
                <c:pt idx="520">
                  <c:v>108.75109999999999</c:v>
                </c:pt>
                <c:pt idx="521">
                  <c:v>191.6207</c:v>
                </c:pt>
                <c:pt idx="522">
                  <c:v>138.53149999999999</c:v>
                </c:pt>
                <c:pt idx="523">
                  <c:v>111.1794</c:v>
                </c:pt>
                <c:pt idx="524">
                  <c:v>112.3248</c:v>
                </c:pt>
                <c:pt idx="525">
                  <c:v>74.131</c:v>
                </c:pt>
                <c:pt idx="526">
                  <c:v>112.0318</c:v>
                </c:pt>
                <c:pt idx="527">
                  <c:v>58.604599999999998</c:v>
                </c:pt>
                <c:pt idx="528">
                  <c:v>84.499099999999999</c:v>
                </c:pt>
                <c:pt idx="529">
                  <c:v>93.023700000000005</c:v>
                </c:pt>
                <c:pt idx="530">
                  <c:v>92.227099999999993</c:v>
                </c:pt>
                <c:pt idx="531">
                  <c:v>116.3535</c:v>
                </c:pt>
                <c:pt idx="532">
                  <c:v>154.52869999999999</c:v>
                </c:pt>
                <c:pt idx="533">
                  <c:v>163.21190000000001</c:v>
                </c:pt>
                <c:pt idx="534">
                  <c:v>87.363399999999999</c:v>
                </c:pt>
                <c:pt idx="535">
                  <c:v>79.082899999999995</c:v>
                </c:pt>
                <c:pt idx="536">
                  <c:v>85.652600000000007</c:v>
                </c:pt>
                <c:pt idx="537">
                  <c:v>93.184899999999999</c:v>
                </c:pt>
                <c:pt idx="538">
                  <c:v>121.5493</c:v>
                </c:pt>
                <c:pt idx="539">
                  <c:v>132.5821</c:v>
                </c:pt>
                <c:pt idx="540">
                  <c:v>145.1335</c:v>
                </c:pt>
                <c:pt idx="541">
                  <c:v>99.010900000000007</c:v>
                </c:pt>
                <c:pt idx="542">
                  <c:v>111.23990000000001</c:v>
                </c:pt>
                <c:pt idx="543">
                  <c:v>101.7471</c:v>
                </c:pt>
                <c:pt idx="544">
                  <c:v>101.2807</c:v>
                </c:pt>
                <c:pt idx="545">
                  <c:v>102.6601</c:v>
                </c:pt>
                <c:pt idx="546">
                  <c:v>86.825199999999995</c:v>
                </c:pt>
                <c:pt idx="547">
                  <c:v>59.6175</c:v>
                </c:pt>
                <c:pt idx="548">
                  <c:v>114.9726</c:v>
                </c:pt>
                <c:pt idx="549">
                  <c:v>99.990899999999996</c:v>
                </c:pt>
                <c:pt idx="550">
                  <c:v>105.30500000000001</c:v>
                </c:pt>
                <c:pt idx="551">
                  <c:v>129.21369999999999</c:v>
                </c:pt>
                <c:pt idx="552">
                  <c:v>128.37860000000001</c:v>
                </c:pt>
                <c:pt idx="553">
                  <c:v>126.22239999999999</c:v>
                </c:pt>
                <c:pt idx="554">
                  <c:v>90.189700000000002</c:v>
                </c:pt>
                <c:pt idx="555">
                  <c:v>62.419400000000003</c:v>
                </c:pt>
                <c:pt idx="556">
                  <c:v>136.6216</c:v>
                </c:pt>
                <c:pt idx="557">
                  <c:v>81.126199999999997</c:v>
                </c:pt>
                <c:pt idx="558">
                  <c:v>110.54949999999999</c:v>
                </c:pt>
                <c:pt idx="559">
                  <c:v>58.826300000000003</c:v>
                </c:pt>
                <c:pt idx="560">
                  <c:v>81.6374</c:v>
                </c:pt>
                <c:pt idx="561">
                  <c:v>108.17570000000001</c:v>
                </c:pt>
                <c:pt idx="562">
                  <c:v>139.1087</c:v>
                </c:pt>
                <c:pt idx="563">
                  <c:v>95.339200000000005</c:v>
                </c:pt>
                <c:pt idx="564">
                  <c:v>101.20050000000001</c:v>
                </c:pt>
                <c:pt idx="565">
                  <c:v>161.2972</c:v>
                </c:pt>
                <c:pt idx="566">
                  <c:v>64.066199999999995</c:v>
                </c:pt>
                <c:pt idx="567">
                  <c:v>113.8597</c:v>
                </c:pt>
                <c:pt idx="568">
                  <c:v>85.750799999999998</c:v>
                </c:pt>
                <c:pt idx="569">
                  <c:v>112.2033</c:v>
                </c:pt>
                <c:pt idx="570">
                  <c:v>135.15639999999999</c:v>
                </c:pt>
                <c:pt idx="571">
                  <c:v>169.0017</c:v>
                </c:pt>
                <c:pt idx="572">
                  <c:v>104.3094</c:v>
                </c:pt>
                <c:pt idx="573">
                  <c:v>170.5478</c:v>
                </c:pt>
                <c:pt idx="574">
                  <c:v>82.668999999999997</c:v>
                </c:pt>
                <c:pt idx="575">
                  <c:v>79.039699999999996</c:v>
                </c:pt>
                <c:pt idx="576">
                  <c:v>116.92319999999999</c:v>
                </c:pt>
                <c:pt idx="577">
                  <c:v>87.720399999999998</c:v>
                </c:pt>
                <c:pt idx="578">
                  <c:v>73.321600000000004</c:v>
                </c:pt>
                <c:pt idx="579">
                  <c:v>92.524000000000001</c:v>
                </c:pt>
                <c:pt idx="580">
                  <c:v>97.430700000000002</c:v>
                </c:pt>
                <c:pt idx="581">
                  <c:v>81.933999999999997</c:v>
                </c:pt>
                <c:pt idx="582">
                  <c:v>91.611900000000006</c:v>
                </c:pt>
                <c:pt idx="583">
                  <c:v>98.803600000000003</c:v>
                </c:pt>
                <c:pt idx="584">
                  <c:v>110.5228</c:v>
                </c:pt>
                <c:pt idx="585">
                  <c:v>118.62390000000001</c:v>
                </c:pt>
                <c:pt idx="586">
                  <c:v>98.317499999999995</c:v>
                </c:pt>
                <c:pt idx="587">
                  <c:v>127.53449999999999</c:v>
                </c:pt>
                <c:pt idx="588">
                  <c:v>85.045400000000001</c:v>
                </c:pt>
                <c:pt idx="589">
                  <c:v>78.228800000000007</c:v>
                </c:pt>
                <c:pt idx="590">
                  <c:v>75.584299999999999</c:v>
                </c:pt>
                <c:pt idx="591">
                  <c:v>103.2791</c:v>
                </c:pt>
                <c:pt idx="592">
                  <c:v>87.120199999999997</c:v>
                </c:pt>
                <c:pt idx="593">
                  <c:v>120.364</c:v>
                </c:pt>
                <c:pt idx="594">
                  <c:v>119.0444</c:v>
                </c:pt>
                <c:pt idx="595">
                  <c:v>110.4853</c:v>
                </c:pt>
                <c:pt idx="596">
                  <c:v>79.362799999999993</c:v>
                </c:pt>
                <c:pt idx="597">
                  <c:v>120.07510000000001</c:v>
                </c:pt>
                <c:pt idx="598">
                  <c:v>79.142300000000006</c:v>
                </c:pt>
                <c:pt idx="599">
                  <c:v>117.0762</c:v>
                </c:pt>
                <c:pt idx="600">
                  <c:v>122.4935</c:v>
                </c:pt>
                <c:pt idx="601">
                  <c:v>142.91030000000001</c:v>
                </c:pt>
                <c:pt idx="602">
                  <c:v>102.0822</c:v>
                </c:pt>
                <c:pt idx="603">
                  <c:v>128.1259</c:v>
                </c:pt>
                <c:pt idx="604">
                  <c:v>125.52330000000001</c:v>
                </c:pt>
                <c:pt idx="605">
                  <c:v>114.29900000000001</c:v>
                </c:pt>
                <c:pt idx="606">
                  <c:v>80.891000000000005</c:v>
                </c:pt>
                <c:pt idx="607">
                  <c:v>71.869500000000002</c:v>
                </c:pt>
                <c:pt idx="608">
                  <c:v>99.582499999999996</c:v>
                </c:pt>
                <c:pt idx="609">
                  <c:v>100.0843</c:v>
                </c:pt>
                <c:pt idx="610">
                  <c:v>94.786000000000001</c:v>
                </c:pt>
                <c:pt idx="611">
                  <c:v>79.140100000000004</c:v>
                </c:pt>
                <c:pt idx="612">
                  <c:v>75.344399999999993</c:v>
                </c:pt>
                <c:pt idx="613">
                  <c:v>117.5245</c:v>
                </c:pt>
                <c:pt idx="614">
                  <c:v>84.951499999999996</c:v>
                </c:pt>
                <c:pt idx="615">
                  <c:v>88.371700000000004</c:v>
                </c:pt>
                <c:pt idx="616">
                  <c:v>50.033299999999997</c:v>
                </c:pt>
                <c:pt idx="617">
                  <c:v>180.58750000000001</c:v>
                </c:pt>
                <c:pt idx="618">
                  <c:v>97.345600000000005</c:v>
                </c:pt>
                <c:pt idx="619">
                  <c:v>135.04089999999999</c:v>
                </c:pt>
                <c:pt idx="620">
                  <c:v>115.6392</c:v>
                </c:pt>
                <c:pt idx="621">
                  <c:v>70.229200000000006</c:v>
                </c:pt>
                <c:pt idx="622">
                  <c:v>123.5125</c:v>
                </c:pt>
                <c:pt idx="623">
                  <c:v>125.2261</c:v>
                </c:pt>
                <c:pt idx="624">
                  <c:v>81.516800000000003</c:v>
                </c:pt>
                <c:pt idx="625">
                  <c:v>81.927000000000007</c:v>
                </c:pt>
                <c:pt idx="626">
                  <c:v>142.6686</c:v>
                </c:pt>
                <c:pt idx="627">
                  <c:v>144.10290000000001</c:v>
                </c:pt>
                <c:pt idx="628">
                  <c:v>103.8651</c:v>
                </c:pt>
                <c:pt idx="629">
                  <c:v>82.376099999999994</c:v>
                </c:pt>
                <c:pt idx="630">
                  <c:v>95.211500000000001</c:v>
                </c:pt>
                <c:pt idx="631">
                  <c:v>103.7632</c:v>
                </c:pt>
                <c:pt idx="632">
                  <c:v>124.02070000000001</c:v>
                </c:pt>
                <c:pt idx="633">
                  <c:v>83.809899999999999</c:v>
                </c:pt>
                <c:pt idx="634">
                  <c:v>92.068299999999994</c:v>
                </c:pt>
                <c:pt idx="635">
                  <c:v>71.788200000000003</c:v>
                </c:pt>
                <c:pt idx="636">
                  <c:v>94.720799999999997</c:v>
                </c:pt>
                <c:pt idx="637">
                  <c:v>114.7403</c:v>
                </c:pt>
                <c:pt idx="638">
                  <c:v>96.378699999999995</c:v>
                </c:pt>
                <c:pt idx="639">
                  <c:v>62.339100000000002</c:v>
                </c:pt>
                <c:pt idx="640">
                  <c:v>71.122399999999999</c:v>
                </c:pt>
                <c:pt idx="641">
                  <c:v>76.830699999999993</c:v>
                </c:pt>
                <c:pt idx="642">
                  <c:v>92.278199999999998</c:v>
                </c:pt>
                <c:pt idx="643">
                  <c:v>78.293899999999994</c:v>
                </c:pt>
                <c:pt idx="644">
                  <c:v>95.432900000000004</c:v>
                </c:pt>
                <c:pt idx="645">
                  <c:v>76.5809</c:v>
                </c:pt>
                <c:pt idx="646">
                  <c:v>93.646299999999997</c:v>
                </c:pt>
                <c:pt idx="647">
                  <c:v>140.18170000000001</c:v>
                </c:pt>
                <c:pt idx="648">
                  <c:v>122.0303</c:v>
                </c:pt>
                <c:pt idx="649">
                  <c:v>78.364599999999996</c:v>
                </c:pt>
                <c:pt idx="650">
                  <c:v>80.3703</c:v>
                </c:pt>
                <c:pt idx="651">
                  <c:v>50.823700000000002</c:v>
                </c:pt>
                <c:pt idx="652">
                  <c:v>119.71510000000001</c:v>
                </c:pt>
                <c:pt idx="653">
                  <c:v>61.861199999999997</c:v>
                </c:pt>
                <c:pt idx="654">
                  <c:v>115.8369</c:v>
                </c:pt>
                <c:pt idx="655">
                  <c:v>70.441599999999994</c:v>
                </c:pt>
                <c:pt idx="656">
                  <c:v>98.834800000000001</c:v>
                </c:pt>
                <c:pt idx="657">
                  <c:v>101.2794</c:v>
                </c:pt>
                <c:pt idx="658">
                  <c:v>78.740600000000001</c:v>
                </c:pt>
                <c:pt idx="659">
                  <c:v>58.726999999999997</c:v>
                </c:pt>
                <c:pt idx="660">
                  <c:v>104.7804</c:v>
                </c:pt>
                <c:pt idx="661">
                  <c:v>88.7821</c:v>
                </c:pt>
                <c:pt idx="662">
                  <c:v>92.102999999999994</c:v>
                </c:pt>
                <c:pt idx="663">
                  <c:v>79.633799999999994</c:v>
                </c:pt>
                <c:pt idx="664">
                  <c:v>100.4639</c:v>
                </c:pt>
                <c:pt idx="665">
                  <c:v>99.824100000000001</c:v>
                </c:pt>
                <c:pt idx="666">
                  <c:v>87.09</c:v>
                </c:pt>
                <c:pt idx="667">
                  <c:v>85.426599999999993</c:v>
                </c:pt>
                <c:pt idx="668">
                  <c:v>137.2217</c:v>
                </c:pt>
                <c:pt idx="669">
                  <c:v>79.508499999999998</c:v>
                </c:pt>
                <c:pt idx="670">
                  <c:v>108.5885</c:v>
                </c:pt>
                <c:pt idx="671">
                  <c:v>171.09829999999999</c:v>
                </c:pt>
                <c:pt idx="672">
                  <c:v>86.462900000000005</c:v>
                </c:pt>
                <c:pt idx="673">
                  <c:v>54.805700000000002</c:v>
                </c:pt>
                <c:pt idx="674">
                  <c:v>117.1671</c:v>
                </c:pt>
                <c:pt idx="675">
                  <c:v>102.5354</c:v>
                </c:pt>
                <c:pt idx="676">
                  <c:v>80.681600000000003</c:v>
                </c:pt>
                <c:pt idx="677">
                  <c:v>75.211799999999997</c:v>
                </c:pt>
                <c:pt idx="678">
                  <c:v>82.186199999999999</c:v>
                </c:pt>
                <c:pt idx="679">
                  <c:v>151.8098</c:v>
                </c:pt>
                <c:pt idx="680">
                  <c:v>86.729600000000005</c:v>
                </c:pt>
                <c:pt idx="681">
                  <c:v>73.231200000000001</c:v>
                </c:pt>
                <c:pt idx="682">
                  <c:v>117.29730000000001</c:v>
                </c:pt>
                <c:pt idx="683">
                  <c:v>126.517</c:v>
                </c:pt>
                <c:pt idx="684">
                  <c:v>102.3391</c:v>
                </c:pt>
                <c:pt idx="685">
                  <c:v>129.29650000000001</c:v>
                </c:pt>
                <c:pt idx="686">
                  <c:v>84.292199999999994</c:v>
                </c:pt>
                <c:pt idx="687">
                  <c:v>60.221400000000003</c:v>
                </c:pt>
                <c:pt idx="688">
                  <c:v>70.905199999999994</c:v>
                </c:pt>
                <c:pt idx="689">
                  <c:v>94.670900000000003</c:v>
                </c:pt>
                <c:pt idx="690">
                  <c:v>69.695899999999995</c:v>
                </c:pt>
                <c:pt idx="691">
                  <c:v>116.2946</c:v>
                </c:pt>
                <c:pt idx="692">
                  <c:v>40.703600000000002</c:v>
                </c:pt>
                <c:pt idx="693">
                  <c:v>88.372399999999999</c:v>
                </c:pt>
                <c:pt idx="694">
                  <c:v>126.872</c:v>
                </c:pt>
                <c:pt idx="695">
                  <c:v>131.88310000000001</c:v>
                </c:pt>
                <c:pt idx="696">
                  <c:v>82.685599999999994</c:v>
                </c:pt>
                <c:pt idx="697">
                  <c:v>69.486999999999995</c:v>
                </c:pt>
                <c:pt idx="698">
                  <c:v>99.355999999999995</c:v>
                </c:pt>
                <c:pt idx="699">
                  <c:v>153.01310000000001</c:v>
                </c:pt>
                <c:pt idx="700">
                  <c:v>162.49160000000001</c:v>
                </c:pt>
                <c:pt idx="701">
                  <c:v>82.570300000000003</c:v>
                </c:pt>
                <c:pt idx="702">
                  <c:v>138.42740000000001</c:v>
                </c:pt>
                <c:pt idx="703">
                  <c:v>49.6815</c:v>
                </c:pt>
                <c:pt idx="704">
                  <c:v>97.648300000000006</c:v>
                </c:pt>
                <c:pt idx="705">
                  <c:v>147.12860000000001</c:v>
                </c:pt>
                <c:pt idx="706">
                  <c:v>48.855499999999999</c:v>
                </c:pt>
                <c:pt idx="707">
                  <c:v>67.53</c:v>
                </c:pt>
                <c:pt idx="708">
                  <c:v>110.6052</c:v>
                </c:pt>
                <c:pt idx="709">
                  <c:v>76.892600000000002</c:v>
                </c:pt>
                <c:pt idx="710">
                  <c:v>67.061700000000002</c:v>
                </c:pt>
                <c:pt idx="711">
                  <c:v>97.974900000000005</c:v>
                </c:pt>
                <c:pt idx="712">
                  <c:v>103.00700000000001</c:v>
                </c:pt>
                <c:pt idx="713">
                  <c:v>78.638099999999994</c:v>
                </c:pt>
                <c:pt idx="714">
                  <c:v>72.4773</c:v>
                </c:pt>
                <c:pt idx="715">
                  <c:v>131.54220000000001</c:v>
                </c:pt>
                <c:pt idx="716">
                  <c:v>135.04419999999999</c:v>
                </c:pt>
                <c:pt idx="717">
                  <c:v>102.83750000000001</c:v>
                </c:pt>
                <c:pt idx="718">
                  <c:v>126.38500000000001</c:v>
                </c:pt>
                <c:pt idx="719">
                  <c:v>114.80589999999999</c:v>
                </c:pt>
                <c:pt idx="720">
                  <c:v>115.6557</c:v>
                </c:pt>
                <c:pt idx="721">
                  <c:v>99.101799999999997</c:v>
                </c:pt>
                <c:pt idx="722">
                  <c:v>78.111900000000006</c:v>
                </c:pt>
                <c:pt idx="723">
                  <c:v>103.0518</c:v>
                </c:pt>
                <c:pt idx="724">
                  <c:v>69.009500000000003</c:v>
                </c:pt>
                <c:pt idx="725">
                  <c:v>125.4383</c:v>
                </c:pt>
                <c:pt idx="726">
                  <c:v>76.033100000000005</c:v>
                </c:pt>
                <c:pt idx="727">
                  <c:v>81.620800000000003</c:v>
                </c:pt>
                <c:pt idx="728">
                  <c:v>86.391999999999996</c:v>
                </c:pt>
                <c:pt idx="729">
                  <c:v>89.379000000000005</c:v>
                </c:pt>
                <c:pt idx="730">
                  <c:v>148.59870000000001</c:v>
                </c:pt>
                <c:pt idx="731">
                  <c:v>85.309399999999997</c:v>
                </c:pt>
                <c:pt idx="732">
                  <c:v>111.408</c:v>
                </c:pt>
                <c:pt idx="733">
                  <c:v>105.5963</c:v>
                </c:pt>
                <c:pt idx="734">
                  <c:v>105.9302</c:v>
                </c:pt>
                <c:pt idx="735">
                  <c:v>87.191599999999994</c:v>
                </c:pt>
                <c:pt idx="736">
                  <c:v>50.645000000000003</c:v>
                </c:pt>
                <c:pt idx="737">
                  <c:v>101.5274</c:v>
                </c:pt>
                <c:pt idx="738">
                  <c:v>79.900800000000004</c:v>
                </c:pt>
                <c:pt idx="739">
                  <c:v>88.203199999999995</c:v>
                </c:pt>
                <c:pt idx="740">
                  <c:v>123.6198</c:v>
                </c:pt>
                <c:pt idx="741">
                  <c:v>104.85120000000001</c:v>
                </c:pt>
                <c:pt idx="742">
                  <c:v>83.486000000000004</c:v>
                </c:pt>
                <c:pt idx="743">
                  <c:v>89.765299999999996</c:v>
                </c:pt>
                <c:pt idx="744">
                  <c:v>88.708699999999993</c:v>
                </c:pt>
                <c:pt idx="745">
                  <c:v>56.750399999999999</c:v>
                </c:pt>
                <c:pt idx="746">
                  <c:v>50.398600000000002</c:v>
                </c:pt>
                <c:pt idx="747">
                  <c:v>78.791899999999998</c:v>
                </c:pt>
                <c:pt idx="748">
                  <c:v>75.265600000000006</c:v>
                </c:pt>
                <c:pt idx="749">
                  <c:v>105.11490000000001</c:v>
                </c:pt>
                <c:pt idx="750">
                  <c:v>103.93170000000001</c:v>
                </c:pt>
                <c:pt idx="751">
                  <c:v>105.20610000000001</c:v>
                </c:pt>
                <c:pt idx="752">
                  <c:v>125.8888</c:v>
                </c:pt>
                <c:pt idx="753">
                  <c:v>68.550399999999996</c:v>
                </c:pt>
                <c:pt idx="754">
                  <c:v>66.689800000000005</c:v>
                </c:pt>
                <c:pt idx="755">
                  <c:v>136.20099999999999</c:v>
                </c:pt>
                <c:pt idx="756">
                  <c:v>66.370599999999996</c:v>
                </c:pt>
                <c:pt idx="757">
                  <c:v>97.7517</c:v>
                </c:pt>
                <c:pt idx="758">
                  <c:v>117.0398</c:v>
                </c:pt>
                <c:pt idx="759">
                  <c:v>89.583600000000004</c:v>
                </c:pt>
                <c:pt idx="760">
                  <c:v>56.441000000000003</c:v>
                </c:pt>
                <c:pt idx="761">
                  <c:v>63.8367</c:v>
                </c:pt>
                <c:pt idx="762">
                  <c:v>86.978499999999997</c:v>
                </c:pt>
                <c:pt idx="763">
                  <c:v>64.449399999999997</c:v>
                </c:pt>
                <c:pt idx="764">
                  <c:v>202.5103</c:v>
                </c:pt>
                <c:pt idx="765">
                  <c:v>80.321200000000005</c:v>
                </c:pt>
                <c:pt idx="766">
                  <c:v>78.813199999999995</c:v>
                </c:pt>
                <c:pt idx="767">
                  <c:v>129.23840000000001</c:v>
                </c:pt>
                <c:pt idx="768">
                  <c:v>128.64179999999999</c:v>
                </c:pt>
                <c:pt idx="769">
                  <c:v>74.142099999999999</c:v>
                </c:pt>
                <c:pt idx="770">
                  <c:v>71.934100000000001</c:v>
                </c:pt>
                <c:pt idx="771">
                  <c:v>90.130200000000002</c:v>
                </c:pt>
                <c:pt idx="772">
                  <c:v>121.74169999999999</c:v>
                </c:pt>
                <c:pt idx="773">
                  <c:v>101.0942</c:v>
                </c:pt>
                <c:pt idx="774">
                  <c:v>149.47720000000001</c:v>
                </c:pt>
                <c:pt idx="775">
                  <c:v>72.026200000000003</c:v>
                </c:pt>
                <c:pt idx="776">
                  <c:v>155.09889999999999</c:v>
                </c:pt>
                <c:pt idx="777">
                  <c:v>80.331699999999998</c:v>
                </c:pt>
                <c:pt idx="778">
                  <c:v>65.493399999999994</c:v>
                </c:pt>
                <c:pt idx="779">
                  <c:v>173.32599999999999</c:v>
                </c:pt>
                <c:pt idx="780">
                  <c:v>54.250599999999999</c:v>
                </c:pt>
                <c:pt idx="781">
                  <c:v>73.831400000000002</c:v>
                </c:pt>
                <c:pt idx="782">
                  <c:v>80.586600000000004</c:v>
                </c:pt>
                <c:pt idx="783">
                  <c:v>104.672</c:v>
                </c:pt>
                <c:pt idx="784">
                  <c:v>83.682000000000002</c:v>
                </c:pt>
                <c:pt idx="785">
                  <c:v>127.0911</c:v>
                </c:pt>
                <c:pt idx="786">
                  <c:v>76.850200000000001</c:v>
                </c:pt>
                <c:pt idx="787">
                  <c:v>123.7929</c:v>
                </c:pt>
                <c:pt idx="788">
                  <c:v>108.81019999999999</c:v>
                </c:pt>
                <c:pt idx="789">
                  <c:v>99.185699999999997</c:v>
                </c:pt>
                <c:pt idx="790">
                  <c:v>116.7461</c:v>
                </c:pt>
                <c:pt idx="791">
                  <c:v>120.71299999999999</c:v>
                </c:pt>
                <c:pt idx="792">
                  <c:v>103.0956</c:v>
                </c:pt>
                <c:pt idx="793">
                  <c:v>45.8354</c:v>
                </c:pt>
                <c:pt idx="794">
                  <c:v>75.314800000000005</c:v>
                </c:pt>
                <c:pt idx="795">
                  <c:v>87.492699999999999</c:v>
                </c:pt>
                <c:pt idx="796">
                  <c:v>89.583699999999993</c:v>
                </c:pt>
                <c:pt idx="797">
                  <c:v>105.15770000000001</c:v>
                </c:pt>
                <c:pt idx="798">
                  <c:v>127.2754</c:v>
                </c:pt>
                <c:pt idx="799">
                  <c:v>75.689599999999999</c:v>
                </c:pt>
                <c:pt idx="800">
                  <c:v>80.066999999999993</c:v>
                </c:pt>
                <c:pt idx="801">
                  <c:v>78.522900000000007</c:v>
                </c:pt>
                <c:pt idx="802">
                  <c:v>104.5714</c:v>
                </c:pt>
                <c:pt idx="803">
                  <c:v>94.370999999999995</c:v>
                </c:pt>
                <c:pt idx="804">
                  <c:v>90.7483</c:v>
                </c:pt>
                <c:pt idx="805">
                  <c:v>81.595200000000006</c:v>
                </c:pt>
                <c:pt idx="806">
                  <c:v>76.182900000000004</c:v>
                </c:pt>
                <c:pt idx="807">
                  <c:v>101.70820000000001</c:v>
                </c:pt>
                <c:pt idx="808">
                  <c:v>86.302400000000006</c:v>
                </c:pt>
                <c:pt idx="809">
                  <c:v>153.13229999999999</c:v>
                </c:pt>
                <c:pt idx="810">
                  <c:v>89.917299999999997</c:v>
                </c:pt>
                <c:pt idx="811">
                  <c:v>137.18559999999999</c:v>
                </c:pt>
                <c:pt idx="812">
                  <c:v>69.761899999999997</c:v>
                </c:pt>
                <c:pt idx="813">
                  <c:v>84.212999999999994</c:v>
                </c:pt>
                <c:pt idx="814">
                  <c:v>86.863600000000005</c:v>
                </c:pt>
                <c:pt idx="815">
                  <c:v>94.903099999999995</c:v>
                </c:pt>
                <c:pt idx="816">
                  <c:v>70.367999999999995</c:v>
                </c:pt>
                <c:pt idx="817">
                  <c:v>179.37950000000001</c:v>
                </c:pt>
                <c:pt idx="818">
                  <c:v>148.04050000000001</c:v>
                </c:pt>
                <c:pt idx="819">
                  <c:v>83.444500000000005</c:v>
                </c:pt>
                <c:pt idx="820">
                  <c:v>66.036900000000003</c:v>
                </c:pt>
                <c:pt idx="821">
                  <c:v>77.2637</c:v>
                </c:pt>
                <c:pt idx="822">
                  <c:v>154.84909999999999</c:v>
                </c:pt>
                <c:pt idx="823">
                  <c:v>134.03749999999999</c:v>
                </c:pt>
                <c:pt idx="824">
                  <c:v>81.981700000000004</c:v>
                </c:pt>
                <c:pt idx="825">
                  <c:v>56.029400000000003</c:v>
                </c:pt>
                <c:pt idx="826">
                  <c:v>118.50060000000001</c:v>
                </c:pt>
                <c:pt idx="827">
                  <c:v>78.421899999999994</c:v>
                </c:pt>
                <c:pt idx="828">
                  <c:v>151.27979999999999</c:v>
                </c:pt>
                <c:pt idx="829">
                  <c:v>62.181899999999999</c:v>
                </c:pt>
                <c:pt idx="830">
                  <c:v>161.91640000000001</c:v>
                </c:pt>
                <c:pt idx="831">
                  <c:v>81.358500000000006</c:v>
                </c:pt>
                <c:pt idx="832">
                  <c:v>151.79400000000001</c:v>
                </c:pt>
                <c:pt idx="833">
                  <c:v>107.673</c:v>
                </c:pt>
                <c:pt idx="834">
                  <c:v>73.513999999999996</c:v>
                </c:pt>
                <c:pt idx="835">
                  <c:v>121.70659999999999</c:v>
                </c:pt>
                <c:pt idx="836">
                  <c:v>81.320599999999999</c:v>
                </c:pt>
                <c:pt idx="837">
                  <c:v>78.5184</c:v>
                </c:pt>
                <c:pt idx="838">
                  <c:v>111.8554</c:v>
                </c:pt>
                <c:pt idx="839">
                  <c:v>99.023600000000002</c:v>
                </c:pt>
                <c:pt idx="840">
                  <c:v>116.9169</c:v>
                </c:pt>
                <c:pt idx="841">
                  <c:v>89.402000000000001</c:v>
                </c:pt>
                <c:pt idx="842">
                  <c:v>119.5446</c:v>
                </c:pt>
                <c:pt idx="843">
                  <c:v>130.2328</c:v>
                </c:pt>
                <c:pt idx="844">
                  <c:v>51.962899999999998</c:v>
                </c:pt>
                <c:pt idx="845">
                  <c:v>66.620199999999997</c:v>
                </c:pt>
                <c:pt idx="846">
                  <c:v>142.24279999999999</c:v>
                </c:pt>
                <c:pt idx="847">
                  <c:v>65.282899999999998</c:v>
                </c:pt>
                <c:pt idx="848">
                  <c:v>75.661600000000007</c:v>
                </c:pt>
                <c:pt idx="849">
                  <c:v>91.665700000000001</c:v>
                </c:pt>
                <c:pt idx="850">
                  <c:v>116.5839</c:v>
                </c:pt>
                <c:pt idx="851">
                  <c:v>61.512700000000002</c:v>
                </c:pt>
                <c:pt idx="852">
                  <c:v>123.7816</c:v>
                </c:pt>
                <c:pt idx="853">
                  <c:v>98.635999999999996</c:v>
                </c:pt>
                <c:pt idx="854">
                  <c:v>69.776499999999999</c:v>
                </c:pt>
                <c:pt idx="855">
                  <c:v>100.1859</c:v>
                </c:pt>
                <c:pt idx="856">
                  <c:v>122.7608</c:v>
                </c:pt>
                <c:pt idx="857">
                  <c:v>123.18</c:v>
                </c:pt>
                <c:pt idx="858">
                  <c:v>108.7658</c:v>
                </c:pt>
                <c:pt idx="859">
                  <c:v>120.26300000000001</c:v>
                </c:pt>
                <c:pt idx="860">
                  <c:v>77.31</c:v>
                </c:pt>
                <c:pt idx="861">
                  <c:v>75.620400000000004</c:v>
                </c:pt>
                <c:pt idx="862">
                  <c:v>60.596200000000003</c:v>
                </c:pt>
                <c:pt idx="863">
                  <c:v>137.08000000000001</c:v>
                </c:pt>
                <c:pt idx="864">
                  <c:v>93.066800000000001</c:v>
                </c:pt>
                <c:pt idx="865">
                  <c:v>162.8477</c:v>
                </c:pt>
                <c:pt idx="866">
                  <c:v>118.7727</c:v>
                </c:pt>
                <c:pt idx="867">
                  <c:v>66.882499999999993</c:v>
                </c:pt>
                <c:pt idx="868">
                  <c:v>122.3254</c:v>
                </c:pt>
                <c:pt idx="869">
                  <c:v>99.913499999999999</c:v>
                </c:pt>
                <c:pt idx="870">
                  <c:v>128.03219999999999</c:v>
                </c:pt>
                <c:pt idx="871">
                  <c:v>104.5022</c:v>
                </c:pt>
                <c:pt idx="872">
                  <c:v>70.454099999999997</c:v>
                </c:pt>
                <c:pt idx="873">
                  <c:v>83.805400000000006</c:v>
                </c:pt>
                <c:pt idx="874">
                  <c:v>89.141400000000004</c:v>
                </c:pt>
                <c:pt idx="875">
                  <c:v>104.3921</c:v>
                </c:pt>
                <c:pt idx="876">
                  <c:v>108.81699999999999</c:v>
                </c:pt>
                <c:pt idx="877">
                  <c:v>64.534400000000005</c:v>
                </c:pt>
                <c:pt idx="878">
                  <c:v>185.8038</c:v>
                </c:pt>
                <c:pt idx="879">
                  <c:v>74.331999999999994</c:v>
                </c:pt>
                <c:pt idx="880">
                  <c:v>148.69990000000001</c:v>
                </c:pt>
                <c:pt idx="881">
                  <c:v>119.038</c:v>
                </c:pt>
                <c:pt idx="882">
                  <c:v>118.69670000000001</c:v>
                </c:pt>
                <c:pt idx="883">
                  <c:v>158.5273</c:v>
                </c:pt>
                <c:pt idx="884">
                  <c:v>74.382199999999997</c:v>
                </c:pt>
                <c:pt idx="885">
                  <c:v>118.12</c:v>
                </c:pt>
                <c:pt idx="886">
                  <c:v>138.89150000000001</c:v>
                </c:pt>
                <c:pt idx="887">
                  <c:v>84.892200000000003</c:v>
                </c:pt>
                <c:pt idx="888">
                  <c:v>62.195300000000003</c:v>
                </c:pt>
                <c:pt idx="889">
                  <c:v>104.3981</c:v>
                </c:pt>
                <c:pt idx="890">
                  <c:v>153.45590000000001</c:v>
                </c:pt>
                <c:pt idx="891">
                  <c:v>74.300799999999995</c:v>
                </c:pt>
                <c:pt idx="892">
                  <c:v>88.926900000000003</c:v>
                </c:pt>
                <c:pt idx="893">
                  <c:v>121.181</c:v>
                </c:pt>
                <c:pt idx="894">
                  <c:v>146.70269999999999</c:v>
                </c:pt>
                <c:pt idx="895">
                  <c:v>152.7473</c:v>
                </c:pt>
                <c:pt idx="896">
                  <c:v>114.6641</c:v>
                </c:pt>
                <c:pt idx="897">
                  <c:v>120.96850000000001</c:v>
                </c:pt>
                <c:pt idx="898">
                  <c:v>77.383700000000005</c:v>
                </c:pt>
                <c:pt idx="899">
                  <c:v>72.169399999999996</c:v>
                </c:pt>
                <c:pt idx="900">
                  <c:v>52.821599999999997</c:v>
                </c:pt>
                <c:pt idx="901">
                  <c:v>82.487200000000001</c:v>
                </c:pt>
                <c:pt idx="902">
                  <c:v>146.49969999999999</c:v>
                </c:pt>
                <c:pt idx="903">
                  <c:v>96.354399999999998</c:v>
                </c:pt>
                <c:pt idx="904">
                  <c:v>130.2201</c:v>
                </c:pt>
                <c:pt idx="905">
                  <c:v>104.19289999999999</c:v>
                </c:pt>
                <c:pt idx="906">
                  <c:v>100.72750000000001</c:v>
                </c:pt>
                <c:pt idx="907">
                  <c:v>115.3198</c:v>
                </c:pt>
                <c:pt idx="908">
                  <c:v>104.1737</c:v>
                </c:pt>
                <c:pt idx="909">
                  <c:v>179.8878</c:v>
                </c:pt>
                <c:pt idx="910">
                  <c:v>137.32259999999999</c:v>
                </c:pt>
                <c:pt idx="911">
                  <c:v>94.018000000000001</c:v>
                </c:pt>
                <c:pt idx="912">
                  <c:v>124.9956</c:v>
                </c:pt>
                <c:pt idx="913">
                  <c:v>101.46810000000001</c:v>
                </c:pt>
                <c:pt idx="914">
                  <c:v>97.845200000000006</c:v>
                </c:pt>
                <c:pt idx="915">
                  <c:v>69.666300000000007</c:v>
                </c:pt>
                <c:pt idx="916">
                  <c:v>95.304699999999997</c:v>
                </c:pt>
                <c:pt idx="917">
                  <c:v>97.598699999999994</c:v>
                </c:pt>
                <c:pt idx="918">
                  <c:v>176.56989999999999</c:v>
                </c:pt>
                <c:pt idx="919">
                  <c:v>103.89</c:v>
                </c:pt>
                <c:pt idx="920">
                  <c:v>197.58709999999999</c:v>
                </c:pt>
                <c:pt idx="921">
                  <c:v>99.808099999999996</c:v>
                </c:pt>
                <c:pt idx="922">
                  <c:v>81.118700000000004</c:v>
                </c:pt>
                <c:pt idx="923">
                  <c:v>85.519800000000004</c:v>
                </c:pt>
                <c:pt idx="924">
                  <c:v>107.79170000000001</c:v>
                </c:pt>
                <c:pt idx="925">
                  <c:v>82.121700000000004</c:v>
                </c:pt>
                <c:pt idx="926">
                  <c:v>67.229900000000001</c:v>
                </c:pt>
                <c:pt idx="927">
                  <c:v>102.8295</c:v>
                </c:pt>
                <c:pt idx="928">
                  <c:v>137.5299</c:v>
                </c:pt>
                <c:pt idx="929">
                  <c:v>50.768700000000003</c:v>
                </c:pt>
                <c:pt idx="930">
                  <c:v>70.602099999999993</c:v>
                </c:pt>
                <c:pt idx="931">
                  <c:v>102.9661</c:v>
                </c:pt>
                <c:pt idx="932">
                  <c:v>112.2186</c:v>
                </c:pt>
                <c:pt idx="933">
                  <c:v>126.7846</c:v>
                </c:pt>
                <c:pt idx="934">
                  <c:v>157.42529999999999</c:v>
                </c:pt>
                <c:pt idx="935">
                  <c:v>75.574200000000005</c:v>
                </c:pt>
                <c:pt idx="936">
                  <c:v>150.98599999999999</c:v>
                </c:pt>
                <c:pt idx="937">
                  <c:v>128.4</c:v>
                </c:pt>
                <c:pt idx="938">
                  <c:v>153.02809999999999</c:v>
                </c:pt>
                <c:pt idx="939">
                  <c:v>135.2413</c:v>
                </c:pt>
                <c:pt idx="940">
                  <c:v>78.995099999999994</c:v>
                </c:pt>
                <c:pt idx="941">
                  <c:v>85.127399999999994</c:v>
                </c:pt>
                <c:pt idx="942">
                  <c:v>124.5633</c:v>
                </c:pt>
                <c:pt idx="943">
                  <c:v>89.616600000000005</c:v>
                </c:pt>
                <c:pt idx="944">
                  <c:v>117.98869999999999</c:v>
                </c:pt>
                <c:pt idx="945">
                  <c:v>126.8189</c:v>
                </c:pt>
                <c:pt idx="946">
                  <c:v>116.04179999999999</c:v>
                </c:pt>
                <c:pt idx="947">
                  <c:v>99.831999999999994</c:v>
                </c:pt>
                <c:pt idx="948">
                  <c:v>116.476</c:v>
                </c:pt>
                <c:pt idx="949">
                  <c:v>118.6155</c:v>
                </c:pt>
                <c:pt idx="950">
                  <c:v>78.150800000000004</c:v>
                </c:pt>
                <c:pt idx="951">
                  <c:v>89.069199999999995</c:v>
                </c:pt>
                <c:pt idx="952">
                  <c:v>138.48259999999999</c:v>
                </c:pt>
                <c:pt idx="953">
                  <c:v>112.4663</c:v>
                </c:pt>
                <c:pt idx="954">
                  <c:v>93.466899999999995</c:v>
                </c:pt>
                <c:pt idx="955">
                  <c:v>73.219300000000004</c:v>
                </c:pt>
                <c:pt idx="956">
                  <c:v>119.3181</c:v>
                </c:pt>
                <c:pt idx="957">
                  <c:v>118.6354</c:v>
                </c:pt>
                <c:pt idx="958">
                  <c:v>74.773899999999998</c:v>
                </c:pt>
                <c:pt idx="959">
                  <c:v>89.015100000000004</c:v>
                </c:pt>
                <c:pt idx="960">
                  <c:v>132.1934</c:v>
                </c:pt>
                <c:pt idx="961">
                  <c:v>94.565200000000004</c:v>
                </c:pt>
                <c:pt idx="962">
                  <c:v>87.284099999999995</c:v>
                </c:pt>
                <c:pt idx="963">
                  <c:v>117.4525</c:v>
                </c:pt>
                <c:pt idx="964">
                  <c:v>77.0214</c:v>
                </c:pt>
                <c:pt idx="965">
                  <c:v>89.633499999999998</c:v>
                </c:pt>
                <c:pt idx="966">
                  <c:v>68.007999999999996</c:v>
                </c:pt>
                <c:pt idx="967">
                  <c:v>69.909099999999995</c:v>
                </c:pt>
                <c:pt idx="968">
                  <c:v>142.13990000000001</c:v>
                </c:pt>
                <c:pt idx="969">
                  <c:v>136.0489</c:v>
                </c:pt>
                <c:pt idx="970">
                  <c:v>89.445899999999995</c:v>
                </c:pt>
                <c:pt idx="971">
                  <c:v>104.1551</c:v>
                </c:pt>
                <c:pt idx="972">
                  <c:v>115.355</c:v>
                </c:pt>
                <c:pt idx="973">
                  <c:v>83.814700000000002</c:v>
                </c:pt>
                <c:pt idx="974">
                  <c:v>52.112299999999998</c:v>
                </c:pt>
                <c:pt idx="975">
                  <c:v>109.1104</c:v>
                </c:pt>
                <c:pt idx="976">
                  <c:v>170.2997</c:v>
                </c:pt>
                <c:pt idx="977">
                  <c:v>90.183999999999997</c:v>
                </c:pt>
                <c:pt idx="978">
                  <c:v>245.01480000000001</c:v>
                </c:pt>
                <c:pt idx="979">
                  <c:v>122.7174</c:v>
                </c:pt>
                <c:pt idx="980">
                  <c:v>113.1527</c:v>
                </c:pt>
                <c:pt idx="981">
                  <c:v>95.958399999999997</c:v>
                </c:pt>
                <c:pt idx="982">
                  <c:v>116.7822</c:v>
                </c:pt>
                <c:pt idx="983">
                  <c:v>101.96510000000001</c:v>
                </c:pt>
                <c:pt idx="984">
                  <c:v>52.4373</c:v>
                </c:pt>
                <c:pt idx="985">
                  <c:v>123.52160000000001</c:v>
                </c:pt>
                <c:pt idx="986">
                  <c:v>64.311999999999998</c:v>
                </c:pt>
                <c:pt idx="987">
                  <c:v>103.9025</c:v>
                </c:pt>
                <c:pt idx="988">
                  <c:v>114.37860000000001</c:v>
                </c:pt>
                <c:pt idx="989">
                  <c:v>106.4083</c:v>
                </c:pt>
                <c:pt idx="990">
                  <c:v>77.027299999999997</c:v>
                </c:pt>
                <c:pt idx="991">
                  <c:v>89.030500000000004</c:v>
                </c:pt>
                <c:pt idx="992">
                  <c:v>119.9422</c:v>
                </c:pt>
                <c:pt idx="993">
                  <c:v>145.71029999999999</c:v>
                </c:pt>
                <c:pt idx="994">
                  <c:v>67.784300000000002</c:v>
                </c:pt>
                <c:pt idx="995">
                  <c:v>104.3715</c:v>
                </c:pt>
                <c:pt idx="996">
                  <c:v>95.116299999999995</c:v>
                </c:pt>
                <c:pt idx="997">
                  <c:v>111.94629999999999</c:v>
                </c:pt>
                <c:pt idx="998">
                  <c:v>79.861199999999997</c:v>
                </c:pt>
                <c:pt idx="999">
                  <c:v>95.048000000000002</c:v>
                </c:pt>
              </c:numCache>
            </c:numRef>
          </c:xVal>
          <c:yVal>
            <c:numRef>
              <c:f>'Vanilla BS call option'!$S$2:$S$1001</c:f>
              <c:numCache>
                <c:formatCode>0.00</c:formatCode>
                <c:ptCount val="1000"/>
                <c:pt idx="0">
                  <c:v>-1.6129</c:v>
                </c:pt>
                <c:pt idx="1">
                  <c:v>1.8676999999999999</c:v>
                </c:pt>
                <c:pt idx="2">
                  <c:v>18.523</c:v>
                </c:pt>
                <c:pt idx="3">
                  <c:v>-0.2611</c:v>
                </c:pt>
                <c:pt idx="4">
                  <c:v>9.8305000000000007</c:v>
                </c:pt>
                <c:pt idx="5">
                  <c:v>-2.7239</c:v>
                </c:pt>
                <c:pt idx="6">
                  <c:v>40.654699999999998</c:v>
                </c:pt>
                <c:pt idx="7">
                  <c:v>1.1815</c:v>
                </c:pt>
                <c:pt idx="8">
                  <c:v>5.5862999999999996</c:v>
                </c:pt>
                <c:pt idx="9">
                  <c:v>-1.9331</c:v>
                </c:pt>
                <c:pt idx="10">
                  <c:v>6.3985000000000003</c:v>
                </c:pt>
                <c:pt idx="11">
                  <c:v>0.29260000000000003</c:v>
                </c:pt>
                <c:pt idx="12">
                  <c:v>15.136100000000001</c:v>
                </c:pt>
                <c:pt idx="13">
                  <c:v>0.35070000000000001</c:v>
                </c:pt>
                <c:pt idx="14">
                  <c:v>17.738499999999998</c:v>
                </c:pt>
                <c:pt idx="15">
                  <c:v>8.2500000000000004E-2</c:v>
                </c:pt>
                <c:pt idx="16">
                  <c:v>28.5806</c:v>
                </c:pt>
                <c:pt idx="17">
                  <c:v>-1.7758</c:v>
                </c:pt>
                <c:pt idx="18">
                  <c:v>45.853700000000003</c:v>
                </c:pt>
                <c:pt idx="19">
                  <c:v>3.0257000000000001</c:v>
                </c:pt>
                <c:pt idx="20">
                  <c:v>34.908700000000003</c:v>
                </c:pt>
                <c:pt idx="21">
                  <c:v>5.8181000000000003</c:v>
                </c:pt>
                <c:pt idx="22">
                  <c:v>58.771999999999998</c:v>
                </c:pt>
                <c:pt idx="23">
                  <c:v>1.5341</c:v>
                </c:pt>
                <c:pt idx="24">
                  <c:v>1.4793000000000001</c:v>
                </c:pt>
                <c:pt idx="25">
                  <c:v>-1.6700999999999999</c:v>
                </c:pt>
                <c:pt idx="26">
                  <c:v>21.2666</c:v>
                </c:pt>
                <c:pt idx="27">
                  <c:v>62.6068</c:v>
                </c:pt>
                <c:pt idx="28">
                  <c:v>16.052</c:v>
                </c:pt>
                <c:pt idx="29">
                  <c:v>49.863</c:v>
                </c:pt>
                <c:pt idx="30">
                  <c:v>34.198700000000002</c:v>
                </c:pt>
                <c:pt idx="31">
                  <c:v>2.3355999999999999</c:v>
                </c:pt>
                <c:pt idx="32">
                  <c:v>-0.21340000000000001</c:v>
                </c:pt>
                <c:pt idx="33">
                  <c:v>102.58759999999999</c:v>
                </c:pt>
                <c:pt idx="34">
                  <c:v>1.3942000000000001</c:v>
                </c:pt>
                <c:pt idx="35">
                  <c:v>17.548400000000001</c:v>
                </c:pt>
                <c:pt idx="36">
                  <c:v>2.4733999999999998</c:v>
                </c:pt>
                <c:pt idx="37">
                  <c:v>-4.8110999999999997</c:v>
                </c:pt>
                <c:pt idx="38">
                  <c:v>-3.0402999999999998</c:v>
                </c:pt>
                <c:pt idx="39">
                  <c:v>-0.1167</c:v>
                </c:pt>
                <c:pt idx="40">
                  <c:v>39.752299999999998</c:v>
                </c:pt>
                <c:pt idx="41">
                  <c:v>0.54069999999999996</c:v>
                </c:pt>
                <c:pt idx="42">
                  <c:v>0.59970000000000001</c:v>
                </c:pt>
                <c:pt idx="43">
                  <c:v>30.1508</c:v>
                </c:pt>
                <c:pt idx="44">
                  <c:v>0.95730000000000004</c:v>
                </c:pt>
                <c:pt idx="45">
                  <c:v>-0.12429999999999999</c:v>
                </c:pt>
                <c:pt idx="46">
                  <c:v>-1.3381000000000001</c:v>
                </c:pt>
                <c:pt idx="47">
                  <c:v>-1.5657000000000001</c:v>
                </c:pt>
                <c:pt idx="48">
                  <c:v>-0.76729999999999998</c:v>
                </c:pt>
                <c:pt idx="49">
                  <c:v>-2.6135000000000002</c:v>
                </c:pt>
                <c:pt idx="50">
                  <c:v>1.3113999999999999</c:v>
                </c:pt>
                <c:pt idx="51">
                  <c:v>84.613299999999995</c:v>
                </c:pt>
                <c:pt idx="52">
                  <c:v>20.9556</c:v>
                </c:pt>
                <c:pt idx="53">
                  <c:v>92.648899999999998</c:v>
                </c:pt>
                <c:pt idx="54">
                  <c:v>20.7971</c:v>
                </c:pt>
                <c:pt idx="55">
                  <c:v>1.0686</c:v>
                </c:pt>
                <c:pt idx="56">
                  <c:v>24.788499999999999</c:v>
                </c:pt>
                <c:pt idx="57">
                  <c:v>57.625900000000001</c:v>
                </c:pt>
                <c:pt idx="58">
                  <c:v>-0.77900000000000003</c:v>
                </c:pt>
                <c:pt idx="59">
                  <c:v>2.0044</c:v>
                </c:pt>
                <c:pt idx="60">
                  <c:v>29.736599999999999</c:v>
                </c:pt>
                <c:pt idx="61">
                  <c:v>-0.60409999999999997</c:v>
                </c:pt>
                <c:pt idx="62">
                  <c:v>37.046399999999998</c:v>
                </c:pt>
                <c:pt idx="63">
                  <c:v>64.613699999999994</c:v>
                </c:pt>
                <c:pt idx="64">
                  <c:v>14.8812</c:v>
                </c:pt>
                <c:pt idx="65">
                  <c:v>37.6907</c:v>
                </c:pt>
                <c:pt idx="66">
                  <c:v>20.911899999999999</c:v>
                </c:pt>
                <c:pt idx="67">
                  <c:v>5.7374999999999998</c:v>
                </c:pt>
                <c:pt idx="68">
                  <c:v>19.157499999999999</c:v>
                </c:pt>
                <c:pt idx="69">
                  <c:v>5.6893000000000002</c:v>
                </c:pt>
                <c:pt idx="70">
                  <c:v>0.17829999999999999</c:v>
                </c:pt>
                <c:pt idx="71">
                  <c:v>18.447700000000001</c:v>
                </c:pt>
                <c:pt idx="72">
                  <c:v>45.236699999999999</c:v>
                </c:pt>
                <c:pt idx="73">
                  <c:v>-3.5999999999999997E-2</c:v>
                </c:pt>
                <c:pt idx="74">
                  <c:v>9.6742000000000008</c:v>
                </c:pt>
                <c:pt idx="75">
                  <c:v>27.5519</c:v>
                </c:pt>
                <c:pt idx="76">
                  <c:v>0.4456</c:v>
                </c:pt>
                <c:pt idx="77">
                  <c:v>28.340599999999998</c:v>
                </c:pt>
                <c:pt idx="78">
                  <c:v>83.311099999999996</c:v>
                </c:pt>
                <c:pt idx="79">
                  <c:v>22.148599999999998</c:v>
                </c:pt>
                <c:pt idx="80">
                  <c:v>-0.83089999999999997</c:v>
                </c:pt>
                <c:pt idx="81">
                  <c:v>2.1844000000000001</c:v>
                </c:pt>
                <c:pt idx="82">
                  <c:v>8.9301999999999992</c:v>
                </c:pt>
                <c:pt idx="83">
                  <c:v>6.8232999999999997</c:v>
                </c:pt>
                <c:pt idx="84">
                  <c:v>9.3513000000000002</c:v>
                </c:pt>
                <c:pt idx="85">
                  <c:v>-1.7079</c:v>
                </c:pt>
                <c:pt idx="86">
                  <c:v>-0.95299999999999996</c:v>
                </c:pt>
                <c:pt idx="87">
                  <c:v>12.6898</c:v>
                </c:pt>
                <c:pt idx="88">
                  <c:v>28.7105</c:v>
                </c:pt>
                <c:pt idx="89">
                  <c:v>2.2065999999999999</c:v>
                </c:pt>
                <c:pt idx="90">
                  <c:v>0.97870000000000001</c:v>
                </c:pt>
                <c:pt idx="91">
                  <c:v>19.986000000000001</c:v>
                </c:pt>
                <c:pt idx="92">
                  <c:v>36.0822</c:v>
                </c:pt>
                <c:pt idx="93">
                  <c:v>11.299099999999999</c:v>
                </c:pt>
                <c:pt idx="94">
                  <c:v>-0.18440000000000001</c:v>
                </c:pt>
                <c:pt idx="95">
                  <c:v>-9.2499999999999999E-2</c:v>
                </c:pt>
                <c:pt idx="96">
                  <c:v>21.741</c:v>
                </c:pt>
                <c:pt idx="97">
                  <c:v>-1.3120000000000001</c:v>
                </c:pt>
                <c:pt idx="98">
                  <c:v>1.5862000000000001</c:v>
                </c:pt>
                <c:pt idx="99">
                  <c:v>2.4742000000000002</c:v>
                </c:pt>
                <c:pt idx="100">
                  <c:v>0.35859999999999997</c:v>
                </c:pt>
                <c:pt idx="101">
                  <c:v>93.911799999999999</c:v>
                </c:pt>
                <c:pt idx="102">
                  <c:v>25.133299999999998</c:v>
                </c:pt>
                <c:pt idx="103">
                  <c:v>25.903400000000001</c:v>
                </c:pt>
                <c:pt idx="104">
                  <c:v>22.459900000000001</c:v>
                </c:pt>
                <c:pt idx="105">
                  <c:v>7.1844999999999999</c:v>
                </c:pt>
                <c:pt idx="106">
                  <c:v>-0.73780000000000001</c:v>
                </c:pt>
                <c:pt idx="107">
                  <c:v>-0.92230000000000001</c:v>
                </c:pt>
                <c:pt idx="108">
                  <c:v>1.9900000000000001E-2</c:v>
                </c:pt>
                <c:pt idx="109">
                  <c:v>108.7516</c:v>
                </c:pt>
                <c:pt idx="110">
                  <c:v>33.865900000000003</c:v>
                </c:pt>
                <c:pt idx="111">
                  <c:v>12.5242</c:v>
                </c:pt>
                <c:pt idx="112">
                  <c:v>0.57330000000000003</c:v>
                </c:pt>
                <c:pt idx="113">
                  <c:v>-0.40389999999999998</c:v>
                </c:pt>
                <c:pt idx="114">
                  <c:v>9.6812000000000005</c:v>
                </c:pt>
                <c:pt idx="115">
                  <c:v>3.3658000000000001</c:v>
                </c:pt>
                <c:pt idx="116">
                  <c:v>-5.6680999999999999</c:v>
                </c:pt>
                <c:pt idx="117">
                  <c:v>-0.56089999999999995</c:v>
                </c:pt>
                <c:pt idx="118">
                  <c:v>4.9692999999999996</c:v>
                </c:pt>
                <c:pt idx="119">
                  <c:v>0.38879999999999998</c:v>
                </c:pt>
                <c:pt idx="120">
                  <c:v>-2.5095999999999998</c:v>
                </c:pt>
                <c:pt idx="121">
                  <c:v>37.234099999999998</c:v>
                </c:pt>
                <c:pt idx="122">
                  <c:v>12.963800000000001</c:v>
                </c:pt>
                <c:pt idx="123">
                  <c:v>51.532499999999999</c:v>
                </c:pt>
                <c:pt idx="124">
                  <c:v>9.4882000000000009</c:v>
                </c:pt>
                <c:pt idx="125">
                  <c:v>2.7404000000000002</c:v>
                </c:pt>
                <c:pt idx="126">
                  <c:v>11.950799999999999</c:v>
                </c:pt>
                <c:pt idx="127">
                  <c:v>31.998699999999999</c:v>
                </c:pt>
                <c:pt idx="128">
                  <c:v>0.96489999999999998</c:v>
                </c:pt>
                <c:pt idx="129">
                  <c:v>52.477200000000003</c:v>
                </c:pt>
                <c:pt idx="130">
                  <c:v>2.8014000000000001</c:v>
                </c:pt>
                <c:pt idx="131">
                  <c:v>0.70569999999999999</c:v>
                </c:pt>
                <c:pt idx="132">
                  <c:v>59.426900000000003</c:v>
                </c:pt>
                <c:pt idx="133">
                  <c:v>4.5148000000000001</c:v>
                </c:pt>
                <c:pt idx="134">
                  <c:v>-1.9995000000000001</c:v>
                </c:pt>
                <c:pt idx="135">
                  <c:v>1.2015</c:v>
                </c:pt>
                <c:pt idx="136">
                  <c:v>2.4885999999999999</c:v>
                </c:pt>
                <c:pt idx="137">
                  <c:v>6.0128000000000004</c:v>
                </c:pt>
                <c:pt idx="138">
                  <c:v>22.326699999999999</c:v>
                </c:pt>
                <c:pt idx="139">
                  <c:v>36.653700000000001</c:v>
                </c:pt>
                <c:pt idx="140">
                  <c:v>0.79320000000000002</c:v>
                </c:pt>
                <c:pt idx="141">
                  <c:v>24.6005</c:v>
                </c:pt>
                <c:pt idx="142">
                  <c:v>1.4672000000000001</c:v>
                </c:pt>
                <c:pt idx="143">
                  <c:v>6.2474999999999996</c:v>
                </c:pt>
                <c:pt idx="144">
                  <c:v>49.6004</c:v>
                </c:pt>
                <c:pt idx="145">
                  <c:v>76.886700000000005</c:v>
                </c:pt>
                <c:pt idx="146">
                  <c:v>9.2116000000000007</c:v>
                </c:pt>
                <c:pt idx="147">
                  <c:v>6.7110000000000003</c:v>
                </c:pt>
                <c:pt idx="148">
                  <c:v>71.665000000000006</c:v>
                </c:pt>
                <c:pt idx="149">
                  <c:v>-2.4531999999999998</c:v>
                </c:pt>
                <c:pt idx="150">
                  <c:v>-0.93220000000000003</c:v>
                </c:pt>
                <c:pt idx="151">
                  <c:v>0.68920000000000003</c:v>
                </c:pt>
                <c:pt idx="152">
                  <c:v>66.813000000000002</c:v>
                </c:pt>
                <c:pt idx="153">
                  <c:v>26.895099999999999</c:v>
                </c:pt>
                <c:pt idx="154">
                  <c:v>1.8249</c:v>
                </c:pt>
                <c:pt idx="155">
                  <c:v>-0.28570000000000001</c:v>
                </c:pt>
                <c:pt idx="156">
                  <c:v>64.210700000000003</c:v>
                </c:pt>
                <c:pt idx="157">
                  <c:v>8.6319999999999997</c:v>
                </c:pt>
                <c:pt idx="158">
                  <c:v>-2.2204999999999999</c:v>
                </c:pt>
                <c:pt idx="159">
                  <c:v>0.47520000000000001</c:v>
                </c:pt>
                <c:pt idx="160">
                  <c:v>1.1891</c:v>
                </c:pt>
                <c:pt idx="161">
                  <c:v>-0.70099999999999996</c:v>
                </c:pt>
                <c:pt idx="162">
                  <c:v>-0.80420000000000003</c:v>
                </c:pt>
                <c:pt idx="163">
                  <c:v>-3.2873999999999999</c:v>
                </c:pt>
                <c:pt idx="164">
                  <c:v>13.3553</c:v>
                </c:pt>
                <c:pt idx="165">
                  <c:v>3.0729000000000002</c:v>
                </c:pt>
                <c:pt idx="166">
                  <c:v>4.0780000000000003</c:v>
                </c:pt>
                <c:pt idx="167">
                  <c:v>0.99199999999999999</c:v>
                </c:pt>
                <c:pt idx="168">
                  <c:v>1.8552</c:v>
                </c:pt>
                <c:pt idx="169">
                  <c:v>16.797000000000001</c:v>
                </c:pt>
                <c:pt idx="170">
                  <c:v>4.4584999999999999</c:v>
                </c:pt>
                <c:pt idx="171">
                  <c:v>-0.8911</c:v>
                </c:pt>
                <c:pt idx="172">
                  <c:v>23.9238</c:v>
                </c:pt>
                <c:pt idx="173">
                  <c:v>71.929900000000004</c:v>
                </c:pt>
                <c:pt idx="174">
                  <c:v>69.956800000000001</c:v>
                </c:pt>
                <c:pt idx="175">
                  <c:v>20.9666</c:v>
                </c:pt>
                <c:pt idx="176">
                  <c:v>24.151299999999999</c:v>
                </c:pt>
                <c:pt idx="177">
                  <c:v>7.7854999999999999</c:v>
                </c:pt>
                <c:pt idx="178">
                  <c:v>20.508099999999999</c:v>
                </c:pt>
                <c:pt idx="179">
                  <c:v>0.9819</c:v>
                </c:pt>
                <c:pt idx="180">
                  <c:v>0.87460000000000004</c:v>
                </c:pt>
                <c:pt idx="181">
                  <c:v>17.441400000000002</c:v>
                </c:pt>
                <c:pt idx="182">
                  <c:v>1.5780000000000001</c:v>
                </c:pt>
                <c:pt idx="183">
                  <c:v>51.340499999999999</c:v>
                </c:pt>
                <c:pt idx="184">
                  <c:v>17.985700000000001</c:v>
                </c:pt>
                <c:pt idx="185">
                  <c:v>58.359000000000002</c:v>
                </c:pt>
                <c:pt idx="186">
                  <c:v>163.18770000000001</c:v>
                </c:pt>
                <c:pt idx="187">
                  <c:v>20.550799999999999</c:v>
                </c:pt>
                <c:pt idx="188">
                  <c:v>2.4965000000000002</c:v>
                </c:pt>
                <c:pt idx="189">
                  <c:v>-0.19939999999999999</c:v>
                </c:pt>
                <c:pt idx="190">
                  <c:v>-2.3231000000000002</c:v>
                </c:pt>
                <c:pt idx="191">
                  <c:v>31.818899999999999</c:v>
                </c:pt>
                <c:pt idx="192">
                  <c:v>-0.79410000000000003</c:v>
                </c:pt>
                <c:pt idx="193">
                  <c:v>104.3683</c:v>
                </c:pt>
                <c:pt idx="194">
                  <c:v>-6.6742999999999997</c:v>
                </c:pt>
                <c:pt idx="195">
                  <c:v>37.108800000000002</c:v>
                </c:pt>
                <c:pt idx="196">
                  <c:v>-0.56440000000000001</c:v>
                </c:pt>
                <c:pt idx="197">
                  <c:v>16.072500000000002</c:v>
                </c:pt>
                <c:pt idx="198">
                  <c:v>1.6672</c:v>
                </c:pt>
                <c:pt idx="199">
                  <c:v>42.286799999999999</c:v>
                </c:pt>
                <c:pt idx="200">
                  <c:v>18.1432</c:v>
                </c:pt>
                <c:pt idx="201">
                  <c:v>7.2986000000000004</c:v>
                </c:pt>
                <c:pt idx="202">
                  <c:v>31.6541</c:v>
                </c:pt>
                <c:pt idx="203">
                  <c:v>0.53769999999999996</c:v>
                </c:pt>
                <c:pt idx="204">
                  <c:v>-2.9731999999999998</c:v>
                </c:pt>
                <c:pt idx="205">
                  <c:v>-5.2698</c:v>
                </c:pt>
                <c:pt idx="206">
                  <c:v>-0.17230000000000001</c:v>
                </c:pt>
                <c:pt idx="207">
                  <c:v>27.8369</c:v>
                </c:pt>
                <c:pt idx="208">
                  <c:v>33.0884</c:v>
                </c:pt>
                <c:pt idx="209">
                  <c:v>17.495799999999999</c:v>
                </c:pt>
                <c:pt idx="210">
                  <c:v>6.5090000000000003</c:v>
                </c:pt>
                <c:pt idx="211">
                  <c:v>2.4771999999999998</c:v>
                </c:pt>
                <c:pt idx="212">
                  <c:v>6.9541000000000004</c:v>
                </c:pt>
                <c:pt idx="213">
                  <c:v>8.6469000000000005</c:v>
                </c:pt>
                <c:pt idx="214">
                  <c:v>32.5289</c:v>
                </c:pt>
                <c:pt idx="215">
                  <c:v>43.634700000000002</c:v>
                </c:pt>
                <c:pt idx="216">
                  <c:v>29.9117</c:v>
                </c:pt>
                <c:pt idx="217">
                  <c:v>5.8441999999999998</c:v>
                </c:pt>
                <c:pt idx="218">
                  <c:v>-0.3327</c:v>
                </c:pt>
                <c:pt idx="219">
                  <c:v>1.6494</c:v>
                </c:pt>
                <c:pt idx="220">
                  <c:v>1.8363</c:v>
                </c:pt>
                <c:pt idx="221">
                  <c:v>8.2406000000000006</c:v>
                </c:pt>
                <c:pt idx="222">
                  <c:v>-0.9395</c:v>
                </c:pt>
                <c:pt idx="223">
                  <c:v>47.990099999999998</c:v>
                </c:pt>
                <c:pt idx="224">
                  <c:v>59.6755</c:v>
                </c:pt>
                <c:pt idx="225">
                  <c:v>0.51859999999999995</c:v>
                </c:pt>
                <c:pt idx="226">
                  <c:v>7.6990999999999996</c:v>
                </c:pt>
                <c:pt idx="227">
                  <c:v>0.99660000000000004</c:v>
                </c:pt>
                <c:pt idx="228">
                  <c:v>0.45540000000000003</c:v>
                </c:pt>
                <c:pt idx="229">
                  <c:v>1.9956</c:v>
                </c:pt>
                <c:pt idx="230">
                  <c:v>11.0289</c:v>
                </c:pt>
                <c:pt idx="231">
                  <c:v>14.8118</c:v>
                </c:pt>
                <c:pt idx="232">
                  <c:v>24.429500000000001</c:v>
                </c:pt>
                <c:pt idx="233">
                  <c:v>-1.3309</c:v>
                </c:pt>
                <c:pt idx="234">
                  <c:v>1.5358000000000001</c:v>
                </c:pt>
                <c:pt idx="235">
                  <c:v>1.681</c:v>
                </c:pt>
                <c:pt idx="236">
                  <c:v>53.626600000000003</c:v>
                </c:pt>
                <c:pt idx="237">
                  <c:v>7.4230999999999998</c:v>
                </c:pt>
                <c:pt idx="238">
                  <c:v>0.93630000000000002</c:v>
                </c:pt>
                <c:pt idx="239">
                  <c:v>1.7073</c:v>
                </c:pt>
                <c:pt idx="240">
                  <c:v>4.8430999999999997</c:v>
                </c:pt>
                <c:pt idx="241">
                  <c:v>25.951599999999999</c:v>
                </c:pt>
                <c:pt idx="242">
                  <c:v>16.9344</c:v>
                </c:pt>
                <c:pt idx="243">
                  <c:v>145.3193</c:v>
                </c:pt>
                <c:pt idx="244">
                  <c:v>63.081600000000002</c:v>
                </c:pt>
                <c:pt idx="245">
                  <c:v>22.563099999999999</c:v>
                </c:pt>
                <c:pt idx="246">
                  <c:v>4.5727000000000002</c:v>
                </c:pt>
                <c:pt idx="247">
                  <c:v>10.6533</c:v>
                </c:pt>
                <c:pt idx="248">
                  <c:v>0.93640000000000001</c:v>
                </c:pt>
                <c:pt idx="249">
                  <c:v>4.5625</c:v>
                </c:pt>
                <c:pt idx="250">
                  <c:v>19.029900000000001</c:v>
                </c:pt>
                <c:pt idx="251">
                  <c:v>0.55459999999999998</c:v>
                </c:pt>
                <c:pt idx="252">
                  <c:v>1.7583</c:v>
                </c:pt>
                <c:pt idx="253">
                  <c:v>7.4458000000000002</c:v>
                </c:pt>
                <c:pt idx="254">
                  <c:v>-2.2504</c:v>
                </c:pt>
                <c:pt idx="255">
                  <c:v>46.084800000000001</c:v>
                </c:pt>
                <c:pt idx="256">
                  <c:v>-0.86919999999999997</c:v>
                </c:pt>
                <c:pt idx="257">
                  <c:v>1.8762000000000001</c:v>
                </c:pt>
                <c:pt idx="258">
                  <c:v>4.2869999999999999</c:v>
                </c:pt>
                <c:pt idx="259">
                  <c:v>49.997799999999998</c:v>
                </c:pt>
                <c:pt idx="260">
                  <c:v>-2.5644999999999998</c:v>
                </c:pt>
                <c:pt idx="261">
                  <c:v>3.956</c:v>
                </c:pt>
                <c:pt idx="262">
                  <c:v>0.6179</c:v>
                </c:pt>
                <c:pt idx="263">
                  <c:v>-0.315</c:v>
                </c:pt>
                <c:pt idx="264">
                  <c:v>58.664200000000001</c:v>
                </c:pt>
                <c:pt idx="265">
                  <c:v>0.32019999999999998</c:v>
                </c:pt>
                <c:pt idx="266">
                  <c:v>33.272599999999997</c:v>
                </c:pt>
                <c:pt idx="267">
                  <c:v>-0.86060000000000003</c:v>
                </c:pt>
                <c:pt idx="268">
                  <c:v>2.2501000000000002</c:v>
                </c:pt>
                <c:pt idx="269">
                  <c:v>-0.17560000000000001</c:v>
                </c:pt>
                <c:pt idx="270">
                  <c:v>43.9694</c:v>
                </c:pt>
                <c:pt idx="271">
                  <c:v>54.909399999999998</c:v>
                </c:pt>
                <c:pt idx="272">
                  <c:v>15.6755</c:v>
                </c:pt>
                <c:pt idx="273">
                  <c:v>13.5731</c:v>
                </c:pt>
                <c:pt idx="274">
                  <c:v>41.155000000000001</c:v>
                </c:pt>
                <c:pt idx="275">
                  <c:v>3.7187000000000001</c:v>
                </c:pt>
                <c:pt idx="276">
                  <c:v>14.510199999999999</c:v>
                </c:pt>
                <c:pt idx="277">
                  <c:v>9.9385999999999992</c:v>
                </c:pt>
                <c:pt idx="278">
                  <c:v>63.823900000000002</c:v>
                </c:pt>
                <c:pt idx="279">
                  <c:v>45.356900000000003</c:v>
                </c:pt>
                <c:pt idx="280">
                  <c:v>57.868400000000001</c:v>
                </c:pt>
                <c:pt idx="281">
                  <c:v>15.230600000000001</c:v>
                </c:pt>
                <c:pt idx="282">
                  <c:v>4.4470999999999998</c:v>
                </c:pt>
                <c:pt idx="283">
                  <c:v>5.0039999999999996</c:v>
                </c:pt>
                <c:pt idx="284">
                  <c:v>34.757100000000001</c:v>
                </c:pt>
                <c:pt idx="285">
                  <c:v>4.9310999999999998</c:v>
                </c:pt>
                <c:pt idx="286">
                  <c:v>-0.74890000000000001</c:v>
                </c:pt>
                <c:pt idx="287">
                  <c:v>40.049799999999998</c:v>
                </c:pt>
                <c:pt idx="288">
                  <c:v>4.3609</c:v>
                </c:pt>
                <c:pt idx="289">
                  <c:v>15.7972</c:v>
                </c:pt>
                <c:pt idx="290">
                  <c:v>-2.7223000000000002</c:v>
                </c:pt>
                <c:pt idx="291">
                  <c:v>10.8375</c:v>
                </c:pt>
                <c:pt idx="292">
                  <c:v>4.9404000000000003</c:v>
                </c:pt>
                <c:pt idx="293">
                  <c:v>2.1798999999999999</c:v>
                </c:pt>
                <c:pt idx="294">
                  <c:v>37.409999999999997</c:v>
                </c:pt>
                <c:pt idx="295">
                  <c:v>22.173400000000001</c:v>
                </c:pt>
                <c:pt idx="296">
                  <c:v>1.0863</c:v>
                </c:pt>
                <c:pt idx="297">
                  <c:v>2.4693000000000001</c:v>
                </c:pt>
                <c:pt idx="298">
                  <c:v>18.967400000000001</c:v>
                </c:pt>
                <c:pt idx="299">
                  <c:v>38.551400000000001</c:v>
                </c:pt>
                <c:pt idx="300">
                  <c:v>21.7958</c:v>
                </c:pt>
                <c:pt idx="301">
                  <c:v>1.6369</c:v>
                </c:pt>
                <c:pt idx="302">
                  <c:v>20.871099999999998</c:v>
                </c:pt>
                <c:pt idx="303">
                  <c:v>19.974599999999999</c:v>
                </c:pt>
                <c:pt idx="304">
                  <c:v>16.482700000000001</c:v>
                </c:pt>
                <c:pt idx="305">
                  <c:v>44.196599999999997</c:v>
                </c:pt>
                <c:pt idx="306">
                  <c:v>0.99390000000000001</c:v>
                </c:pt>
                <c:pt idx="307">
                  <c:v>4.9058999999999999</c:v>
                </c:pt>
                <c:pt idx="308">
                  <c:v>51.456600000000002</c:v>
                </c:pt>
                <c:pt idx="309">
                  <c:v>11.5731</c:v>
                </c:pt>
                <c:pt idx="310">
                  <c:v>28.359000000000002</c:v>
                </c:pt>
                <c:pt idx="311">
                  <c:v>-2.4302999999999999</c:v>
                </c:pt>
                <c:pt idx="312">
                  <c:v>-2.0424000000000002</c:v>
                </c:pt>
                <c:pt idx="313">
                  <c:v>-0.61799999999999999</c:v>
                </c:pt>
                <c:pt idx="314">
                  <c:v>-0.21310000000000001</c:v>
                </c:pt>
                <c:pt idx="315">
                  <c:v>8.9208999999999996</c:v>
                </c:pt>
                <c:pt idx="316">
                  <c:v>54.161799999999999</c:v>
                </c:pt>
                <c:pt idx="317">
                  <c:v>42.584099999999999</c:v>
                </c:pt>
                <c:pt idx="318">
                  <c:v>-1.4211</c:v>
                </c:pt>
                <c:pt idx="319">
                  <c:v>14.2423</c:v>
                </c:pt>
                <c:pt idx="320">
                  <c:v>33.366799999999998</c:v>
                </c:pt>
                <c:pt idx="321">
                  <c:v>-3.1025</c:v>
                </c:pt>
                <c:pt idx="322">
                  <c:v>8.0383999999999993</c:v>
                </c:pt>
                <c:pt idx="323">
                  <c:v>4.7454999999999998</c:v>
                </c:pt>
                <c:pt idx="324">
                  <c:v>-2.3186</c:v>
                </c:pt>
                <c:pt idx="325">
                  <c:v>-0.41710000000000003</c:v>
                </c:pt>
                <c:pt idx="326">
                  <c:v>-1.9738</c:v>
                </c:pt>
                <c:pt idx="327">
                  <c:v>29.359000000000002</c:v>
                </c:pt>
                <c:pt idx="328">
                  <c:v>32.661700000000003</c:v>
                </c:pt>
                <c:pt idx="329">
                  <c:v>2.5707</c:v>
                </c:pt>
                <c:pt idx="330">
                  <c:v>13.2613</c:v>
                </c:pt>
                <c:pt idx="331">
                  <c:v>-3.8934000000000002</c:v>
                </c:pt>
                <c:pt idx="332">
                  <c:v>103.785</c:v>
                </c:pt>
                <c:pt idx="333">
                  <c:v>11.6343</c:v>
                </c:pt>
                <c:pt idx="334">
                  <c:v>-4.6894</c:v>
                </c:pt>
                <c:pt idx="335">
                  <c:v>10.6599</c:v>
                </c:pt>
                <c:pt idx="336">
                  <c:v>0.73509999999999998</c:v>
                </c:pt>
                <c:pt idx="337">
                  <c:v>20.3977</c:v>
                </c:pt>
                <c:pt idx="338">
                  <c:v>10.06</c:v>
                </c:pt>
                <c:pt idx="339">
                  <c:v>35.243000000000002</c:v>
                </c:pt>
                <c:pt idx="340">
                  <c:v>5.8209</c:v>
                </c:pt>
                <c:pt idx="341">
                  <c:v>4.7832999999999997</c:v>
                </c:pt>
                <c:pt idx="342">
                  <c:v>1.3665</c:v>
                </c:pt>
                <c:pt idx="343">
                  <c:v>-0.4919</c:v>
                </c:pt>
                <c:pt idx="344">
                  <c:v>61.4724</c:v>
                </c:pt>
                <c:pt idx="345">
                  <c:v>8.8705999999999996</c:v>
                </c:pt>
                <c:pt idx="346">
                  <c:v>35.248399999999997</c:v>
                </c:pt>
                <c:pt idx="347">
                  <c:v>1.3347</c:v>
                </c:pt>
                <c:pt idx="348">
                  <c:v>-2.7231999999999998</c:v>
                </c:pt>
                <c:pt idx="349">
                  <c:v>34.694200000000002</c:v>
                </c:pt>
                <c:pt idx="350">
                  <c:v>4.2352999999999996</c:v>
                </c:pt>
                <c:pt idx="351">
                  <c:v>7.9399999999999998E-2</c:v>
                </c:pt>
                <c:pt idx="352">
                  <c:v>36.433</c:v>
                </c:pt>
                <c:pt idx="353">
                  <c:v>11.296200000000001</c:v>
                </c:pt>
                <c:pt idx="354">
                  <c:v>-1.518</c:v>
                </c:pt>
                <c:pt idx="355">
                  <c:v>6.0674000000000001</c:v>
                </c:pt>
                <c:pt idx="356">
                  <c:v>10.3903</c:v>
                </c:pt>
                <c:pt idx="357">
                  <c:v>0.81530000000000002</c:v>
                </c:pt>
                <c:pt idx="358">
                  <c:v>-0.86760000000000004</c:v>
                </c:pt>
                <c:pt idx="359">
                  <c:v>19.6313</c:v>
                </c:pt>
                <c:pt idx="360">
                  <c:v>13.169700000000001</c:v>
                </c:pt>
                <c:pt idx="361">
                  <c:v>-7.46E-2</c:v>
                </c:pt>
                <c:pt idx="362">
                  <c:v>23.886600000000001</c:v>
                </c:pt>
                <c:pt idx="363">
                  <c:v>0.57779999999999998</c:v>
                </c:pt>
                <c:pt idx="364">
                  <c:v>2.9939</c:v>
                </c:pt>
                <c:pt idx="365">
                  <c:v>0.86319999999999997</c:v>
                </c:pt>
                <c:pt idx="366">
                  <c:v>46.597499999999997</c:v>
                </c:pt>
                <c:pt idx="367">
                  <c:v>15.056800000000001</c:v>
                </c:pt>
                <c:pt idx="368">
                  <c:v>6.5465</c:v>
                </c:pt>
                <c:pt idx="369">
                  <c:v>10.1686</c:v>
                </c:pt>
                <c:pt idx="370">
                  <c:v>8.2814999999999994</c:v>
                </c:pt>
                <c:pt idx="371">
                  <c:v>-2.5289999999999999</c:v>
                </c:pt>
                <c:pt idx="372">
                  <c:v>0.62729999999999997</c:v>
                </c:pt>
                <c:pt idx="373">
                  <c:v>-4.9599999999999998E-2</c:v>
                </c:pt>
                <c:pt idx="374">
                  <c:v>15.3148</c:v>
                </c:pt>
                <c:pt idx="375">
                  <c:v>42.2194</c:v>
                </c:pt>
                <c:pt idx="376">
                  <c:v>1.4201999999999999</c:v>
                </c:pt>
                <c:pt idx="377">
                  <c:v>1.46</c:v>
                </c:pt>
                <c:pt idx="378">
                  <c:v>-1.9963</c:v>
                </c:pt>
                <c:pt idx="379">
                  <c:v>76.610200000000006</c:v>
                </c:pt>
                <c:pt idx="380">
                  <c:v>8.1318000000000001</c:v>
                </c:pt>
                <c:pt idx="381">
                  <c:v>0.69950000000000001</c:v>
                </c:pt>
                <c:pt idx="382">
                  <c:v>6.4799999999999996E-2</c:v>
                </c:pt>
                <c:pt idx="383">
                  <c:v>-0.66600000000000004</c:v>
                </c:pt>
                <c:pt idx="384">
                  <c:v>1.8304</c:v>
                </c:pt>
                <c:pt idx="385">
                  <c:v>-1.6205000000000001</c:v>
                </c:pt>
                <c:pt idx="386">
                  <c:v>24.7471</c:v>
                </c:pt>
                <c:pt idx="387">
                  <c:v>30.9635</c:v>
                </c:pt>
                <c:pt idx="388">
                  <c:v>-1.1197999999999999</c:v>
                </c:pt>
                <c:pt idx="389">
                  <c:v>0.45340000000000003</c:v>
                </c:pt>
                <c:pt idx="390">
                  <c:v>6.0496999999999996</c:v>
                </c:pt>
                <c:pt idx="391">
                  <c:v>16.429400000000001</c:v>
                </c:pt>
                <c:pt idx="392">
                  <c:v>-1.8696999999999999</c:v>
                </c:pt>
                <c:pt idx="393">
                  <c:v>0.76349999999999996</c:v>
                </c:pt>
                <c:pt idx="394">
                  <c:v>49.44</c:v>
                </c:pt>
                <c:pt idx="395">
                  <c:v>10.021800000000001</c:v>
                </c:pt>
                <c:pt idx="396">
                  <c:v>34.820599999999999</c:v>
                </c:pt>
                <c:pt idx="397">
                  <c:v>19.044699999999999</c:v>
                </c:pt>
                <c:pt idx="398">
                  <c:v>17.800599999999999</c:v>
                </c:pt>
                <c:pt idx="399">
                  <c:v>112.58499999999999</c:v>
                </c:pt>
                <c:pt idx="400">
                  <c:v>25.495100000000001</c:v>
                </c:pt>
                <c:pt idx="401">
                  <c:v>10.2675</c:v>
                </c:pt>
                <c:pt idx="402">
                  <c:v>14.6182</c:v>
                </c:pt>
                <c:pt idx="403">
                  <c:v>0.86309999999999998</c:v>
                </c:pt>
                <c:pt idx="404">
                  <c:v>2.7927</c:v>
                </c:pt>
                <c:pt idx="405">
                  <c:v>33.493099999999998</c:v>
                </c:pt>
                <c:pt idx="406">
                  <c:v>2.0629</c:v>
                </c:pt>
                <c:pt idx="407">
                  <c:v>30.053699999999999</c:v>
                </c:pt>
                <c:pt idx="408">
                  <c:v>0.10879999999999999</c:v>
                </c:pt>
                <c:pt idx="409">
                  <c:v>-1.6293</c:v>
                </c:pt>
                <c:pt idx="410">
                  <c:v>14.926600000000001</c:v>
                </c:pt>
                <c:pt idx="411">
                  <c:v>10.5741</c:v>
                </c:pt>
                <c:pt idx="412">
                  <c:v>26.7135</c:v>
                </c:pt>
                <c:pt idx="413">
                  <c:v>0.35899999999999999</c:v>
                </c:pt>
                <c:pt idx="414">
                  <c:v>18.0976</c:v>
                </c:pt>
                <c:pt idx="415">
                  <c:v>3.6406000000000001</c:v>
                </c:pt>
                <c:pt idx="416">
                  <c:v>1.1145</c:v>
                </c:pt>
                <c:pt idx="417">
                  <c:v>2.8894000000000002</c:v>
                </c:pt>
                <c:pt idx="418">
                  <c:v>-2.3969999999999998</c:v>
                </c:pt>
                <c:pt idx="419">
                  <c:v>28.889700000000001</c:v>
                </c:pt>
                <c:pt idx="420">
                  <c:v>48.449300000000001</c:v>
                </c:pt>
                <c:pt idx="421">
                  <c:v>0.64249999999999996</c:v>
                </c:pt>
                <c:pt idx="422">
                  <c:v>2.7864</c:v>
                </c:pt>
                <c:pt idx="423">
                  <c:v>5.1966000000000001</c:v>
                </c:pt>
                <c:pt idx="424">
                  <c:v>0.48799999999999999</c:v>
                </c:pt>
                <c:pt idx="425">
                  <c:v>-4.6692999999999998</c:v>
                </c:pt>
                <c:pt idx="426">
                  <c:v>-0.71230000000000004</c:v>
                </c:pt>
                <c:pt idx="427">
                  <c:v>18.7348</c:v>
                </c:pt>
                <c:pt idx="428">
                  <c:v>0.89429999999999998</c:v>
                </c:pt>
                <c:pt idx="429">
                  <c:v>16.392700000000001</c:v>
                </c:pt>
                <c:pt idx="430">
                  <c:v>17.093399999999999</c:v>
                </c:pt>
                <c:pt idx="431">
                  <c:v>3.1886000000000001</c:v>
                </c:pt>
                <c:pt idx="432">
                  <c:v>-2.2115</c:v>
                </c:pt>
                <c:pt idx="433">
                  <c:v>0.79959999999999998</c:v>
                </c:pt>
                <c:pt idx="434">
                  <c:v>-1.4055</c:v>
                </c:pt>
                <c:pt idx="435">
                  <c:v>-2.9081000000000001</c:v>
                </c:pt>
                <c:pt idx="436">
                  <c:v>62.373600000000003</c:v>
                </c:pt>
                <c:pt idx="437">
                  <c:v>32.902900000000002</c:v>
                </c:pt>
                <c:pt idx="438">
                  <c:v>1.2384999999999999</c:v>
                </c:pt>
                <c:pt idx="439">
                  <c:v>-1.6973</c:v>
                </c:pt>
                <c:pt idx="440">
                  <c:v>3.9744999999999999</c:v>
                </c:pt>
                <c:pt idx="441">
                  <c:v>60.626300000000001</c:v>
                </c:pt>
                <c:pt idx="442">
                  <c:v>41.688400000000001</c:v>
                </c:pt>
                <c:pt idx="443">
                  <c:v>27.128599999999999</c:v>
                </c:pt>
                <c:pt idx="444">
                  <c:v>1.7435</c:v>
                </c:pt>
                <c:pt idx="445">
                  <c:v>19.629899999999999</c:v>
                </c:pt>
                <c:pt idx="446">
                  <c:v>50.693100000000001</c:v>
                </c:pt>
                <c:pt idx="447">
                  <c:v>26.5367</c:v>
                </c:pt>
                <c:pt idx="448">
                  <c:v>72.506799999999998</c:v>
                </c:pt>
                <c:pt idx="449">
                  <c:v>5.5735000000000001</c:v>
                </c:pt>
                <c:pt idx="450">
                  <c:v>0.12230000000000001</c:v>
                </c:pt>
                <c:pt idx="451">
                  <c:v>0.93569999999999998</c:v>
                </c:pt>
                <c:pt idx="452">
                  <c:v>0.50539999999999996</c:v>
                </c:pt>
                <c:pt idx="453">
                  <c:v>8.2194000000000003</c:v>
                </c:pt>
                <c:pt idx="454">
                  <c:v>-5.8599999999999999E-2</c:v>
                </c:pt>
                <c:pt idx="455">
                  <c:v>5.7153</c:v>
                </c:pt>
                <c:pt idx="456">
                  <c:v>-5.8599999999999999E-2</c:v>
                </c:pt>
                <c:pt idx="457">
                  <c:v>-1.1839999999999999</c:v>
                </c:pt>
                <c:pt idx="458">
                  <c:v>62.648600000000002</c:v>
                </c:pt>
                <c:pt idx="459">
                  <c:v>27.107600000000001</c:v>
                </c:pt>
                <c:pt idx="460">
                  <c:v>-0.46650000000000003</c:v>
                </c:pt>
                <c:pt idx="461">
                  <c:v>7.2495000000000003</c:v>
                </c:pt>
                <c:pt idx="462">
                  <c:v>12.6267</c:v>
                </c:pt>
                <c:pt idx="463">
                  <c:v>14.464499999999999</c:v>
                </c:pt>
                <c:pt idx="464">
                  <c:v>-0.84360000000000002</c:v>
                </c:pt>
                <c:pt idx="465">
                  <c:v>0.71419999999999995</c:v>
                </c:pt>
                <c:pt idx="466">
                  <c:v>-2.1204000000000001</c:v>
                </c:pt>
                <c:pt idx="467">
                  <c:v>-0.54459999999999997</c:v>
                </c:pt>
                <c:pt idx="468">
                  <c:v>-1.3615999999999999</c:v>
                </c:pt>
                <c:pt idx="469">
                  <c:v>6.8209999999999997</c:v>
                </c:pt>
                <c:pt idx="470">
                  <c:v>1.2314000000000001</c:v>
                </c:pt>
                <c:pt idx="471">
                  <c:v>-1.7241</c:v>
                </c:pt>
                <c:pt idx="472">
                  <c:v>42.9101</c:v>
                </c:pt>
                <c:pt idx="473">
                  <c:v>4.5132000000000003</c:v>
                </c:pt>
                <c:pt idx="474">
                  <c:v>11.9207</c:v>
                </c:pt>
                <c:pt idx="475">
                  <c:v>0.42099999999999999</c:v>
                </c:pt>
                <c:pt idx="476">
                  <c:v>23.268599999999999</c:v>
                </c:pt>
                <c:pt idx="477">
                  <c:v>12.921099999999999</c:v>
                </c:pt>
                <c:pt idx="478">
                  <c:v>-0.91559999999999997</c:v>
                </c:pt>
                <c:pt idx="479">
                  <c:v>9.6600000000000005E-2</c:v>
                </c:pt>
                <c:pt idx="480">
                  <c:v>-4.1799999999999997E-2</c:v>
                </c:pt>
                <c:pt idx="481">
                  <c:v>54.7288</c:v>
                </c:pt>
                <c:pt idx="482">
                  <c:v>1.9184000000000001</c:v>
                </c:pt>
                <c:pt idx="483">
                  <c:v>44.202199999999998</c:v>
                </c:pt>
                <c:pt idx="484">
                  <c:v>13.8119</c:v>
                </c:pt>
                <c:pt idx="485">
                  <c:v>41.214100000000002</c:v>
                </c:pt>
                <c:pt idx="486">
                  <c:v>-1.7504</c:v>
                </c:pt>
                <c:pt idx="487">
                  <c:v>45.750300000000003</c:v>
                </c:pt>
                <c:pt idx="488">
                  <c:v>59.412700000000001</c:v>
                </c:pt>
                <c:pt idx="489">
                  <c:v>43.615200000000002</c:v>
                </c:pt>
                <c:pt idx="490">
                  <c:v>6.3701999999999996</c:v>
                </c:pt>
                <c:pt idx="491">
                  <c:v>21.376000000000001</c:v>
                </c:pt>
                <c:pt idx="492">
                  <c:v>100.0686</c:v>
                </c:pt>
                <c:pt idx="493">
                  <c:v>-0.62849999999999995</c:v>
                </c:pt>
                <c:pt idx="494">
                  <c:v>8.1602999999999994</c:v>
                </c:pt>
                <c:pt idx="495">
                  <c:v>9.8529999999999998</c:v>
                </c:pt>
                <c:pt idx="496">
                  <c:v>17.226299999999998</c:v>
                </c:pt>
                <c:pt idx="497">
                  <c:v>18.608000000000001</c:v>
                </c:pt>
                <c:pt idx="498">
                  <c:v>22.44</c:v>
                </c:pt>
                <c:pt idx="499">
                  <c:v>12.6572</c:v>
                </c:pt>
                <c:pt idx="500">
                  <c:v>5.6501000000000001</c:v>
                </c:pt>
                <c:pt idx="501">
                  <c:v>17.3551</c:v>
                </c:pt>
                <c:pt idx="502">
                  <c:v>59.645000000000003</c:v>
                </c:pt>
                <c:pt idx="503">
                  <c:v>-1.4717</c:v>
                </c:pt>
                <c:pt idx="504">
                  <c:v>66.064599999999999</c:v>
                </c:pt>
                <c:pt idx="505">
                  <c:v>1.4722999999999999</c:v>
                </c:pt>
                <c:pt idx="506">
                  <c:v>20.319800000000001</c:v>
                </c:pt>
                <c:pt idx="507">
                  <c:v>1.0075000000000001</c:v>
                </c:pt>
                <c:pt idx="508">
                  <c:v>12.898199999999999</c:v>
                </c:pt>
                <c:pt idx="509">
                  <c:v>2.7351000000000001</c:v>
                </c:pt>
                <c:pt idx="510">
                  <c:v>6.2047999999999996</c:v>
                </c:pt>
                <c:pt idx="511">
                  <c:v>-8.7499999999999994E-2</c:v>
                </c:pt>
                <c:pt idx="512">
                  <c:v>12.612</c:v>
                </c:pt>
                <c:pt idx="513">
                  <c:v>102.01519999999999</c:v>
                </c:pt>
                <c:pt idx="514">
                  <c:v>1.4112</c:v>
                </c:pt>
                <c:pt idx="515">
                  <c:v>0.94810000000000005</c:v>
                </c:pt>
                <c:pt idx="516">
                  <c:v>3.7463000000000002</c:v>
                </c:pt>
                <c:pt idx="517">
                  <c:v>20.895199999999999</c:v>
                </c:pt>
                <c:pt idx="518">
                  <c:v>-8.6499999999999994E-2</c:v>
                </c:pt>
                <c:pt idx="519">
                  <c:v>-0.93010000000000004</c:v>
                </c:pt>
                <c:pt idx="520">
                  <c:v>11.866099999999999</c:v>
                </c:pt>
                <c:pt idx="521">
                  <c:v>91.2483</c:v>
                </c:pt>
                <c:pt idx="522">
                  <c:v>38.207299999999996</c:v>
                </c:pt>
                <c:pt idx="523">
                  <c:v>10.504</c:v>
                </c:pt>
                <c:pt idx="524">
                  <c:v>8.6719000000000008</c:v>
                </c:pt>
                <c:pt idx="525">
                  <c:v>-0.62060000000000004</c:v>
                </c:pt>
                <c:pt idx="526">
                  <c:v>13.4956</c:v>
                </c:pt>
                <c:pt idx="527">
                  <c:v>0.16109999999999999</c:v>
                </c:pt>
                <c:pt idx="528">
                  <c:v>0.65169999999999995</c:v>
                </c:pt>
                <c:pt idx="529">
                  <c:v>3.4354</c:v>
                </c:pt>
                <c:pt idx="530">
                  <c:v>2.5628000000000002</c:v>
                </c:pt>
                <c:pt idx="531">
                  <c:v>16.7105</c:v>
                </c:pt>
                <c:pt idx="532">
                  <c:v>54.740099999999998</c:v>
                </c:pt>
                <c:pt idx="533">
                  <c:v>63.629600000000003</c:v>
                </c:pt>
                <c:pt idx="534">
                  <c:v>-1.7881</c:v>
                </c:pt>
                <c:pt idx="535">
                  <c:v>1.0305</c:v>
                </c:pt>
                <c:pt idx="536">
                  <c:v>-2.0499999999999998</c:v>
                </c:pt>
                <c:pt idx="537">
                  <c:v>-0.41160000000000002</c:v>
                </c:pt>
                <c:pt idx="538">
                  <c:v>22.792400000000001</c:v>
                </c:pt>
                <c:pt idx="539">
                  <c:v>33.158200000000001</c:v>
                </c:pt>
                <c:pt idx="540">
                  <c:v>47.388500000000001</c:v>
                </c:pt>
                <c:pt idx="541">
                  <c:v>2.5215000000000001</c:v>
                </c:pt>
                <c:pt idx="542">
                  <c:v>11.508599999999999</c:v>
                </c:pt>
                <c:pt idx="543">
                  <c:v>5.5269000000000004</c:v>
                </c:pt>
                <c:pt idx="544">
                  <c:v>7.4946999999999999</c:v>
                </c:pt>
                <c:pt idx="545">
                  <c:v>3.0007999999999999</c:v>
                </c:pt>
                <c:pt idx="546">
                  <c:v>-3.36</c:v>
                </c:pt>
                <c:pt idx="547">
                  <c:v>0.37640000000000001</c:v>
                </c:pt>
                <c:pt idx="548">
                  <c:v>12.5036</c:v>
                </c:pt>
                <c:pt idx="549">
                  <c:v>5.5928000000000004</c:v>
                </c:pt>
                <c:pt idx="550">
                  <c:v>7.1847000000000003</c:v>
                </c:pt>
                <c:pt idx="551">
                  <c:v>29.2987</c:v>
                </c:pt>
                <c:pt idx="552">
                  <c:v>30.653300000000002</c:v>
                </c:pt>
                <c:pt idx="553">
                  <c:v>22.5243</c:v>
                </c:pt>
                <c:pt idx="554">
                  <c:v>1.8483000000000001</c:v>
                </c:pt>
                <c:pt idx="555">
                  <c:v>-1.9330000000000001</c:v>
                </c:pt>
                <c:pt idx="556">
                  <c:v>37.167099999999998</c:v>
                </c:pt>
                <c:pt idx="557">
                  <c:v>0.53979999999999995</c:v>
                </c:pt>
                <c:pt idx="558">
                  <c:v>11.323700000000001</c:v>
                </c:pt>
                <c:pt idx="559">
                  <c:v>-1.1980999999999999</c:v>
                </c:pt>
                <c:pt idx="560">
                  <c:v>-0.97130000000000005</c:v>
                </c:pt>
                <c:pt idx="561">
                  <c:v>5.5659999999999998</c:v>
                </c:pt>
                <c:pt idx="562">
                  <c:v>38.171500000000002</c:v>
                </c:pt>
                <c:pt idx="563">
                  <c:v>2.7699999999999999E-2</c:v>
                </c:pt>
                <c:pt idx="564">
                  <c:v>3.5407000000000002</c:v>
                </c:pt>
                <c:pt idx="565">
                  <c:v>55.207999999999998</c:v>
                </c:pt>
                <c:pt idx="566">
                  <c:v>-1.5109999999999999</c:v>
                </c:pt>
                <c:pt idx="567">
                  <c:v>15.3142</c:v>
                </c:pt>
                <c:pt idx="568">
                  <c:v>-1.0457000000000001</c:v>
                </c:pt>
                <c:pt idx="569">
                  <c:v>12.330500000000001</c:v>
                </c:pt>
                <c:pt idx="570">
                  <c:v>34.132800000000003</c:v>
                </c:pt>
                <c:pt idx="571">
                  <c:v>68.091700000000003</c:v>
                </c:pt>
                <c:pt idx="572">
                  <c:v>6.4150999999999998</c:v>
                </c:pt>
                <c:pt idx="573">
                  <c:v>71.936700000000002</c:v>
                </c:pt>
                <c:pt idx="574">
                  <c:v>2.8736999999999999</c:v>
                </c:pt>
                <c:pt idx="575">
                  <c:v>3.7826</c:v>
                </c:pt>
                <c:pt idx="576">
                  <c:v>16.381799999999998</c:v>
                </c:pt>
                <c:pt idx="577">
                  <c:v>1.9374</c:v>
                </c:pt>
                <c:pt idx="578">
                  <c:v>2.7309999999999999</c:v>
                </c:pt>
                <c:pt idx="579">
                  <c:v>-2.6602999999999999</c:v>
                </c:pt>
                <c:pt idx="580">
                  <c:v>5.3552999999999997</c:v>
                </c:pt>
                <c:pt idx="581">
                  <c:v>1.8529</c:v>
                </c:pt>
                <c:pt idx="582">
                  <c:v>2.7229000000000001</c:v>
                </c:pt>
                <c:pt idx="583">
                  <c:v>2.9270999999999998</c:v>
                </c:pt>
                <c:pt idx="584">
                  <c:v>7.5819000000000001</c:v>
                </c:pt>
                <c:pt idx="585">
                  <c:v>15.9754</c:v>
                </c:pt>
                <c:pt idx="586">
                  <c:v>2.8656000000000001</c:v>
                </c:pt>
                <c:pt idx="587">
                  <c:v>24.864699999999999</c:v>
                </c:pt>
                <c:pt idx="588">
                  <c:v>-4.6231999999999998</c:v>
                </c:pt>
                <c:pt idx="589">
                  <c:v>0.39040000000000002</c:v>
                </c:pt>
                <c:pt idx="590">
                  <c:v>0.48220000000000002</c:v>
                </c:pt>
                <c:pt idx="591">
                  <c:v>2.786</c:v>
                </c:pt>
                <c:pt idx="592">
                  <c:v>0.35830000000000001</c:v>
                </c:pt>
                <c:pt idx="593">
                  <c:v>20.860199999999999</c:v>
                </c:pt>
                <c:pt idx="594">
                  <c:v>19.732500000000002</c:v>
                </c:pt>
                <c:pt idx="595">
                  <c:v>13.276899999999999</c:v>
                </c:pt>
                <c:pt idx="596">
                  <c:v>1.2178</c:v>
                </c:pt>
                <c:pt idx="597">
                  <c:v>19.0639</c:v>
                </c:pt>
                <c:pt idx="598">
                  <c:v>-1.74</c:v>
                </c:pt>
                <c:pt idx="599">
                  <c:v>12.2319</c:v>
                </c:pt>
                <c:pt idx="600">
                  <c:v>22.275700000000001</c:v>
                </c:pt>
                <c:pt idx="601">
                  <c:v>42.734699999999997</c:v>
                </c:pt>
                <c:pt idx="602">
                  <c:v>6.6341000000000001</c:v>
                </c:pt>
                <c:pt idx="603">
                  <c:v>29.036899999999999</c:v>
                </c:pt>
                <c:pt idx="604">
                  <c:v>26.4053</c:v>
                </c:pt>
                <c:pt idx="605">
                  <c:v>16.6982</c:v>
                </c:pt>
                <c:pt idx="606">
                  <c:v>0.1124</c:v>
                </c:pt>
                <c:pt idx="607">
                  <c:v>-1.619</c:v>
                </c:pt>
                <c:pt idx="608">
                  <c:v>1.337</c:v>
                </c:pt>
                <c:pt idx="609">
                  <c:v>2.9392999999999998</c:v>
                </c:pt>
                <c:pt idx="610">
                  <c:v>-0.51580000000000004</c:v>
                </c:pt>
                <c:pt idx="611">
                  <c:v>0.57840000000000003</c:v>
                </c:pt>
                <c:pt idx="612">
                  <c:v>0.96360000000000001</c:v>
                </c:pt>
                <c:pt idx="613">
                  <c:v>20.483899999999998</c:v>
                </c:pt>
                <c:pt idx="614">
                  <c:v>1.7857000000000001</c:v>
                </c:pt>
                <c:pt idx="615">
                  <c:v>-0.45729999999999998</c:v>
                </c:pt>
                <c:pt idx="616">
                  <c:v>-1.3777999999999999</c:v>
                </c:pt>
                <c:pt idx="617">
                  <c:v>79.936000000000007</c:v>
                </c:pt>
                <c:pt idx="618">
                  <c:v>1.8815999999999999</c:v>
                </c:pt>
                <c:pt idx="619">
                  <c:v>34.280999999999999</c:v>
                </c:pt>
                <c:pt idx="620">
                  <c:v>8.5444999999999993</c:v>
                </c:pt>
                <c:pt idx="621">
                  <c:v>-1.4216</c:v>
                </c:pt>
                <c:pt idx="622">
                  <c:v>24.155799999999999</c:v>
                </c:pt>
                <c:pt idx="623">
                  <c:v>27.1952</c:v>
                </c:pt>
                <c:pt idx="624">
                  <c:v>-2.4323000000000001</c:v>
                </c:pt>
                <c:pt idx="625">
                  <c:v>4.1195000000000004</c:v>
                </c:pt>
                <c:pt idx="626">
                  <c:v>37.126399999999997</c:v>
                </c:pt>
                <c:pt idx="627">
                  <c:v>42.862099999999998</c:v>
                </c:pt>
                <c:pt idx="628">
                  <c:v>5.7957999999999998</c:v>
                </c:pt>
                <c:pt idx="629">
                  <c:v>0.53820000000000001</c:v>
                </c:pt>
                <c:pt idx="630">
                  <c:v>1.7704</c:v>
                </c:pt>
                <c:pt idx="631">
                  <c:v>6.5141999999999998</c:v>
                </c:pt>
                <c:pt idx="632">
                  <c:v>24.825299999999999</c:v>
                </c:pt>
                <c:pt idx="633">
                  <c:v>1.5829</c:v>
                </c:pt>
                <c:pt idx="634">
                  <c:v>-0.21249999999999999</c:v>
                </c:pt>
                <c:pt idx="635">
                  <c:v>-0.72719999999999996</c:v>
                </c:pt>
                <c:pt idx="636">
                  <c:v>3.0497000000000001</c:v>
                </c:pt>
                <c:pt idx="637">
                  <c:v>10.716799999999999</c:v>
                </c:pt>
                <c:pt idx="638">
                  <c:v>2.2557999999999998</c:v>
                </c:pt>
                <c:pt idx="639">
                  <c:v>-0.75880000000000003</c:v>
                </c:pt>
                <c:pt idx="640">
                  <c:v>-2.0185</c:v>
                </c:pt>
                <c:pt idx="641">
                  <c:v>0.27100000000000002</c:v>
                </c:pt>
                <c:pt idx="642">
                  <c:v>-1.4648000000000001</c:v>
                </c:pt>
                <c:pt idx="643">
                  <c:v>-0.34970000000000001</c:v>
                </c:pt>
                <c:pt idx="644">
                  <c:v>-0.30530000000000002</c:v>
                </c:pt>
                <c:pt idx="645">
                  <c:v>-0.65620000000000001</c:v>
                </c:pt>
                <c:pt idx="646">
                  <c:v>4.1210000000000004</c:v>
                </c:pt>
                <c:pt idx="647">
                  <c:v>39.572499999999998</c:v>
                </c:pt>
                <c:pt idx="648">
                  <c:v>23.028600000000001</c:v>
                </c:pt>
                <c:pt idx="649">
                  <c:v>3.9152</c:v>
                </c:pt>
                <c:pt idx="650">
                  <c:v>1.6597999999999999</c:v>
                </c:pt>
                <c:pt idx="651">
                  <c:v>0.3715</c:v>
                </c:pt>
                <c:pt idx="652">
                  <c:v>20.5854</c:v>
                </c:pt>
                <c:pt idx="653">
                  <c:v>0.1004</c:v>
                </c:pt>
                <c:pt idx="654">
                  <c:v>16.2302</c:v>
                </c:pt>
                <c:pt idx="655">
                  <c:v>0.80730000000000002</c:v>
                </c:pt>
                <c:pt idx="656">
                  <c:v>3.3973</c:v>
                </c:pt>
                <c:pt idx="657">
                  <c:v>7.1228999999999996</c:v>
                </c:pt>
                <c:pt idx="658">
                  <c:v>-5.7759</c:v>
                </c:pt>
                <c:pt idx="659">
                  <c:v>-0.33789999999999998</c:v>
                </c:pt>
                <c:pt idx="660">
                  <c:v>7.4237000000000002</c:v>
                </c:pt>
                <c:pt idx="661">
                  <c:v>2.6602999999999999</c:v>
                </c:pt>
                <c:pt idx="662">
                  <c:v>2.7282999999999999</c:v>
                </c:pt>
                <c:pt idx="663">
                  <c:v>2.9552999999999998</c:v>
                </c:pt>
                <c:pt idx="664">
                  <c:v>6.1660000000000004</c:v>
                </c:pt>
                <c:pt idx="665">
                  <c:v>3.5771000000000002</c:v>
                </c:pt>
                <c:pt idx="666">
                  <c:v>0.59530000000000005</c:v>
                </c:pt>
                <c:pt idx="667">
                  <c:v>-2.4474999999999998</c:v>
                </c:pt>
                <c:pt idx="668">
                  <c:v>37.391500000000001</c:v>
                </c:pt>
                <c:pt idx="669">
                  <c:v>-0.66290000000000004</c:v>
                </c:pt>
                <c:pt idx="670">
                  <c:v>7.0034999999999998</c:v>
                </c:pt>
                <c:pt idx="671">
                  <c:v>71.509600000000006</c:v>
                </c:pt>
                <c:pt idx="672">
                  <c:v>-0.65490000000000004</c:v>
                </c:pt>
                <c:pt idx="673">
                  <c:v>0.42870000000000003</c:v>
                </c:pt>
                <c:pt idx="674">
                  <c:v>14.7737</c:v>
                </c:pt>
                <c:pt idx="675">
                  <c:v>2.3755999999999999</c:v>
                </c:pt>
                <c:pt idx="676">
                  <c:v>2.3753000000000002</c:v>
                </c:pt>
                <c:pt idx="677">
                  <c:v>-0.87770000000000004</c:v>
                </c:pt>
                <c:pt idx="678">
                  <c:v>0.2114</c:v>
                </c:pt>
                <c:pt idx="679">
                  <c:v>51.297800000000002</c:v>
                </c:pt>
                <c:pt idx="680">
                  <c:v>-2.3111999999999999</c:v>
                </c:pt>
                <c:pt idx="681">
                  <c:v>1.4671000000000001</c:v>
                </c:pt>
                <c:pt idx="682">
                  <c:v>17.375399999999999</c:v>
                </c:pt>
                <c:pt idx="683">
                  <c:v>28.0322</c:v>
                </c:pt>
                <c:pt idx="684">
                  <c:v>4.5686999999999998</c:v>
                </c:pt>
                <c:pt idx="685">
                  <c:v>29.922000000000001</c:v>
                </c:pt>
                <c:pt idx="686">
                  <c:v>-0.79210000000000003</c:v>
                </c:pt>
                <c:pt idx="687">
                  <c:v>0.7218</c:v>
                </c:pt>
                <c:pt idx="688">
                  <c:v>0.64759999999999995</c:v>
                </c:pt>
                <c:pt idx="689">
                  <c:v>6.1097000000000001</c:v>
                </c:pt>
                <c:pt idx="690">
                  <c:v>-1.7977000000000001</c:v>
                </c:pt>
                <c:pt idx="691">
                  <c:v>18.8003</c:v>
                </c:pt>
                <c:pt idx="692">
                  <c:v>-1.8922000000000001</c:v>
                </c:pt>
                <c:pt idx="693">
                  <c:v>-6.7582000000000004</c:v>
                </c:pt>
                <c:pt idx="694">
                  <c:v>21.360399999999998</c:v>
                </c:pt>
                <c:pt idx="695">
                  <c:v>28.191400000000002</c:v>
                </c:pt>
                <c:pt idx="696">
                  <c:v>-1.4457</c:v>
                </c:pt>
                <c:pt idx="697">
                  <c:v>1.4359</c:v>
                </c:pt>
                <c:pt idx="698">
                  <c:v>4.8056000000000001</c:v>
                </c:pt>
                <c:pt idx="699">
                  <c:v>55.216999999999999</c:v>
                </c:pt>
                <c:pt idx="700">
                  <c:v>60.2928</c:v>
                </c:pt>
                <c:pt idx="701">
                  <c:v>2.0207999999999999</c:v>
                </c:pt>
                <c:pt idx="702">
                  <c:v>39.357799999999997</c:v>
                </c:pt>
                <c:pt idx="703">
                  <c:v>-3.3942000000000001</c:v>
                </c:pt>
                <c:pt idx="704">
                  <c:v>2.9596</c:v>
                </c:pt>
                <c:pt idx="705">
                  <c:v>48.488199999999999</c:v>
                </c:pt>
                <c:pt idx="706">
                  <c:v>-5.1999999999999998E-3</c:v>
                </c:pt>
                <c:pt idx="707">
                  <c:v>1.2663</c:v>
                </c:pt>
                <c:pt idx="708">
                  <c:v>12.3987</c:v>
                </c:pt>
                <c:pt idx="709">
                  <c:v>-0.1341</c:v>
                </c:pt>
                <c:pt idx="710">
                  <c:v>0.99990000000000001</c:v>
                </c:pt>
                <c:pt idx="711">
                  <c:v>4.7731000000000003</c:v>
                </c:pt>
                <c:pt idx="712">
                  <c:v>8.1171000000000006</c:v>
                </c:pt>
                <c:pt idx="713">
                  <c:v>0.80189999999999995</c:v>
                </c:pt>
                <c:pt idx="714">
                  <c:v>2.0158</c:v>
                </c:pt>
                <c:pt idx="715">
                  <c:v>28.763999999999999</c:v>
                </c:pt>
                <c:pt idx="716">
                  <c:v>33.624299999999998</c:v>
                </c:pt>
                <c:pt idx="717">
                  <c:v>4.8634000000000004</c:v>
                </c:pt>
                <c:pt idx="718">
                  <c:v>25.550799999999999</c:v>
                </c:pt>
                <c:pt idx="719">
                  <c:v>15.7342</c:v>
                </c:pt>
                <c:pt idx="720">
                  <c:v>15.664199999999999</c:v>
                </c:pt>
                <c:pt idx="721">
                  <c:v>4.0778999999999996</c:v>
                </c:pt>
                <c:pt idx="722">
                  <c:v>-0.8669</c:v>
                </c:pt>
                <c:pt idx="723">
                  <c:v>8.6471999999999998</c:v>
                </c:pt>
                <c:pt idx="724">
                  <c:v>1.7910999999999999</c:v>
                </c:pt>
                <c:pt idx="725">
                  <c:v>24.755800000000001</c:v>
                </c:pt>
                <c:pt idx="726">
                  <c:v>0.44090000000000001</c:v>
                </c:pt>
                <c:pt idx="727">
                  <c:v>-0.68820000000000003</c:v>
                </c:pt>
                <c:pt idx="728">
                  <c:v>1.4719</c:v>
                </c:pt>
                <c:pt idx="729">
                  <c:v>3.5474000000000001</c:v>
                </c:pt>
                <c:pt idx="730">
                  <c:v>49.084800000000001</c:v>
                </c:pt>
                <c:pt idx="731">
                  <c:v>0.4007</c:v>
                </c:pt>
                <c:pt idx="732">
                  <c:v>13.8621</c:v>
                </c:pt>
                <c:pt idx="733">
                  <c:v>5.5260999999999996</c:v>
                </c:pt>
                <c:pt idx="734">
                  <c:v>7.8326000000000002</c:v>
                </c:pt>
                <c:pt idx="735">
                  <c:v>1.9762</c:v>
                </c:pt>
                <c:pt idx="736">
                  <c:v>3.8100000000000002E-2</c:v>
                </c:pt>
                <c:pt idx="737">
                  <c:v>2.2519</c:v>
                </c:pt>
                <c:pt idx="738">
                  <c:v>2.9801000000000002</c:v>
                </c:pt>
                <c:pt idx="739">
                  <c:v>-1.6166</c:v>
                </c:pt>
                <c:pt idx="740">
                  <c:v>23.845800000000001</c:v>
                </c:pt>
                <c:pt idx="741">
                  <c:v>9.1707999999999998</c:v>
                </c:pt>
                <c:pt idx="742">
                  <c:v>-7.8E-2</c:v>
                </c:pt>
                <c:pt idx="743">
                  <c:v>-1.3347</c:v>
                </c:pt>
                <c:pt idx="744">
                  <c:v>2.0621999999999998</c:v>
                </c:pt>
                <c:pt idx="745">
                  <c:v>0.2792</c:v>
                </c:pt>
                <c:pt idx="746">
                  <c:v>-0.80559999999999998</c:v>
                </c:pt>
                <c:pt idx="747">
                  <c:v>-4.7526999999999999</c:v>
                </c:pt>
                <c:pt idx="748">
                  <c:v>-0.89229999999999998</c:v>
                </c:pt>
                <c:pt idx="749">
                  <c:v>5.5801999999999996</c:v>
                </c:pt>
                <c:pt idx="750">
                  <c:v>-1.921</c:v>
                </c:pt>
                <c:pt idx="751">
                  <c:v>2.5396999999999998</c:v>
                </c:pt>
                <c:pt idx="752">
                  <c:v>28.273099999999999</c:v>
                </c:pt>
                <c:pt idx="753">
                  <c:v>-2.8083999999999998</c:v>
                </c:pt>
                <c:pt idx="754">
                  <c:v>-0.22739999999999999</c:v>
                </c:pt>
                <c:pt idx="755">
                  <c:v>36.761800000000001</c:v>
                </c:pt>
                <c:pt idx="756">
                  <c:v>-1.0884</c:v>
                </c:pt>
                <c:pt idx="757">
                  <c:v>4.0606</c:v>
                </c:pt>
                <c:pt idx="758">
                  <c:v>17.969899999999999</c:v>
                </c:pt>
                <c:pt idx="759">
                  <c:v>2.2216</c:v>
                </c:pt>
                <c:pt idx="760">
                  <c:v>-1.3878999999999999</c:v>
                </c:pt>
                <c:pt idx="761">
                  <c:v>-1.7221</c:v>
                </c:pt>
                <c:pt idx="762">
                  <c:v>2.5323000000000002</c:v>
                </c:pt>
                <c:pt idx="763">
                  <c:v>-2.01E-2</c:v>
                </c:pt>
                <c:pt idx="764">
                  <c:v>100.877</c:v>
                </c:pt>
                <c:pt idx="765">
                  <c:v>-0.1507</c:v>
                </c:pt>
                <c:pt idx="766">
                  <c:v>-0.42830000000000001</c:v>
                </c:pt>
                <c:pt idx="767">
                  <c:v>29.355899999999998</c:v>
                </c:pt>
                <c:pt idx="768">
                  <c:v>30.043900000000001</c:v>
                </c:pt>
                <c:pt idx="769">
                  <c:v>-2.6613000000000002</c:v>
                </c:pt>
                <c:pt idx="770">
                  <c:v>0.1053</c:v>
                </c:pt>
                <c:pt idx="771">
                  <c:v>1.9555</c:v>
                </c:pt>
                <c:pt idx="772">
                  <c:v>24.237500000000001</c:v>
                </c:pt>
                <c:pt idx="773">
                  <c:v>4.6759000000000004</c:v>
                </c:pt>
                <c:pt idx="774">
                  <c:v>49.129800000000003</c:v>
                </c:pt>
                <c:pt idx="775">
                  <c:v>-1.6997</c:v>
                </c:pt>
                <c:pt idx="776">
                  <c:v>54.247300000000003</c:v>
                </c:pt>
                <c:pt idx="777">
                  <c:v>2.1391</c:v>
                </c:pt>
                <c:pt idx="778">
                  <c:v>-0.83130000000000004</c:v>
                </c:pt>
                <c:pt idx="779">
                  <c:v>71.421999999999997</c:v>
                </c:pt>
                <c:pt idx="780">
                  <c:v>-0.93020000000000003</c:v>
                </c:pt>
                <c:pt idx="781">
                  <c:v>-0.51170000000000004</c:v>
                </c:pt>
                <c:pt idx="782">
                  <c:v>-0.1118</c:v>
                </c:pt>
                <c:pt idx="783">
                  <c:v>8.6803000000000008</c:v>
                </c:pt>
                <c:pt idx="784">
                  <c:v>-0.1762</c:v>
                </c:pt>
                <c:pt idx="785">
                  <c:v>29.171600000000002</c:v>
                </c:pt>
                <c:pt idx="786">
                  <c:v>-2.7241</c:v>
                </c:pt>
                <c:pt idx="787">
                  <c:v>25.1128</c:v>
                </c:pt>
                <c:pt idx="788">
                  <c:v>8.9024000000000001</c:v>
                </c:pt>
                <c:pt idx="789">
                  <c:v>7.5857000000000001</c:v>
                </c:pt>
                <c:pt idx="790">
                  <c:v>17.0779</c:v>
                </c:pt>
                <c:pt idx="791">
                  <c:v>20.2849</c:v>
                </c:pt>
                <c:pt idx="792">
                  <c:v>6.0597000000000003</c:v>
                </c:pt>
                <c:pt idx="793">
                  <c:v>0.57599999999999996</c:v>
                </c:pt>
                <c:pt idx="794">
                  <c:v>-3.6657000000000002</c:v>
                </c:pt>
                <c:pt idx="795">
                  <c:v>3.2402000000000002</c:v>
                </c:pt>
                <c:pt idx="796">
                  <c:v>1.0996999999999999</c:v>
                </c:pt>
                <c:pt idx="797">
                  <c:v>3.2818999999999998</c:v>
                </c:pt>
                <c:pt idx="798">
                  <c:v>26.657800000000002</c:v>
                </c:pt>
                <c:pt idx="799">
                  <c:v>-0.17549999999999999</c:v>
                </c:pt>
                <c:pt idx="800">
                  <c:v>1.2867</c:v>
                </c:pt>
                <c:pt idx="801">
                  <c:v>-0.4965</c:v>
                </c:pt>
                <c:pt idx="802">
                  <c:v>9.2739999999999991</c:v>
                </c:pt>
                <c:pt idx="803">
                  <c:v>1.9281999999999999</c:v>
                </c:pt>
                <c:pt idx="804">
                  <c:v>4.3129999999999997</c:v>
                </c:pt>
                <c:pt idx="805">
                  <c:v>0.2475</c:v>
                </c:pt>
                <c:pt idx="806">
                  <c:v>-1.6083000000000001</c:v>
                </c:pt>
                <c:pt idx="807">
                  <c:v>2.0808</c:v>
                </c:pt>
                <c:pt idx="808">
                  <c:v>-0.21809999999999999</c:v>
                </c:pt>
                <c:pt idx="809">
                  <c:v>53.261099999999999</c:v>
                </c:pt>
                <c:pt idx="810">
                  <c:v>1.4360999999999999</c:v>
                </c:pt>
                <c:pt idx="811">
                  <c:v>38.965000000000003</c:v>
                </c:pt>
                <c:pt idx="812">
                  <c:v>0.2752</c:v>
                </c:pt>
                <c:pt idx="813">
                  <c:v>-3.6198999999999999</c:v>
                </c:pt>
                <c:pt idx="814">
                  <c:v>-0.60560000000000003</c:v>
                </c:pt>
                <c:pt idx="815">
                  <c:v>1.6578999999999999</c:v>
                </c:pt>
                <c:pt idx="816">
                  <c:v>1.1137999999999999</c:v>
                </c:pt>
                <c:pt idx="817">
                  <c:v>78.444599999999994</c:v>
                </c:pt>
                <c:pt idx="818">
                  <c:v>46.96</c:v>
                </c:pt>
                <c:pt idx="819">
                  <c:v>1.6209</c:v>
                </c:pt>
                <c:pt idx="820">
                  <c:v>-1.0753999999999999</c:v>
                </c:pt>
                <c:pt idx="821">
                  <c:v>1.1257999999999999</c:v>
                </c:pt>
                <c:pt idx="822">
                  <c:v>54.097000000000001</c:v>
                </c:pt>
                <c:pt idx="823">
                  <c:v>34.509700000000002</c:v>
                </c:pt>
                <c:pt idx="824">
                  <c:v>0.16039999999999999</c:v>
                </c:pt>
                <c:pt idx="825">
                  <c:v>1.3801000000000001</c:v>
                </c:pt>
                <c:pt idx="826">
                  <c:v>19.3566</c:v>
                </c:pt>
                <c:pt idx="827">
                  <c:v>-2.9064999999999999</c:v>
                </c:pt>
                <c:pt idx="828">
                  <c:v>52.7301</c:v>
                </c:pt>
                <c:pt idx="829">
                  <c:v>-4.5438000000000001</c:v>
                </c:pt>
                <c:pt idx="830">
                  <c:v>62.168599999999998</c:v>
                </c:pt>
                <c:pt idx="831">
                  <c:v>0.80200000000000005</c:v>
                </c:pt>
                <c:pt idx="832">
                  <c:v>51.380800000000001</c:v>
                </c:pt>
                <c:pt idx="833">
                  <c:v>7.5660999999999996</c:v>
                </c:pt>
                <c:pt idx="834">
                  <c:v>1.6927000000000001</c:v>
                </c:pt>
                <c:pt idx="835">
                  <c:v>22.718800000000002</c:v>
                </c:pt>
                <c:pt idx="836">
                  <c:v>0.29060000000000002</c:v>
                </c:pt>
                <c:pt idx="837">
                  <c:v>-1.4285000000000001</c:v>
                </c:pt>
                <c:pt idx="838">
                  <c:v>13.607699999999999</c:v>
                </c:pt>
                <c:pt idx="839">
                  <c:v>3.6987000000000001</c:v>
                </c:pt>
                <c:pt idx="840">
                  <c:v>16.2865</c:v>
                </c:pt>
                <c:pt idx="841">
                  <c:v>-1.3431</c:v>
                </c:pt>
                <c:pt idx="842">
                  <c:v>19.331800000000001</c:v>
                </c:pt>
                <c:pt idx="843">
                  <c:v>30.3445</c:v>
                </c:pt>
                <c:pt idx="844">
                  <c:v>-1.5350999999999999</c:v>
                </c:pt>
                <c:pt idx="845">
                  <c:v>0.58850000000000002</c:v>
                </c:pt>
                <c:pt idx="846">
                  <c:v>41.511800000000001</c:v>
                </c:pt>
                <c:pt idx="847">
                  <c:v>0.1138</c:v>
                </c:pt>
                <c:pt idx="848">
                  <c:v>-4.1867000000000001</c:v>
                </c:pt>
                <c:pt idx="849">
                  <c:v>3.7473999999999998</c:v>
                </c:pt>
                <c:pt idx="850">
                  <c:v>15.2934</c:v>
                </c:pt>
                <c:pt idx="851">
                  <c:v>-0.18390000000000001</c:v>
                </c:pt>
                <c:pt idx="852">
                  <c:v>23.5182</c:v>
                </c:pt>
                <c:pt idx="853">
                  <c:v>1.2849999999999999</c:v>
                </c:pt>
                <c:pt idx="854">
                  <c:v>0.60560000000000003</c:v>
                </c:pt>
                <c:pt idx="855">
                  <c:v>1.4489000000000001</c:v>
                </c:pt>
                <c:pt idx="856">
                  <c:v>18.037800000000001</c:v>
                </c:pt>
                <c:pt idx="857">
                  <c:v>25.272300000000001</c:v>
                </c:pt>
                <c:pt idx="858">
                  <c:v>9.8839000000000006</c:v>
                </c:pt>
                <c:pt idx="859">
                  <c:v>23.179099999999998</c:v>
                </c:pt>
                <c:pt idx="860">
                  <c:v>-1.9346000000000001</c:v>
                </c:pt>
                <c:pt idx="861">
                  <c:v>1.3653</c:v>
                </c:pt>
                <c:pt idx="862">
                  <c:v>-0.30209999999999998</c:v>
                </c:pt>
                <c:pt idx="863">
                  <c:v>34.5518</c:v>
                </c:pt>
                <c:pt idx="864">
                  <c:v>-2.944</c:v>
                </c:pt>
                <c:pt idx="865">
                  <c:v>58.337000000000003</c:v>
                </c:pt>
                <c:pt idx="866">
                  <c:v>20.878799999999998</c:v>
                </c:pt>
                <c:pt idx="867">
                  <c:v>-2.1030000000000002</c:v>
                </c:pt>
                <c:pt idx="868">
                  <c:v>21.163499999999999</c:v>
                </c:pt>
                <c:pt idx="869">
                  <c:v>4.1329000000000002</c:v>
                </c:pt>
                <c:pt idx="870">
                  <c:v>28.968599999999999</c:v>
                </c:pt>
                <c:pt idx="871">
                  <c:v>4.4318999999999997</c:v>
                </c:pt>
                <c:pt idx="872">
                  <c:v>-1.0721000000000001</c:v>
                </c:pt>
                <c:pt idx="873">
                  <c:v>-5.16E-2</c:v>
                </c:pt>
                <c:pt idx="874">
                  <c:v>0.58699999999999997</c:v>
                </c:pt>
                <c:pt idx="875">
                  <c:v>7.1407999999999996</c:v>
                </c:pt>
                <c:pt idx="876">
                  <c:v>7.0774999999999997</c:v>
                </c:pt>
                <c:pt idx="877">
                  <c:v>-0.18729999999999999</c:v>
                </c:pt>
                <c:pt idx="878">
                  <c:v>87.449100000000001</c:v>
                </c:pt>
                <c:pt idx="879">
                  <c:v>-0.42280000000000001</c:v>
                </c:pt>
                <c:pt idx="880">
                  <c:v>49.081299999999999</c:v>
                </c:pt>
                <c:pt idx="881">
                  <c:v>17.0764</c:v>
                </c:pt>
                <c:pt idx="882">
                  <c:v>19.2666</c:v>
                </c:pt>
                <c:pt idx="883">
                  <c:v>59.520200000000003</c:v>
                </c:pt>
                <c:pt idx="884">
                  <c:v>-1.5693999999999999</c:v>
                </c:pt>
                <c:pt idx="885">
                  <c:v>17.427499999999998</c:v>
                </c:pt>
                <c:pt idx="886">
                  <c:v>37.191899999999997</c:v>
                </c:pt>
                <c:pt idx="887">
                  <c:v>1.9389000000000001</c:v>
                </c:pt>
                <c:pt idx="888">
                  <c:v>-3.3761999999999999</c:v>
                </c:pt>
                <c:pt idx="889">
                  <c:v>6.8765999999999998</c:v>
                </c:pt>
                <c:pt idx="890">
                  <c:v>51.243400000000001</c:v>
                </c:pt>
                <c:pt idx="891">
                  <c:v>1.5649</c:v>
                </c:pt>
                <c:pt idx="892">
                  <c:v>1.7798</c:v>
                </c:pt>
                <c:pt idx="893">
                  <c:v>21.428000000000001</c:v>
                </c:pt>
                <c:pt idx="894">
                  <c:v>48.379300000000001</c:v>
                </c:pt>
                <c:pt idx="895">
                  <c:v>55.143500000000003</c:v>
                </c:pt>
                <c:pt idx="896">
                  <c:v>9.1961999999999993</c:v>
                </c:pt>
                <c:pt idx="897">
                  <c:v>19.688099999999999</c:v>
                </c:pt>
                <c:pt idx="898">
                  <c:v>-2.6128</c:v>
                </c:pt>
                <c:pt idx="899">
                  <c:v>0.10100000000000001</c:v>
                </c:pt>
                <c:pt idx="900">
                  <c:v>-2.5205000000000002</c:v>
                </c:pt>
                <c:pt idx="901">
                  <c:v>2.6297000000000001</c:v>
                </c:pt>
                <c:pt idx="902">
                  <c:v>45.4343</c:v>
                </c:pt>
                <c:pt idx="903">
                  <c:v>-3.62</c:v>
                </c:pt>
                <c:pt idx="904">
                  <c:v>30.6251</c:v>
                </c:pt>
                <c:pt idx="905">
                  <c:v>7.3011999999999997</c:v>
                </c:pt>
                <c:pt idx="906">
                  <c:v>4.0442</c:v>
                </c:pt>
                <c:pt idx="907">
                  <c:v>10.3926</c:v>
                </c:pt>
                <c:pt idx="908">
                  <c:v>3.7542</c:v>
                </c:pt>
                <c:pt idx="909">
                  <c:v>79.943600000000004</c:v>
                </c:pt>
                <c:pt idx="910">
                  <c:v>33.875300000000003</c:v>
                </c:pt>
                <c:pt idx="911">
                  <c:v>-2.206</c:v>
                </c:pt>
                <c:pt idx="912">
                  <c:v>23.930499999999999</c:v>
                </c:pt>
                <c:pt idx="913">
                  <c:v>4.4652000000000003</c:v>
                </c:pt>
                <c:pt idx="914">
                  <c:v>3.9685999999999999</c:v>
                </c:pt>
                <c:pt idx="915">
                  <c:v>-0.29620000000000002</c:v>
                </c:pt>
                <c:pt idx="916">
                  <c:v>-1.6595</c:v>
                </c:pt>
                <c:pt idx="917">
                  <c:v>4.0334000000000003</c:v>
                </c:pt>
                <c:pt idx="918">
                  <c:v>76.259699999999995</c:v>
                </c:pt>
                <c:pt idx="919">
                  <c:v>8.4181000000000008</c:v>
                </c:pt>
                <c:pt idx="920">
                  <c:v>96.294899999999998</c:v>
                </c:pt>
                <c:pt idx="921">
                  <c:v>2.3532999999999999</c:v>
                </c:pt>
                <c:pt idx="922">
                  <c:v>1.6231</c:v>
                </c:pt>
                <c:pt idx="923">
                  <c:v>-2.8025000000000002</c:v>
                </c:pt>
                <c:pt idx="924">
                  <c:v>9.5675000000000008</c:v>
                </c:pt>
                <c:pt idx="925">
                  <c:v>1.1996</c:v>
                </c:pt>
                <c:pt idx="926">
                  <c:v>-0.79969999999999997</c:v>
                </c:pt>
                <c:pt idx="927">
                  <c:v>3.4710999999999999</c:v>
                </c:pt>
                <c:pt idx="928">
                  <c:v>35.908000000000001</c:v>
                </c:pt>
                <c:pt idx="929">
                  <c:v>0.39750000000000002</c:v>
                </c:pt>
                <c:pt idx="930">
                  <c:v>-0.56479999999999997</c:v>
                </c:pt>
                <c:pt idx="931">
                  <c:v>4.5776000000000003</c:v>
                </c:pt>
                <c:pt idx="932">
                  <c:v>9.0740999999999996</c:v>
                </c:pt>
                <c:pt idx="933">
                  <c:v>29.681699999999999</c:v>
                </c:pt>
                <c:pt idx="934">
                  <c:v>56.500999999999998</c:v>
                </c:pt>
                <c:pt idx="935">
                  <c:v>-2.4676999999999998</c:v>
                </c:pt>
                <c:pt idx="936">
                  <c:v>50.372</c:v>
                </c:pt>
                <c:pt idx="937">
                  <c:v>26.613399999999999</c:v>
                </c:pt>
                <c:pt idx="938">
                  <c:v>51.410899999999998</c:v>
                </c:pt>
                <c:pt idx="939">
                  <c:v>27.1616</c:v>
                </c:pt>
                <c:pt idx="940">
                  <c:v>-0.62119999999999997</c:v>
                </c:pt>
                <c:pt idx="941">
                  <c:v>-0.3644</c:v>
                </c:pt>
                <c:pt idx="942">
                  <c:v>24.656500000000001</c:v>
                </c:pt>
                <c:pt idx="943">
                  <c:v>0.20039999999999999</c:v>
                </c:pt>
                <c:pt idx="944">
                  <c:v>18.224399999999999</c:v>
                </c:pt>
                <c:pt idx="945">
                  <c:v>26.723400000000002</c:v>
                </c:pt>
                <c:pt idx="946">
                  <c:v>15.533300000000001</c:v>
                </c:pt>
                <c:pt idx="947">
                  <c:v>6.4290000000000003</c:v>
                </c:pt>
                <c:pt idx="948">
                  <c:v>15.215199999999999</c:v>
                </c:pt>
                <c:pt idx="949">
                  <c:v>17.756699999999999</c:v>
                </c:pt>
                <c:pt idx="950">
                  <c:v>1.0679000000000001</c:v>
                </c:pt>
                <c:pt idx="951">
                  <c:v>3.3043999999999998</c:v>
                </c:pt>
                <c:pt idx="952">
                  <c:v>34.802799999999998</c:v>
                </c:pt>
                <c:pt idx="953">
                  <c:v>6.12</c:v>
                </c:pt>
                <c:pt idx="954">
                  <c:v>3.3422999999999998</c:v>
                </c:pt>
                <c:pt idx="955">
                  <c:v>-1.4300999999999999</c:v>
                </c:pt>
                <c:pt idx="956">
                  <c:v>19.549900000000001</c:v>
                </c:pt>
                <c:pt idx="957">
                  <c:v>18.204899999999999</c:v>
                </c:pt>
                <c:pt idx="958">
                  <c:v>1.9818</c:v>
                </c:pt>
                <c:pt idx="959">
                  <c:v>5.7187999999999999</c:v>
                </c:pt>
                <c:pt idx="960">
                  <c:v>32.334200000000003</c:v>
                </c:pt>
                <c:pt idx="961">
                  <c:v>1.6815</c:v>
                </c:pt>
                <c:pt idx="962">
                  <c:v>1.7729999999999999</c:v>
                </c:pt>
                <c:pt idx="963">
                  <c:v>16.502400000000002</c:v>
                </c:pt>
                <c:pt idx="964">
                  <c:v>-3.6246999999999998</c:v>
                </c:pt>
                <c:pt idx="965">
                  <c:v>3.6886000000000001</c:v>
                </c:pt>
                <c:pt idx="966">
                  <c:v>-0.62509999999999999</c:v>
                </c:pt>
                <c:pt idx="967">
                  <c:v>1.7766</c:v>
                </c:pt>
                <c:pt idx="968">
                  <c:v>41.506399999999999</c:v>
                </c:pt>
                <c:pt idx="969">
                  <c:v>36.537799999999997</c:v>
                </c:pt>
                <c:pt idx="970">
                  <c:v>-0.63060000000000005</c:v>
                </c:pt>
                <c:pt idx="971">
                  <c:v>6.7286999999999999</c:v>
                </c:pt>
                <c:pt idx="972">
                  <c:v>15.3881</c:v>
                </c:pt>
                <c:pt idx="973">
                  <c:v>3.1739000000000002</c:v>
                </c:pt>
                <c:pt idx="974">
                  <c:v>-3.4043999999999999</c:v>
                </c:pt>
                <c:pt idx="975">
                  <c:v>8.9510000000000005</c:v>
                </c:pt>
                <c:pt idx="976">
                  <c:v>68.6935</c:v>
                </c:pt>
                <c:pt idx="977">
                  <c:v>-0.18049999999999999</c:v>
                </c:pt>
                <c:pt idx="978">
                  <c:v>142.1241</c:v>
                </c:pt>
                <c:pt idx="979">
                  <c:v>17.5594</c:v>
                </c:pt>
                <c:pt idx="980">
                  <c:v>11.611800000000001</c:v>
                </c:pt>
                <c:pt idx="981">
                  <c:v>4.3731999999999998</c:v>
                </c:pt>
                <c:pt idx="982">
                  <c:v>17.299199999999999</c:v>
                </c:pt>
                <c:pt idx="983">
                  <c:v>7.6246999999999998</c:v>
                </c:pt>
                <c:pt idx="984">
                  <c:v>1.7597</c:v>
                </c:pt>
                <c:pt idx="985">
                  <c:v>25.8384</c:v>
                </c:pt>
                <c:pt idx="986">
                  <c:v>-0.72819999999999996</c:v>
                </c:pt>
                <c:pt idx="987">
                  <c:v>6.1425999999999998</c:v>
                </c:pt>
                <c:pt idx="988">
                  <c:v>10.9907</c:v>
                </c:pt>
                <c:pt idx="989">
                  <c:v>8.6412999999999993</c:v>
                </c:pt>
                <c:pt idx="990">
                  <c:v>1.4061999999999999</c:v>
                </c:pt>
                <c:pt idx="991">
                  <c:v>-1.0351999999999999</c:v>
                </c:pt>
                <c:pt idx="992">
                  <c:v>22.240400000000001</c:v>
                </c:pt>
                <c:pt idx="993">
                  <c:v>46.246499999999997</c:v>
                </c:pt>
                <c:pt idx="994">
                  <c:v>-2.8165</c:v>
                </c:pt>
                <c:pt idx="995">
                  <c:v>3.0127999999999999</c:v>
                </c:pt>
                <c:pt idx="996">
                  <c:v>2.4079999999999999</c:v>
                </c:pt>
                <c:pt idx="997">
                  <c:v>10.5884</c:v>
                </c:pt>
                <c:pt idx="998">
                  <c:v>-0.70440000000000003</c:v>
                </c:pt>
                <c:pt idx="999">
                  <c:v>-1.3349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5-427A-9F17-3F76FC7B0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09936"/>
        <c:axId val="488935328"/>
      </c:scatterChart>
      <c:valAx>
        <c:axId val="41580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5328"/>
        <c:crosses val="autoZero"/>
        <c:crossBetween val="midCat"/>
      </c:valAx>
      <c:valAx>
        <c:axId val="48893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0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'Cash or Nothing Call Option'!$R$1</c:f>
              <c:strCache>
                <c:ptCount val="1"/>
                <c:pt idx="0">
                  <c:v>cCN(t)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'Cash or Nothing Call Option'!$Q$2:$Q$1001</c:f>
              <c:numCache>
                <c:formatCode>0.00</c:formatCode>
                <c:ptCount val="1000"/>
                <c:pt idx="0">
                  <c:v>82.213999999999999</c:v>
                </c:pt>
                <c:pt idx="1">
                  <c:v>102.4973</c:v>
                </c:pt>
                <c:pt idx="2">
                  <c:v>89.796199999999999</c:v>
                </c:pt>
                <c:pt idx="3">
                  <c:v>61.225900000000003</c:v>
                </c:pt>
                <c:pt idx="4">
                  <c:v>94.0608</c:v>
                </c:pt>
                <c:pt idx="5">
                  <c:v>96.915199999999999</c:v>
                </c:pt>
                <c:pt idx="6">
                  <c:v>78.119699999999995</c:v>
                </c:pt>
                <c:pt idx="7">
                  <c:v>107.9014</c:v>
                </c:pt>
                <c:pt idx="8">
                  <c:v>105.8266</c:v>
                </c:pt>
                <c:pt idx="9">
                  <c:v>83.921400000000006</c:v>
                </c:pt>
                <c:pt idx="10">
                  <c:v>111.3386</c:v>
                </c:pt>
                <c:pt idx="11">
                  <c:v>90.393100000000004</c:v>
                </c:pt>
                <c:pt idx="12">
                  <c:v>108.4478</c:v>
                </c:pt>
                <c:pt idx="13">
                  <c:v>103.9939</c:v>
                </c:pt>
                <c:pt idx="14">
                  <c:v>65.189499999999995</c:v>
                </c:pt>
                <c:pt idx="15">
                  <c:v>95.177999999999997</c:v>
                </c:pt>
                <c:pt idx="16">
                  <c:v>74.046000000000006</c:v>
                </c:pt>
                <c:pt idx="17">
                  <c:v>92.451400000000007</c:v>
                </c:pt>
                <c:pt idx="18">
                  <c:v>83.238699999999994</c:v>
                </c:pt>
                <c:pt idx="19">
                  <c:v>130.14529999999999</c:v>
                </c:pt>
                <c:pt idx="20">
                  <c:v>55.022500000000001</c:v>
                </c:pt>
                <c:pt idx="21">
                  <c:v>140.8398</c:v>
                </c:pt>
                <c:pt idx="22">
                  <c:v>84.260300000000001</c:v>
                </c:pt>
                <c:pt idx="23">
                  <c:v>65.149600000000007</c:v>
                </c:pt>
                <c:pt idx="24">
                  <c:v>67.590599999999995</c:v>
                </c:pt>
                <c:pt idx="25">
                  <c:v>110.8021</c:v>
                </c:pt>
                <c:pt idx="26">
                  <c:v>135.10310000000001</c:v>
                </c:pt>
                <c:pt idx="27">
                  <c:v>75.436999999999998</c:v>
                </c:pt>
                <c:pt idx="28">
                  <c:v>144.47829999999999</c:v>
                </c:pt>
                <c:pt idx="29">
                  <c:v>102.1598</c:v>
                </c:pt>
                <c:pt idx="30">
                  <c:v>76.789900000000003</c:v>
                </c:pt>
                <c:pt idx="31">
                  <c:v>115.46810000000001</c:v>
                </c:pt>
                <c:pt idx="32">
                  <c:v>127.9319</c:v>
                </c:pt>
                <c:pt idx="33">
                  <c:v>49.417200000000001</c:v>
                </c:pt>
                <c:pt idx="34">
                  <c:v>95.464600000000004</c:v>
                </c:pt>
                <c:pt idx="35">
                  <c:v>48.264600000000002</c:v>
                </c:pt>
                <c:pt idx="36">
                  <c:v>58.499699999999997</c:v>
                </c:pt>
                <c:pt idx="37">
                  <c:v>98.131600000000006</c:v>
                </c:pt>
                <c:pt idx="38">
                  <c:v>121.038</c:v>
                </c:pt>
                <c:pt idx="39">
                  <c:v>173.6542</c:v>
                </c:pt>
                <c:pt idx="40">
                  <c:v>109.3192</c:v>
                </c:pt>
                <c:pt idx="41">
                  <c:v>84.56</c:v>
                </c:pt>
                <c:pt idx="42">
                  <c:v>90.349299999999999</c:v>
                </c:pt>
                <c:pt idx="43">
                  <c:v>91.812799999999996</c:v>
                </c:pt>
                <c:pt idx="44">
                  <c:v>133.71170000000001</c:v>
                </c:pt>
                <c:pt idx="45">
                  <c:v>122.4444</c:v>
                </c:pt>
                <c:pt idx="46">
                  <c:v>64.505700000000004</c:v>
                </c:pt>
                <c:pt idx="47">
                  <c:v>125.0582</c:v>
                </c:pt>
                <c:pt idx="48">
                  <c:v>167.95760000000001</c:v>
                </c:pt>
                <c:pt idx="49">
                  <c:v>84.451400000000007</c:v>
                </c:pt>
                <c:pt idx="50">
                  <c:v>156.7681</c:v>
                </c:pt>
                <c:pt idx="51">
                  <c:v>85.846299999999999</c:v>
                </c:pt>
                <c:pt idx="52">
                  <c:v>79.817899999999995</c:v>
                </c:pt>
                <c:pt idx="53">
                  <c:v>163.28489999999999</c:v>
                </c:pt>
                <c:pt idx="54">
                  <c:v>97.198300000000003</c:v>
                </c:pt>
                <c:pt idx="55">
                  <c:v>84.986699999999999</c:v>
                </c:pt>
                <c:pt idx="56">
                  <c:v>92.822100000000006</c:v>
                </c:pt>
                <c:pt idx="57">
                  <c:v>113.7323</c:v>
                </c:pt>
                <c:pt idx="58">
                  <c:v>99.177499999999995</c:v>
                </c:pt>
                <c:pt idx="59">
                  <c:v>129.59110000000001</c:v>
                </c:pt>
                <c:pt idx="60">
                  <c:v>80.508499999999998</c:v>
                </c:pt>
                <c:pt idx="61">
                  <c:v>57.511699999999998</c:v>
                </c:pt>
                <c:pt idx="62">
                  <c:v>133.4836</c:v>
                </c:pt>
                <c:pt idx="63">
                  <c:v>92.750200000000007</c:v>
                </c:pt>
                <c:pt idx="64">
                  <c:v>88.934100000000001</c:v>
                </c:pt>
                <c:pt idx="65">
                  <c:v>82.587999999999994</c:v>
                </c:pt>
                <c:pt idx="66">
                  <c:v>55.185400000000001</c:v>
                </c:pt>
                <c:pt idx="67">
                  <c:v>81.930499999999995</c:v>
                </c:pt>
                <c:pt idx="68">
                  <c:v>93.618499999999997</c:v>
                </c:pt>
                <c:pt idx="69">
                  <c:v>112.4297</c:v>
                </c:pt>
                <c:pt idx="70">
                  <c:v>74.421499999999995</c:v>
                </c:pt>
                <c:pt idx="71">
                  <c:v>140.12530000000001</c:v>
                </c:pt>
                <c:pt idx="72">
                  <c:v>70.2072</c:v>
                </c:pt>
                <c:pt idx="73">
                  <c:v>86.707800000000006</c:v>
                </c:pt>
                <c:pt idx="74">
                  <c:v>66.698599999999999</c:v>
                </c:pt>
                <c:pt idx="75">
                  <c:v>106.58450000000001</c:v>
                </c:pt>
                <c:pt idx="76">
                  <c:v>84.361699999999999</c:v>
                </c:pt>
                <c:pt idx="77">
                  <c:v>92.317400000000006</c:v>
                </c:pt>
                <c:pt idx="78">
                  <c:v>104.7911</c:v>
                </c:pt>
                <c:pt idx="79">
                  <c:v>110.98869999999999</c:v>
                </c:pt>
                <c:pt idx="80">
                  <c:v>75.060699999999997</c:v>
                </c:pt>
                <c:pt idx="81">
                  <c:v>85.380700000000004</c:v>
                </c:pt>
                <c:pt idx="82">
                  <c:v>86.103499999999997</c:v>
                </c:pt>
                <c:pt idx="83">
                  <c:v>80.983500000000006</c:v>
                </c:pt>
                <c:pt idx="84">
                  <c:v>92.899299999999997</c:v>
                </c:pt>
                <c:pt idx="85">
                  <c:v>90.559799999999996</c:v>
                </c:pt>
                <c:pt idx="86">
                  <c:v>108.9769</c:v>
                </c:pt>
                <c:pt idx="87">
                  <c:v>67.158100000000005</c:v>
                </c:pt>
                <c:pt idx="88">
                  <c:v>105.4552</c:v>
                </c:pt>
                <c:pt idx="89">
                  <c:v>98.430499999999995</c:v>
                </c:pt>
                <c:pt idx="90">
                  <c:v>92.891999999999996</c:v>
                </c:pt>
                <c:pt idx="91">
                  <c:v>106.1228</c:v>
                </c:pt>
                <c:pt idx="92">
                  <c:v>104.34139999999999</c:v>
                </c:pt>
                <c:pt idx="93">
                  <c:v>115.5129</c:v>
                </c:pt>
                <c:pt idx="94">
                  <c:v>61.0364</c:v>
                </c:pt>
                <c:pt idx="95">
                  <c:v>112.56310000000001</c:v>
                </c:pt>
                <c:pt idx="96">
                  <c:v>91.051100000000005</c:v>
                </c:pt>
                <c:pt idx="97">
                  <c:v>60.106999999999999</c:v>
                </c:pt>
                <c:pt idx="98">
                  <c:v>122.6016</c:v>
                </c:pt>
                <c:pt idx="99">
                  <c:v>155.15969999999999</c:v>
                </c:pt>
                <c:pt idx="100">
                  <c:v>148.57149999999999</c:v>
                </c:pt>
                <c:pt idx="101">
                  <c:v>80.556100000000001</c:v>
                </c:pt>
                <c:pt idx="102">
                  <c:v>91.621700000000004</c:v>
                </c:pt>
                <c:pt idx="103">
                  <c:v>130.4486</c:v>
                </c:pt>
                <c:pt idx="104">
                  <c:v>138.39179999999999</c:v>
                </c:pt>
                <c:pt idx="105">
                  <c:v>113.1422</c:v>
                </c:pt>
                <c:pt idx="106">
                  <c:v>110.3995</c:v>
                </c:pt>
                <c:pt idx="107">
                  <c:v>248.40309999999999</c:v>
                </c:pt>
                <c:pt idx="108">
                  <c:v>177.09479999999999</c:v>
                </c:pt>
                <c:pt idx="109">
                  <c:v>121.40389999999999</c:v>
                </c:pt>
                <c:pt idx="110">
                  <c:v>78.292299999999997</c:v>
                </c:pt>
                <c:pt idx="111">
                  <c:v>81.899900000000002</c:v>
                </c:pt>
                <c:pt idx="112">
                  <c:v>109.53440000000001</c:v>
                </c:pt>
                <c:pt idx="113">
                  <c:v>115.6892</c:v>
                </c:pt>
                <c:pt idx="114">
                  <c:v>55.167499999999997</c:v>
                </c:pt>
                <c:pt idx="115">
                  <c:v>108.28449999999999</c:v>
                </c:pt>
                <c:pt idx="116">
                  <c:v>89.170299999999997</c:v>
                </c:pt>
                <c:pt idx="117">
                  <c:v>141.5205</c:v>
                </c:pt>
                <c:pt idx="118">
                  <c:v>129.0634</c:v>
                </c:pt>
                <c:pt idx="119">
                  <c:v>90.457400000000007</c:v>
                </c:pt>
                <c:pt idx="120">
                  <c:v>83.874700000000004</c:v>
                </c:pt>
                <c:pt idx="121">
                  <c:v>75.9649</c:v>
                </c:pt>
                <c:pt idx="122">
                  <c:v>87.274500000000003</c:v>
                </c:pt>
                <c:pt idx="123">
                  <c:v>73.3566</c:v>
                </c:pt>
                <c:pt idx="124">
                  <c:v>77.211100000000002</c:v>
                </c:pt>
                <c:pt idx="125">
                  <c:v>78.838700000000003</c:v>
                </c:pt>
                <c:pt idx="126">
                  <c:v>82.629900000000006</c:v>
                </c:pt>
                <c:pt idx="127">
                  <c:v>145.81460000000001</c:v>
                </c:pt>
                <c:pt idx="128">
                  <c:v>84.771799999999999</c:v>
                </c:pt>
                <c:pt idx="129">
                  <c:v>115.1211</c:v>
                </c:pt>
                <c:pt idx="130">
                  <c:v>64.742000000000004</c:v>
                </c:pt>
                <c:pt idx="131">
                  <c:v>115.8977</c:v>
                </c:pt>
                <c:pt idx="132">
                  <c:v>100.4355</c:v>
                </c:pt>
                <c:pt idx="133">
                  <c:v>157.73509999999999</c:v>
                </c:pt>
                <c:pt idx="134">
                  <c:v>151.6463</c:v>
                </c:pt>
                <c:pt idx="135">
                  <c:v>107.6902</c:v>
                </c:pt>
                <c:pt idx="136">
                  <c:v>84.532399999999996</c:v>
                </c:pt>
                <c:pt idx="137">
                  <c:v>80.794899999999998</c:v>
                </c:pt>
                <c:pt idx="138">
                  <c:v>120.1347</c:v>
                </c:pt>
                <c:pt idx="139">
                  <c:v>108.1587</c:v>
                </c:pt>
                <c:pt idx="140">
                  <c:v>142.07660000000001</c:v>
                </c:pt>
                <c:pt idx="141">
                  <c:v>157.80009999999999</c:v>
                </c:pt>
                <c:pt idx="142">
                  <c:v>60.1907</c:v>
                </c:pt>
                <c:pt idx="143">
                  <c:v>98.515100000000004</c:v>
                </c:pt>
                <c:pt idx="144">
                  <c:v>65.404399999999995</c:v>
                </c:pt>
                <c:pt idx="145">
                  <c:v>111.7242</c:v>
                </c:pt>
                <c:pt idx="146">
                  <c:v>116.3419</c:v>
                </c:pt>
                <c:pt idx="147">
                  <c:v>95.023300000000006</c:v>
                </c:pt>
                <c:pt idx="148">
                  <c:v>75.728300000000004</c:v>
                </c:pt>
                <c:pt idx="149">
                  <c:v>100.43259999999999</c:v>
                </c:pt>
                <c:pt idx="150">
                  <c:v>79.111900000000006</c:v>
                </c:pt>
                <c:pt idx="151">
                  <c:v>73.988500000000002</c:v>
                </c:pt>
                <c:pt idx="152">
                  <c:v>70.158900000000003</c:v>
                </c:pt>
                <c:pt idx="153">
                  <c:v>108.1699</c:v>
                </c:pt>
                <c:pt idx="154">
                  <c:v>103.55240000000001</c:v>
                </c:pt>
                <c:pt idx="155">
                  <c:v>77.168800000000005</c:v>
                </c:pt>
                <c:pt idx="156">
                  <c:v>111.2312</c:v>
                </c:pt>
                <c:pt idx="157">
                  <c:v>132.65459999999999</c:v>
                </c:pt>
                <c:pt idx="158">
                  <c:v>104.49850000000001</c:v>
                </c:pt>
                <c:pt idx="159">
                  <c:v>203.04310000000001</c:v>
                </c:pt>
                <c:pt idx="160">
                  <c:v>114.5885</c:v>
                </c:pt>
                <c:pt idx="161">
                  <c:v>73.527000000000001</c:v>
                </c:pt>
                <c:pt idx="162">
                  <c:v>137.99119999999999</c:v>
                </c:pt>
                <c:pt idx="163">
                  <c:v>89.696399999999997</c:v>
                </c:pt>
                <c:pt idx="164">
                  <c:v>92.159000000000006</c:v>
                </c:pt>
                <c:pt idx="165">
                  <c:v>78.563999999999993</c:v>
                </c:pt>
                <c:pt idx="166">
                  <c:v>127.8389</c:v>
                </c:pt>
                <c:pt idx="167">
                  <c:v>139.07660000000001</c:v>
                </c:pt>
                <c:pt idx="168">
                  <c:v>64.952399999999997</c:v>
                </c:pt>
                <c:pt idx="169">
                  <c:v>122.35339999999999</c:v>
                </c:pt>
                <c:pt idx="170">
                  <c:v>170.214</c:v>
                </c:pt>
                <c:pt idx="171">
                  <c:v>84.122900000000001</c:v>
                </c:pt>
                <c:pt idx="172">
                  <c:v>161.02510000000001</c:v>
                </c:pt>
                <c:pt idx="173">
                  <c:v>104.2503</c:v>
                </c:pt>
                <c:pt idx="174">
                  <c:v>97.303100000000001</c:v>
                </c:pt>
                <c:pt idx="175">
                  <c:v>156.3432</c:v>
                </c:pt>
                <c:pt idx="176">
                  <c:v>99.543800000000005</c:v>
                </c:pt>
                <c:pt idx="177">
                  <c:v>85.568100000000001</c:v>
                </c:pt>
                <c:pt idx="178">
                  <c:v>133.5609</c:v>
                </c:pt>
                <c:pt idx="179">
                  <c:v>127.03870000000001</c:v>
                </c:pt>
                <c:pt idx="180">
                  <c:v>131.11680000000001</c:v>
                </c:pt>
                <c:pt idx="181">
                  <c:v>81.295299999999997</c:v>
                </c:pt>
                <c:pt idx="182">
                  <c:v>193.38740000000001</c:v>
                </c:pt>
                <c:pt idx="183">
                  <c:v>103.3837</c:v>
                </c:pt>
                <c:pt idx="184">
                  <c:v>75.068899999999999</c:v>
                </c:pt>
                <c:pt idx="185">
                  <c:v>52.078200000000002</c:v>
                </c:pt>
                <c:pt idx="186">
                  <c:v>109.434</c:v>
                </c:pt>
                <c:pt idx="187">
                  <c:v>102.6942</c:v>
                </c:pt>
                <c:pt idx="188">
                  <c:v>108.807</c:v>
                </c:pt>
                <c:pt idx="189">
                  <c:v>85.391800000000003</c:v>
                </c:pt>
                <c:pt idx="190">
                  <c:v>111.0856</c:v>
                </c:pt>
                <c:pt idx="191">
                  <c:v>111.17449999999999</c:v>
                </c:pt>
                <c:pt idx="192">
                  <c:v>124.6782</c:v>
                </c:pt>
                <c:pt idx="193">
                  <c:v>78.808000000000007</c:v>
                </c:pt>
                <c:pt idx="194">
                  <c:v>51.475900000000003</c:v>
                </c:pt>
                <c:pt idx="195">
                  <c:v>68.768600000000006</c:v>
                </c:pt>
                <c:pt idx="196">
                  <c:v>139.07550000000001</c:v>
                </c:pt>
                <c:pt idx="197">
                  <c:v>138.56909999999999</c:v>
                </c:pt>
                <c:pt idx="198">
                  <c:v>102.46550000000001</c:v>
                </c:pt>
                <c:pt idx="199">
                  <c:v>108.6131</c:v>
                </c:pt>
                <c:pt idx="200">
                  <c:v>126.34780000000001</c:v>
                </c:pt>
                <c:pt idx="201">
                  <c:v>91.974400000000003</c:v>
                </c:pt>
                <c:pt idx="202">
                  <c:v>194.904</c:v>
                </c:pt>
                <c:pt idx="203">
                  <c:v>71.448700000000002</c:v>
                </c:pt>
                <c:pt idx="204">
                  <c:v>58.972099999999998</c:v>
                </c:pt>
                <c:pt idx="205">
                  <c:v>92.134299999999996</c:v>
                </c:pt>
                <c:pt idx="206">
                  <c:v>137.76140000000001</c:v>
                </c:pt>
                <c:pt idx="207">
                  <c:v>60.580599999999997</c:v>
                </c:pt>
                <c:pt idx="208">
                  <c:v>87.760999999999996</c:v>
                </c:pt>
                <c:pt idx="209">
                  <c:v>96.780299999999997</c:v>
                </c:pt>
                <c:pt idx="210">
                  <c:v>77.459299999999999</c:v>
                </c:pt>
                <c:pt idx="211">
                  <c:v>115.7697</c:v>
                </c:pt>
                <c:pt idx="212">
                  <c:v>74.376800000000003</c:v>
                </c:pt>
                <c:pt idx="213">
                  <c:v>117.73</c:v>
                </c:pt>
                <c:pt idx="214">
                  <c:v>93.859200000000001</c:v>
                </c:pt>
                <c:pt idx="215">
                  <c:v>105.9879</c:v>
                </c:pt>
                <c:pt idx="216">
                  <c:v>109.0604</c:v>
                </c:pt>
                <c:pt idx="217">
                  <c:v>119.4903</c:v>
                </c:pt>
                <c:pt idx="218">
                  <c:v>119.16930000000001</c:v>
                </c:pt>
                <c:pt idx="219">
                  <c:v>82.304699999999997</c:v>
                </c:pt>
                <c:pt idx="220">
                  <c:v>63.418999999999997</c:v>
                </c:pt>
                <c:pt idx="221">
                  <c:v>73.655799999999999</c:v>
                </c:pt>
                <c:pt idx="222">
                  <c:v>94.203699999999998</c:v>
                </c:pt>
                <c:pt idx="223">
                  <c:v>80.3279</c:v>
                </c:pt>
                <c:pt idx="224">
                  <c:v>116.9554</c:v>
                </c:pt>
                <c:pt idx="225">
                  <c:v>83.4191</c:v>
                </c:pt>
                <c:pt idx="226">
                  <c:v>140.15700000000001</c:v>
                </c:pt>
                <c:pt idx="227">
                  <c:v>74.386200000000002</c:v>
                </c:pt>
                <c:pt idx="228">
                  <c:v>105.239</c:v>
                </c:pt>
                <c:pt idx="229">
                  <c:v>131.13480000000001</c:v>
                </c:pt>
                <c:pt idx="230">
                  <c:v>82.123000000000005</c:v>
                </c:pt>
                <c:pt idx="231">
                  <c:v>90.119500000000002</c:v>
                </c:pt>
                <c:pt idx="232">
                  <c:v>106.0334</c:v>
                </c:pt>
                <c:pt idx="233">
                  <c:v>88.245599999999996</c:v>
                </c:pt>
                <c:pt idx="234">
                  <c:v>77.665300000000002</c:v>
                </c:pt>
                <c:pt idx="235">
                  <c:v>142.96019999999999</c:v>
                </c:pt>
                <c:pt idx="236">
                  <c:v>210.91650000000001</c:v>
                </c:pt>
                <c:pt idx="237">
                  <c:v>109.83710000000001</c:v>
                </c:pt>
                <c:pt idx="238">
                  <c:v>121.325</c:v>
                </c:pt>
                <c:pt idx="239">
                  <c:v>90.750200000000007</c:v>
                </c:pt>
                <c:pt idx="240">
                  <c:v>59.087400000000002</c:v>
                </c:pt>
                <c:pt idx="241">
                  <c:v>96.326599999999999</c:v>
                </c:pt>
                <c:pt idx="242">
                  <c:v>102.2491</c:v>
                </c:pt>
                <c:pt idx="243">
                  <c:v>92.872900000000001</c:v>
                </c:pt>
                <c:pt idx="244">
                  <c:v>119.64790000000001</c:v>
                </c:pt>
                <c:pt idx="245">
                  <c:v>100.84229999999999</c:v>
                </c:pt>
                <c:pt idx="246">
                  <c:v>160.94450000000001</c:v>
                </c:pt>
                <c:pt idx="247">
                  <c:v>110.95869999999999</c:v>
                </c:pt>
                <c:pt idx="248">
                  <c:v>89.349599999999995</c:v>
                </c:pt>
                <c:pt idx="249">
                  <c:v>83.181399999999996</c:v>
                </c:pt>
                <c:pt idx="250">
                  <c:v>96.808400000000006</c:v>
                </c:pt>
                <c:pt idx="251">
                  <c:v>89.380899999999997</c:v>
                </c:pt>
                <c:pt idx="252">
                  <c:v>82.295599999999993</c:v>
                </c:pt>
                <c:pt idx="253">
                  <c:v>130.06370000000001</c:v>
                </c:pt>
                <c:pt idx="254">
                  <c:v>84.410799999999995</c:v>
                </c:pt>
                <c:pt idx="255">
                  <c:v>104.3934</c:v>
                </c:pt>
                <c:pt idx="256">
                  <c:v>106.53749999999999</c:v>
                </c:pt>
                <c:pt idx="257">
                  <c:v>134.51159999999999</c:v>
                </c:pt>
                <c:pt idx="258">
                  <c:v>66.101900000000001</c:v>
                </c:pt>
                <c:pt idx="259">
                  <c:v>91.479299999999995</c:v>
                </c:pt>
                <c:pt idx="260">
                  <c:v>103.7089</c:v>
                </c:pt>
                <c:pt idx="261">
                  <c:v>165.02850000000001</c:v>
                </c:pt>
                <c:pt idx="262">
                  <c:v>51.879199999999997</c:v>
                </c:pt>
                <c:pt idx="263">
                  <c:v>121.0759</c:v>
                </c:pt>
                <c:pt idx="264">
                  <c:v>73.4773</c:v>
                </c:pt>
                <c:pt idx="265">
                  <c:v>140.22149999999999</c:v>
                </c:pt>
                <c:pt idx="266">
                  <c:v>97.342100000000002</c:v>
                </c:pt>
                <c:pt idx="267">
                  <c:v>80.761799999999994</c:v>
                </c:pt>
                <c:pt idx="268">
                  <c:v>102.80889999999999</c:v>
                </c:pt>
                <c:pt idx="269">
                  <c:v>149.30940000000001</c:v>
                </c:pt>
                <c:pt idx="270">
                  <c:v>113.3424</c:v>
                </c:pt>
                <c:pt idx="271">
                  <c:v>127.59520000000001</c:v>
                </c:pt>
                <c:pt idx="272">
                  <c:v>99.310400000000001</c:v>
                </c:pt>
                <c:pt idx="273">
                  <c:v>167.93289999999999</c:v>
                </c:pt>
                <c:pt idx="274">
                  <c:v>94.100800000000007</c:v>
                </c:pt>
                <c:pt idx="275">
                  <c:v>64.903400000000005</c:v>
                </c:pt>
                <c:pt idx="276">
                  <c:v>124.581</c:v>
                </c:pt>
                <c:pt idx="277">
                  <c:v>105.98480000000001</c:v>
                </c:pt>
                <c:pt idx="278">
                  <c:v>110.0942</c:v>
                </c:pt>
                <c:pt idx="279">
                  <c:v>87.648300000000006</c:v>
                </c:pt>
                <c:pt idx="280">
                  <c:v>93.835899999999995</c:v>
                </c:pt>
                <c:pt idx="281">
                  <c:v>174.88810000000001</c:v>
                </c:pt>
                <c:pt idx="282">
                  <c:v>165.5574</c:v>
                </c:pt>
                <c:pt idx="283">
                  <c:v>73.192300000000003</c:v>
                </c:pt>
                <c:pt idx="284">
                  <c:v>100.99290000000001</c:v>
                </c:pt>
                <c:pt idx="285">
                  <c:v>113.4699</c:v>
                </c:pt>
                <c:pt idx="286">
                  <c:v>83.251000000000005</c:v>
                </c:pt>
                <c:pt idx="287">
                  <c:v>107.6866</c:v>
                </c:pt>
                <c:pt idx="288">
                  <c:v>126.2577</c:v>
                </c:pt>
                <c:pt idx="289">
                  <c:v>85.665099999999995</c:v>
                </c:pt>
                <c:pt idx="290">
                  <c:v>100.1344</c:v>
                </c:pt>
                <c:pt idx="291">
                  <c:v>80.534400000000005</c:v>
                </c:pt>
                <c:pt idx="292">
                  <c:v>97.045400000000001</c:v>
                </c:pt>
                <c:pt idx="293">
                  <c:v>142.30600000000001</c:v>
                </c:pt>
                <c:pt idx="294">
                  <c:v>77.087400000000002</c:v>
                </c:pt>
                <c:pt idx="295">
                  <c:v>107.35639999999999</c:v>
                </c:pt>
                <c:pt idx="296">
                  <c:v>117.5402</c:v>
                </c:pt>
                <c:pt idx="297">
                  <c:v>98.608900000000006</c:v>
                </c:pt>
                <c:pt idx="298">
                  <c:v>82.524799999999999</c:v>
                </c:pt>
                <c:pt idx="299">
                  <c:v>131.53809999999999</c:v>
                </c:pt>
                <c:pt idx="300">
                  <c:v>141.34639999999999</c:v>
                </c:pt>
                <c:pt idx="301">
                  <c:v>158.12</c:v>
                </c:pt>
                <c:pt idx="302">
                  <c:v>159.6311</c:v>
                </c:pt>
                <c:pt idx="303">
                  <c:v>167.34620000000001</c:v>
                </c:pt>
                <c:pt idx="304">
                  <c:v>141.0642</c:v>
                </c:pt>
                <c:pt idx="305">
                  <c:v>117.2183</c:v>
                </c:pt>
                <c:pt idx="306">
                  <c:v>94.975700000000003</c:v>
                </c:pt>
                <c:pt idx="307">
                  <c:v>104.7028</c:v>
                </c:pt>
                <c:pt idx="308">
                  <c:v>123.5997</c:v>
                </c:pt>
                <c:pt idx="309">
                  <c:v>126.6251</c:v>
                </c:pt>
                <c:pt idx="310">
                  <c:v>89.536900000000003</c:v>
                </c:pt>
                <c:pt idx="311">
                  <c:v>67.293199999999999</c:v>
                </c:pt>
                <c:pt idx="312">
                  <c:v>111.4365</c:v>
                </c:pt>
                <c:pt idx="313">
                  <c:v>85.771299999999997</c:v>
                </c:pt>
                <c:pt idx="314">
                  <c:v>85.4696</c:v>
                </c:pt>
                <c:pt idx="315">
                  <c:v>143.71010000000001</c:v>
                </c:pt>
                <c:pt idx="316">
                  <c:v>105.9474</c:v>
                </c:pt>
                <c:pt idx="317">
                  <c:v>59.717799999999997</c:v>
                </c:pt>
                <c:pt idx="318">
                  <c:v>145.23220000000001</c:v>
                </c:pt>
                <c:pt idx="319">
                  <c:v>104.0117</c:v>
                </c:pt>
                <c:pt idx="320">
                  <c:v>119.44629999999999</c:v>
                </c:pt>
                <c:pt idx="321">
                  <c:v>121.545</c:v>
                </c:pt>
                <c:pt idx="322">
                  <c:v>107.5829</c:v>
                </c:pt>
                <c:pt idx="323">
                  <c:v>84.578999999999994</c:v>
                </c:pt>
                <c:pt idx="324">
                  <c:v>105.7754</c:v>
                </c:pt>
                <c:pt idx="325">
                  <c:v>67.771500000000003</c:v>
                </c:pt>
                <c:pt idx="326">
                  <c:v>92.323400000000007</c:v>
                </c:pt>
                <c:pt idx="327">
                  <c:v>91.281700000000001</c:v>
                </c:pt>
                <c:pt idx="328">
                  <c:v>92.558899999999994</c:v>
                </c:pt>
                <c:pt idx="329">
                  <c:v>106.3486</c:v>
                </c:pt>
                <c:pt idx="330">
                  <c:v>163.28870000000001</c:v>
                </c:pt>
                <c:pt idx="331">
                  <c:v>67.290199999999999</c:v>
                </c:pt>
                <c:pt idx="332">
                  <c:v>121.32510000000001</c:v>
                </c:pt>
                <c:pt idx="333">
                  <c:v>92.2149</c:v>
                </c:pt>
                <c:pt idx="334">
                  <c:v>107.5896</c:v>
                </c:pt>
                <c:pt idx="335">
                  <c:v>72.857900000000001</c:v>
                </c:pt>
                <c:pt idx="336">
                  <c:v>69.496200000000002</c:v>
                </c:pt>
                <c:pt idx="337">
                  <c:v>100.6985</c:v>
                </c:pt>
                <c:pt idx="338">
                  <c:v>104.4943</c:v>
                </c:pt>
                <c:pt idx="339">
                  <c:v>179.9957</c:v>
                </c:pt>
                <c:pt idx="340">
                  <c:v>122.8245</c:v>
                </c:pt>
                <c:pt idx="341">
                  <c:v>154.22579999999999</c:v>
                </c:pt>
                <c:pt idx="342">
                  <c:v>77.460999999999999</c:v>
                </c:pt>
                <c:pt idx="343">
                  <c:v>79.753799999999998</c:v>
                </c:pt>
                <c:pt idx="344">
                  <c:v>138.43049999999999</c:v>
                </c:pt>
                <c:pt idx="345">
                  <c:v>74.874099999999999</c:v>
                </c:pt>
                <c:pt idx="346">
                  <c:v>98.537899999999993</c:v>
                </c:pt>
                <c:pt idx="347">
                  <c:v>128.79259999999999</c:v>
                </c:pt>
                <c:pt idx="348">
                  <c:v>92.190600000000003</c:v>
                </c:pt>
                <c:pt idx="349">
                  <c:v>108.87520000000001</c:v>
                </c:pt>
                <c:pt idx="350">
                  <c:v>74.971400000000003</c:v>
                </c:pt>
                <c:pt idx="351">
                  <c:v>104.1129</c:v>
                </c:pt>
                <c:pt idx="352">
                  <c:v>84.8005</c:v>
                </c:pt>
                <c:pt idx="353">
                  <c:v>124.569</c:v>
                </c:pt>
                <c:pt idx="354">
                  <c:v>68.194299999999998</c:v>
                </c:pt>
                <c:pt idx="355">
                  <c:v>110.5326</c:v>
                </c:pt>
                <c:pt idx="356">
                  <c:v>142.23779999999999</c:v>
                </c:pt>
                <c:pt idx="357">
                  <c:v>89.740300000000005</c:v>
                </c:pt>
                <c:pt idx="358">
                  <c:v>66.211500000000001</c:v>
                </c:pt>
                <c:pt idx="359">
                  <c:v>122.4134</c:v>
                </c:pt>
                <c:pt idx="360">
                  <c:v>101.6228</c:v>
                </c:pt>
                <c:pt idx="361">
                  <c:v>125.8176</c:v>
                </c:pt>
                <c:pt idx="362">
                  <c:v>69.909499999999994</c:v>
                </c:pt>
                <c:pt idx="363">
                  <c:v>154.9941</c:v>
                </c:pt>
                <c:pt idx="364">
                  <c:v>111.6041</c:v>
                </c:pt>
                <c:pt idx="365">
                  <c:v>118.339</c:v>
                </c:pt>
                <c:pt idx="366">
                  <c:v>89.710300000000004</c:v>
                </c:pt>
                <c:pt idx="367">
                  <c:v>108.0399</c:v>
                </c:pt>
                <c:pt idx="368">
                  <c:v>69.666399999999996</c:v>
                </c:pt>
                <c:pt idx="369">
                  <c:v>87.653700000000001</c:v>
                </c:pt>
                <c:pt idx="370">
                  <c:v>181.17769999999999</c:v>
                </c:pt>
                <c:pt idx="371">
                  <c:v>56.478700000000003</c:v>
                </c:pt>
                <c:pt idx="372">
                  <c:v>103.29600000000001</c:v>
                </c:pt>
                <c:pt idx="373">
                  <c:v>62.179499999999997</c:v>
                </c:pt>
                <c:pt idx="374">
                  <c:v>99.078000000000003</c:v>
                </c:pt>
                <c:pt idx="375">
                  <c:v>66.717500000000001</c:v>
                </c:pt>
                <c:pt idx="376">
                  <c:v>123.2957</c:v>
                </c:pt>
                <c:pt idx="377">
                  <c:v>106.3853</c:v>
                </c:pt>
                <c:pt idx="378">
                  <c:v>103.6602</c:v>
                </c:pt>
                <c:pt idx="379">
                  <c:v>102.76600000000001</c:v>
                </c:pt>
                <c:pt idx="380">
                  <c:v>71.724299999999999</c:v>
                </c:pt>
                <c:pt idx="381">
                  <c:v>88.866</c:v>
                </c:pt>
                <c:pt idx="382">
                  <c:v>80.610900000000001</c:v>
                </c:pt>
                <c:pt idx="383">
                  <c:v>123.7116</c:v>
                </c:pt>
                <c:pt idx="384">
                  <c:v>107.98950000000001</c:v>
                </c:pt>
                <c:pt idx="385">
                  <c:v>108.4849</c:v>
                </c:pt>
                <c:pt idx="386">
                  <c:v>96.173000000000002</c:v>
                </c:pt>
                <c:pt idx="387">
                  <c:v>110.0467</c:v>
                </c:pt>
                <c:pt idx="388">
                  <c:v>81.110399999999998</c:v>
                </c:pt>
                <c:pt idx="389">
                  <c:v>94.171199999999999</c:v>
                </c:pt>
                <c:pt idx="390">
                  <c:v>126.4487</c:v>
                </c:pt>
                <c:pt idx="391">
                  <c:v>126.9567</c:v>
                </c:pt>
                <c:pt idx="392">
                  <c:v>128.12860000000001</c:v>
                </c:pt>
                <c:pt idx="393">
                  <c:v>127.4521</c:v>
                </c:pt>
                <c:pt idx="394">
                  <c:v>114.68680000000001</c:v>
                </c:pt>
                <c:pt idx="395">
                  <c:v>145.81630000000001</c:v>
                </c:pt>
                <c:pt idx="396">
                  <c:v>146.96180000000001</c:v>
                </c:pt>
                <c:pt idx="397">
                  <c:v>90.582499999999996</c:v>
                </c:pt>
                <c:pt idx="398">
                  <c:v>86.333100000000002</c:v>
                </c:pt>
                <c:pt idx="399">
                  <c:v>83.865700000000004</c:v>
                </c:pt>
                <c:pt idx="400">
                  <c:v>175.76220000000001</c:v>
                </c:pt>
                <c:pt idx="401">
                  <c:v>100.7818</c:v>
                </c:pt>
                <c:pt idx="402">
                  <c:v>67.727000000000004</c:v>
                </c:pt>
                <c:pt idx="403">
                  <c:v>77.984700000000004</c:v>
                </c:pt>
                <c:pt idx="404">
                  <c:v>142.66139999999999</c:v>
                </c:pt>
                <c:pt idx="405">
                  <c:v>117.4515</c:v>
                </c:pt>
                <c:pt idx="406">
                  <c:v>104.6035</c:v>
                </c:pt>
                <c:pt idx="407">
                  <c:v>112.7997</c:v>
                </c:pt>
                <c:pt idx="408">
                  <c:v>59.991100000000003</c:v>
                </c:pt>
                <c:pt idx="409">
                  <c:v>93.960700000000003</c:v>
                </c:pt>
                <c:pt idx="410">
                  <c:v>111.65130000000001</c:v>
                </c:pt>
                <c:pt idx="411">
                  <c:v>115.5484</c:v>
                </c:pt>
                <c:pt idx="412">
                  <c:v>64.505899999999997</c:v>
                </c:pt>
                <c:pt idx="413">
                  <c:v>78.864099999999993</c:v>
                </c:pt>
                <c:pt idx="414">
                  <c:v>80.3142</c:v>
                </c:pt>
                <c:pt idx="415">
                  <c:v>97.111599999999996</c:v>
                </c:pt>
                <c:pt idx="416">
                  <c:v>93.964100000000002</c:v>
                </c:pt>
                <c:pt idx="417">
                  <c:v>122.0886</c:v>
                </c:pt>
                <c:pt idx="418">
                  <c:v>137.31890000000001</c:v>
                </c:pt>
                <c:pt idx="419">
                  <c:v>60.229900000000001</c:v>
                </c:pt>
                <c:pt idx="420">
                  <c:v>82.587999999999994</c:v>
                </c:pt>
                <c:pt idx="421">
                  <c:v>96.416499999999999</c:v>
                </c:pt>
                <c:pt idx="422">
                  <c:v>114.65779999999999</c:v>
                </c:pt>
                <c:pt idx="423">
                  <c:v>78.027299999999997</c:v>
                </c:pt>
                <c:pt idx="424">
                  <c:v>113.52809999999999</c:v>
                </c:pt>
                <c:pt idx="425">
                  <c:v>141.12860000000001</c:v>
                </c:pt>
                <c:pt idx="426">
                  <c:v>121.8762</c:v>
                </c:pt>
                <c:pt idx="427">
                  <c:v>105.22320000000001</c:v>
                </c:pt>
                <c:pt idx="428">
                  <c:v>105.3784</c:v>
                </c:pt>
                <c:pt idx="429">
                  <c:v>122.9956</c:v>
                </c:pt>
                <c:pt idx="430">
                  <c:v>100.6324</c:v>
                </c:pt>
                <c:pt idx="431">
                  <c:v>86.001099999999994</c:v>
                </c:pt>
                <c:pt idx="432">
                  <c:v>103.67700000000001</c:v>
                </c:pt>
                <c:pt idx="433">
                  <c:v>84.448999999999998</c:v>
                </c:pt>
                <c:pt idx="434">
                  <c:v>74.795100000000005</c:v>
                </c:pt>
                <c:pt idx="435">
                  <c:v>146.8477</c:v>
                </c:pt>
                <c:pt idx="436">
                  <c:v>94.899600000000007</c:v>
                </c:pt>
                <c:pt idx="437">
                  <c:v>112.116</c:v>
                </c:pt>
                <c:pt idx="438">
                  <c:v>71.853700000000003</c:v>
                </c:pt>
                <c:pt idx="439">
                  <c:v>74.479299999999995</c:v>
                </c:pt>
                <c:pt idx="440">
                  <c:v>126.0052</c:v>
                </c:pt>
                <c:pt idx="441">
                  <c:v>55.4236</c:v>
                </c:pt>
                <c:pt idx="442">
                  <c:v>168.7407</c:v>
                </c:pt>
                <c:pt idx="443">
                  <c:v>108.6088</c:v>
                </c:pt>
                <c:pt idx="444">
                  <c:v>81.807299999999998</c:v>
                </c:pt>
                <c:pt idx="445">
                  <c:v>93.590599999999995</c:v>
                </c:pt>
                <c:pt idx="446">
                  <c:v>130.15889999999999</c:v>
                </c:pt>
                <c:pt idx="447">
                  <c:v>163.52780000000001</c:v>
                </c:pt>
                <c:pt idx="448">
                  <c:v>109.26609999999999</c:v>
                </c:pt>
                <c:pt idx="449">
                  <c:v>114.8279</c:v>
                </c:pt>
                <c:pt idx="450">
                  <c:v>96.806899999999999</c:v>
                </c:pt>
                <c:pt idx="451">
                  <c:v>82.529899999999998</c:v>
                </c:pt>
                <c:pt idx="452">
                  <c:v>81.147900000000007</c:v>
                </c:pt>
                <c:pt idx="453">
                  <c:v>142.3201</c:v>
                </c:pt>
                <c:pt idx="454">
                  <c:v>70.882999999999996</c:v>
                </c:pt>
                <c:pt idx="455">
                  <c:v>105.9307</c:v>
                </c:pt>
                <c:pt idx="456">
                  <c:v>67.551900000000003</c:v>
                </c:pt>
                <c:pt idx="457">
                  <c:v>92.550700000000006</c:v>
                </c:pt>
                <c:pt idx="458">
                  <c:v>73.659199999999998</c:v>
                </c:pt>
                <c:pt idx="459">
                  <c:v>139.85910000000001</c:v>
                </c:pt>
                <c:pt idx="460">
                  <c:v>61.722099999999998</c:v>
                </c:pt>
                <c:pt idx="461">
                  <c:v>51.741700000000002</c:v>
                </c:pt>
                <c:pt idx="462">
                  <c:v>96.836799999999997</c:v>
                </c:pt>
                <c:pt idx="463">
                  <c:v>103.9436</c:v>
                </c:pt>
                <c:pt idx="464">
                  <c:v>86.691699999999997</c:v>
                </c:pt>
                <c:pt idx="465">
                  <c:v>145.53749999999999</c:v>
                </c:pt>
                <c:pt idx="466">
                  <c:v>125.7054</c:v>
                </c:pt>
                <c:pt idx="467">
                  <c:v>124.5329</c:v>
                </c:pt>
                <c:pt idx="468">
                  <c:v>90.915300000000002</c:v>
                </c:pt>
                <c:pt idx="469">
                  <c:v>114.5591</c:v>
                </c:pt>
                <c:pt idx="470">
                  <c:v>134.11199999999999</c:v>
                </c:pt>
                <c:pt idx="471">
                  <c:v>145.78450000000001</c:v>
                </c:pt>
                <c:pt idx="472">
                  <c:v>114.1605</c:v>
                </c:pt>
                <c:pt idx="473">
                  <c:v>76.790999999999997</c:v>
                </c:pt>
                <c:pt idx="474">
                  <c:v>102.63460000000001</c:v>
                </c:pt>
                <c:pt idx="475">
                  <c:v>71.357600000000005</c:v>
                </c:pt>
                <c:pt idx="476">
                  <c:v>145.12139999999999</c:v>
                </c:pt>
                <c:pt idx="477">
                  <c:v>143.12430000000001</c:v>
                </c:pt>
                <c:pt idx="478">
                  <c:v>89.185900000000004</c:v>
                </c:pt>
                <c:pt idx="479">
                  <c:v>93.056799999999996</c:v>
                </c:pt>
                <c:pt idx="480">
                  <c:v>155.58539999999999</c:v>
                </c:pt>
                <c:pt idx="481">
                  <c:v>124.6956</c:v>
                </c:pt>
                <c:pt idx="482">
                  <c:v>76.912300000000002</c:v>
                </c:pt>
                <c:pt idx="483">
                  <c:v>119.8891</c:v>
                </c:pt>
                <c:pt idx="484">
                  <c:v>88.032399999999996</c:v>
                </c:pt>
                <c:pt idx="485">
                  <c:v>135.55000000000001</c:v>
                </c:pt>
                <c:pt idx="486">
                  <c:v>127.6537</c:v>
                </c:pt>
                <c:pt idx="487">
                  <c:v>125.1675</c:v>
                </c:pt>
                <c:pt idx="488">
                  <c:v>103.2765</c:v>
                </c:pt>
                <c:pt idx="489">
                  <c:v>84.834699999999998</c:v>
                </c:pt>
                <c:pt idx="490">
                  <c:v>141.52449999999999</c:v>
                </c:pt>
                <c:pt idx="491">
                  <c:v>108.5942</c:v>
                </c:pt>
                <c:pt idx="492">
                  <c:v>76.477500000000006</c:v>
                </c:pt>
                <c:pt idx="493">
                  <c:v>152.64609999999999</c:v>
                </c:pt>
                <c:pt idx="494">
                  <c:v>63.7791</c:v>
                </c:pt>
                <c:pt idx="495">
                  <c:v>64.318100000000001</c:v>
                </c:pt>
                <c:pt idx="496">
                  <c:v>79.949600000000004</c:v>
                </c:pt>
                <c:pt idx="497">
                  <c:v>94.557500000000005</c:v>
                </c:pt>
                <c:pt idx="498">
                  <c:v>118.6845</c:v>
                </c:pt>
                <c:pt idx="499">
                  <c:v>99.478099999999998</c:v>
                </c:pt>
                <c:pt idx="500">
                  <c:v>85.048599999999993</c:v>
                </c:pt>
                <c:pt idx="501">
                  <c:v>120.6695</c:v>
                </c:pt>
                <c:pt idx="502">
                  <c:v>86.238500000000002</c:v>
                </c:pt>
                <c:pt idx="503">
                  <c:v>83.249899999999997</c:v>
                </c:pt>
                <c:pt idx="504">
                  <c:v>89.078599999999994</c:v>
                </c:pt>
                <c:pt idx="505">
                  <c:v>155.28739999999999</c:v>
                </c:pt>
                <c:pt idx="506">
                  <c:v>99.544700000000006</c:v>
                </c:pt>
                <c:pt idx="507">
                  <c:v>86.289199999999994</c:v>
                </c:pt>
                <c:pt idx="508">
                  <c:v>76.781300000000002</c:v>
                </c:pt>
                <c:pt idx="509">
                  <c:v>135.33359999999999</c:v>
                </c:pt>
                <c:pt idx="510">
                  <c:v>80.550799999999995</c:v>
                </c:pt>
                <c:pt idx="511">
                  <c:v>134.74760000000001</c:v>
                </c:pt>
                <c:pt idx="512">
                  <c:v>90.365899999999996</c:v>
                </c:pt>
                <c:pt idx="513">
                  <c:v>80.272400000000005</c:v>
                </c:pt>
                <c:pt idx="514">
                  <c:v>59.859299999999998</c:v>
                </c:pt>
                <c:pt idx="515">
                  <c:v>104.4059</c:v>
                </c:pt>
                <c:pt idx="516">
                  <c:v>111.0012</c:v>
                </c:pt>
                <c:pt idx="517">
                  <c:v>97.4148</c:v>
                </c:pt>
                <c:pt idx="518">
                  <c:v>128.90539999999999</c:v>
                </c:pt>
                <c:pt idx="519">
                  <c:v>61.532499999999999</c:v>
                </c:pt>
                <c:pt idx="520">
                  <c:v>107.5822</c:v>
                </c:pt>
                <c:pt idx="521">
                  <c:v>111.6084</c:v>
                </c:pt>
                <c:pt idx="522">
                  <c:v>100.7732</c:v>
                </c:pt>
                <c:pt idx="523">
                  <c:v>92.325900000000004</c:v>
                </c:pt>
                <c:pt idx="524">
                  <c:v>59.908799999999999</c:v>
                </c:pt>
                <c:pt idx="525">
                  <c:v>129.91990000000001</c:v>
                </c:pt>
                <c:pt idx="526">
                  <c:v>77.485699999999994</c:v>
                </c:pt>
                <c:pt idx="527">
                  <c:v>84.322199999999995</c:v>
                </c:pt>
                <c:pt idx="528">
                  <c:v>106.92319999999999</c:v>
                </c:pt>
                <c:pt idx="529">
                  <c:v>101.50320000000001</c:v>
                </c:pt>
                <c:pt idx="530">
                  <c:v>66.804100000000005</c:v>
                </c:pt>
                <c:pt idx="531">
                  <c:v>55.606999999999999</c:v>
                </c:pt>
                <c:pt idx="532">
                  <c:v>91.195300000000003</c:v>
                </c:pt>
                <c:pt idx="533">
                  <c:v>144.26419999999999</c:v>
                </c:pt>
                <c:pt idx="534">
                  <c:v>95.461299999999994</c:v>
                </c:pt>
                <c:pt idx="535">
                  <c:v>132.0026</c:v>
                </c:pt>
                <c:pt idx="536">
                  <c:v>153.48570000000001</c:v>
                </c:pt>
                <c:pt idx="537">
                  <c:v>115.9864</c:v>
                </c:pt>
                <c:pt idx="538">
                  <c:v>156.416</c:v>
                </c:pt>
                <c:pt idx="539">
                  <c:v>89.092500000000001</c:v>
                </c:pt>
                <c:pt idx="540">
                  <c:v>117.61660000000001</c:v>
                </c:pt>
                <c:pt idx="541">
                  <c:v>163.0342</c:v>
                </c:pt>
                <c:pt idx="542">
                  <c:v>115.89790000000001</c:v>
                </c:pt>
                <c:pt idx="543">
                  <c:v>83.5869</c:v>
                </c:pt>
                <c:pt idx="544">
                  <c:v>89.664199999999994</c:v>
                </c:pt>
                <c:pt idx="545">
                  <c:v>112.0612</c:v>
                </c:pt>
                <c:pt idx="546">
                  <c:v>63.475000000000001</c:v>
                </c:pt>
                <c:pt idx="547">
                  <c:v>127.524</c:v>
                </c:pt>
                <c:pt idx="548">
                  <c:v>75.292100000000005</c:v>
                </c:pt>
                <c:pt idx="549">
                  <c:v>105.64749999999999</c:v>
                </c:pt>
                <c:pt idx="550">
                  <c:v>83.419799999999995</c:v>
                </c:pt>
                <c:pt idx="551">
                  <c:v>112.512</c:v>
                </c:pt>
                <c:pt idx="552">
                  <c:v>92.089600000000004</c:v>
                </c:pt>
                <c:pt idx="553">
                  <c:v>141.6849</c:v>
                </c:pt>
                <c:pt idx="554">
                  <c:v>74.605800000000002</c:v>
                </c:pt>
                <c:pt idx="555">
                  <c:v>133.40969999999999</c:v>
                </c:pt>
                <c:pt idx="556">
                  <c:v>123.0916</c:v>
                </c:pt>
                <c:pt idx="557">
                  <c:v>67.572199999999995</c:v>
                </c:pt>
                <c:pt idx="558">
                  <c:v>99.440600000000003</c:v>
                </c:pt>
                <c:pt idx="559">
                  <c:v>182.5668</c:v>
                </c:pt>
                <c:pt idx="560">
                  <c:v>102.3644</c:v>
                </c:pt>
                <c:pt idx="561">
                  <c:v>116.0908</c:v>
                </c:pt>
                <c:pt idx="562">
                  <c:v>64.205100000000002</c:v>
                </c:pt>
                <c:pt idx="563">
                  <c:v>82.159199999999998</c:v>
                </c:pt>
                <c:pt idx="564">
                  <c:v>95.7136</c:v>
                </c:pt>
                <c:pt idx="565">
                  <c:v>138.73419999999999</c:v>
                </c:pt>
                <c:pt idx="566">
                  <c:v>82.811599999999999</c:v>
                </c:pt>
                <c:pt idx="567">
                  <c:v>94.025999999999996</c:v>
                </c:pt>
                <c:pt idx="568">
                  <c:v>96.676900000000003</c:v>
                </c:pt>
                <c:pt idx="569">
                  <c:v>93.6387</c:v>
                </c:pt>
                <c:pt idx="570">
                  <c:v>94.846699999999998</c:v>
                </c:pt>
                <c:pt idx="571">
                  <c:v>110.4579</c:v>
                </c:pt>
                <c:pt idx="572">
                  <c:v>160.30510000000001</c:v>
                </c:pt>
                <c:pt idx="573">
                  <c:v>105.9978</c:v>
                </c:pt>
                <c:pt idx="574">
                  <c:v>93.557299999999998</c:v>
                </c:pt>
                <c:pt idx="575">
                  <c:v>111.12990000000001</c:v>
                </c:pt>
                <c:pt idx="576">
                  <c:v>75.058499999999995</c:v>
                </c:pt>
                <c:pt idx="577">
                  <c:v>81.566800000000001</c:v>
                </c:pt>
                <c:pt idx="578">
                  <c:v>91.1066</c:v>
                </c:pt>
                <c:pt idx="579">
                  <c:v>78.621300000000005</c:v>
                </c:pt>
                <c:pt idx="580">
                  <c:v>152.58009999999999</c:v>
                </c:pt>
                <c:pt idx="581">
                  <c:v>66.629599999999996</c:v>
                </c:pt>
                <c:pt idx="582">
                  <c:v>93.524199999999993</c:v>
                </c:pt>
                <c:pt idx="583">
                  <c:v>77.205200000000005</c:v>
                </c:pt>
                <c:pt idx="584">
                  <c:v>151.9325</c:v>
                </c:pt>
                <c:pt idx="585">
                  <c:v>172.49979999999999</c:v>
                </c:pt>
                <c:pt idx="586">
                  <c:v>99.817300000000003</c:v>
                </c:pt>
                <c:pt idx="587">
                  <c:v>118.6782</c:v>
                </c:pt>
                <c:pt idx="588">
                  <c:v>135.96129999999999</c:v>
                </c:pt>
                <c:pt idx="589">
                  <c:v>79.215699999999998</c:v>
                </c:pt>
                <c:pt idx="590">
                  <c:v>80.497699999999995</c:v>
                </c:pt>
                <c:pt idx="591">
                  <c:v>126.89919999999999</c:v>
                </c:pt>
                <c:pt idx="592">
                  <c:v>75.461699999999993</c:v>
                </c:pt>
                <c:pt idx="593">
                  <c:v>101.0021</c:v>
                </c:pt>
                <c:pt idx="594">
                  <c:v>97.237399999999994</c:v>
                </c:pt>
                <c:pt idx="595">
                  <c:v>110.0742</c:v>
                </c:pt>
                <c:pt idx="596">
                  <c:v>62.4101</c:v>
                </c:pt>
                <c:pt idx="597">
                  <c:v>108.4053</c:v>
                </c:pt>
                <c:pt idx="598">
                  <c:v>94.747</c:v>
                </c:pt>
                <c:pt idx="599">
                  <c:v>78.766400000000004</c:v>
                </c:pt>
                <c:pt idx="600">
                  <c:v>120.4406</c:v>
                </c:pt>
                <c:pt idx="601">
                  <c:v>120.196</c:v>
                </c:pt>
                <c:pt idx="602">
                  <c:v>78.373900000000006</c:v>
                </c:pt>
                <c:pt idx="603">
                  <c:v>208.66810000000001</c:v>
                </c:pt>
                <c:pt idx="604">
                  <c:v>130.33019999999999</c:v>
                </c:pt>
                <c:pt idx="605">
                  <c:v>78.375299999999996</c:v>
                </c:pt>
                <c:pt idx="606">
                  <c:v>154.83539999999999</c:v>
                </c:pt>
                <c:pt idx="607">
                  <c:v>145.64879999999999</c:v>
                </c:pt>
                <c:pt idx="608">
                  <c:v>80.001300000000001</c:v>
                </c:pt>
                <c:pt idx="609">
                  <c:v>145.93209999999999</c:v>
                </c:pt>
                <c:pt idx="610">
                  <c:v>163.3321</c:v>
                </c:pt>
                <c:pt idx="611">
                  <c:v>75.388900000000007</c:v>
                </c:pt>
                <c:pt idx="612">
                  <c:v>100.86660000000001</c:v>
                </c:pt>
                <c:pt idx="613">
                  <c:v>125.8321</c:v>
                </c:pt>
                <c:pt idx="614">
                  <c:v>75.745500000000007</c:v>
                </c:pt>
                <c:pt idx="615">
                  <c:v>68.122900000000001</c:v>
                </c:pt>
                <c:pt idx="616">
                  <c:v>79.443600000000004</c:v>
                </c:pt>
                <c:pt idx="617">
                  <c:v>79.459299999999999</c:v>
                </c:pt>
                <c:pt idx="618">
                  <c:v>53.857199999999999</c:v>
                </c:pt>
                <c:pt idx="619">
                  <c:v>97.756799999999998</c:v>
                </c:pt>
                <c:pt idx="620">
                  <c:v>130.60470000000001</c:v>
                </c:pt>
                <c:pt idx="621">
                  <c:v>113.721</c:v>
                </c:pt>
                <c:pt idx="622">
                  <c:v>77.802400000000006</c:v>
                </c:pt>
                <c:pt idx="623">
                  <c:v>83.223799999999997</c:v>
                </c:pt>
                <c:pt idx="624">
                  <c:v>104.0106</c:v>
                </c:pt>
                <c:pt idx="625">
                  <c:v>68.279200000000003</c:v>
                </c:pt>
                <c:pt idx="626">
                  <c:v>99.109700000000004</c:v>
                </c:pt>
                <c:pt idx="627">
                  <c:v>65.479600000000005</c:v>
                </c:pt>
                <c:pt idx="628">
                  <c:v>125.7106</c:v>
                </c:pt>
                <c:pt idx="629">
                  <c:v>87.940399999999997</c:v>
                </c:pt>
                <c:pt idx="630">
                  <c:v>64.918199999999999</c:v>
                </c:pt>
                <c:pt idx="631">
                  <c:v>128.19300000000001</c:v>
                </c:pt>
                <c:pt idx="632">
                  <c:v>55.036000000000001</c:v>
                </c:pt>
                <c:pt idx="633">
                  <c:v>62.975900000000003</c:v>
                </c:pt>
                <c:pt idx="634">
                  <c:v>140.1249</c:v>
                </c:pt>
                <c:pt idx="635">
                  <c:v>164.35929999999999</c:v>
                </c:pt>
                <c:pt idx="636">
                  <c:v>93.7483</c:v>
                </c:pt>
                <c:pt idx="637">
                  <c:v>96.143199999999993</c:v>
                </c:pt>
                <c:pt idx="638">
                  <c:v>83.608199999999997</c:v>
                </c:pt>
                <c:pt idx="639">
                  <c:v>114.99550000000001</c:v>
                </c:pt>
                <c:pt idx="640">
                  <c:v>107.7805</c:v>
                </c:pt>
                <c:pt idx="641">
                  <c:v>110.5377</c:v>
                </c:pt>
                <c:pt idx="642">
                  <c:v>70.711399999999998</c:v>
                </c:pt>
                <c:pt idx="643">
                  <c:v>65.549599999999998</c:v>
                </c:pt>
                <c:pt idx="644">
                  <c:v>154.744</c:v>
                </c:pt>
                <c:pt idx="645">
                  <c:v>107.4477</c:v>
                </c:pt>
                <c:pt idx="646">
                  <c:v>102.3276</c:v>
                </c:pt>
                <c:pt idx="647">
                  <c:v>68.287800000000004</c:v>
                </c:pt>
                <c:pt idx="648">
                  <c:v>128.94720000000001</c:v>
                </c:pt>
                <c:pt idx="649">
                  <c:v>95.550700000000006</c:v>
                </c:pt>
                <c:pt idx="650">
                  <c:v>117.1477</c:v>
                </c:pt>
                <c:pt idx="651">
                  <c:v>115.8878</c:v>
                </c:pt>
                <c:pt idx="652">
                  <c:v>95.725099999999998</c:v>
                </c:pt>
                <c:pt idx="653">
                  <c:v>86.264399999999995</c:v>
                </c:pt>
                <c:pt idx="654">
                  <c:v>112.2227</c:v>
                </c:pt>
                <c:pt idx="655">
                  <c:v>79.864199999999997</c:v>
                </c:pt>
                <c:pt idx="656">
                  <c:v>74.034700000000001</c:v>
                </c:pt>
                <c:pt idx="657">
                  <c:v>69.289900000000003</c:v>
                </c:pt>
                <c:pt idx="658">
                  <c:v>122.4308</c:v>
                </c:pt>
                <c:pt idx="659">
                  <c:v>103.4905</c:v>
                </c:pt>
                <c:pt idx="660">
                  <c:v>113.3169</c:v>
                </c:pt>
                <c:pt idx="661">
                  <c:v>74.267799999999994</c:v>
                </c:pt>
                <c:pt idx="662">
                  <c:v>68.001099999999994</c:v>
                </c:pt>
                <c:pt idx="663">
                  <c:v>81.977500000000006</c:v>
                </c:pt>
                <c:pt idx="664">
                  <c:v>108.7478</c:v>
                </c:pt>
                <c:pt idx="665">
                  <c:v>130.0008</c:v>
                </c:pt>
                <c:pt idx="666">
                  <c:v>114.2122</c:v>
                </c:pt>
                <c:pt idx="667">
                  <c:v>80.045000000000002</c:v>
                </c:pt>
                <c:pt idx="668">
                  <c:v>54.670900000000003</c:v>
                </c:pt>
                <c:pt idx="669">
                  <c:v>174.53100000000001</c:v>
                </c:pt>
                <c:pt idx="670">
                  <c:v>114.62139999999999</c:v>
                </c:pt>
                <c:pt idx="671">
                  <c:v>93.930199999999999</c:v>
                </c:pt>
                <c:pt idx="672">
                  <c:v>133.35480000000001</c:v>
                </c:pt>
                <c:pt idx="673">
                  <c:v>123.4238</c:v>
                </c:pt>
                <c:pt idx="674">
                  <c:v>133.50110000000001</c:v>
                </c:pt>
                <c:pt idx="675">
                  <c:v>69.295900000000003</c:v>
                </c:pt>
                <c:pt idx="676">
                  <c:v>70.432500000000005</c:v>
                </c:pt>
                <c:pt idx="677">
                  <c:v>136.4111</c:v>
                </c:pt>
                <c:pt idx="678">
                  <c:v>67.3279</c:v>
                </c:pt>
                <c:pt idx="679">
                  <c:v>83.78</c:v>
                </c:pt>
                <c:pt idx="680">
                  <c:v>88.161799999999999</c:v>
                </c:pt>
                <c:pt idx="681">
                  <c:v>94.944999999999993</c:v>
                </c:pt>
                <c:pt idx="682">
                  <c:v>83.635199999999998</c:v>
                </c:pt>
                <c:pt idx="683">
                  <c:v>78.712000000000003</c:v>
                </c:pt>
                <c:pt idx="684">
                  <c:v>182.79179999999999</c:v>
                </c:pt>
                <c:pt idx="685">
                  <c:v>127.66249999999999</c:v>
                </c:pt>
                <c:pt idx="686">
                  <c:v>123.1225</c:v>
                </c:pt>
                <c:pt idx="687">
                  <c:v>89.242699999999999</c:v>
                </c:pt>
                <c:pt idx="688">
                  <c:v>70.661799999999999</c:v>
                </c:pt>
                <c:pt idx="689">
                  <c:v>79.4602</c:v>
                </c:pt>
                <c:pt idx="690">
                  <c:v>190.73609999999999</c:v>
                </c:pt>
                <c:pt idx="691">
                  <c:v>67.573300000000003</c:v>
                </c:pt>
                <c:pt idx="692">
                  <c:v>125.5727</c:v>
                </c:pt>
                <c:pt idx="693">
                  <c:v>181.31180000000001</c:v>
                </c:pt>
                <c:pt idx="694">
                  <c:v>91.374099999999999</c:v>
                </c:pt>
                <c:pt idx="695">
                  <c:v>136.9238</c:v>
                </c:pt>
                <c:pt idx="696">
                  <c:v>129.524</c:v>
                </c:pt>
                <c:pt idx="697">
                  <c:v>124.47110000000001</c:v>
                </c:pt>
                <c:pt idx="698">
                  <c:v>72.586200000000005</c:v>
                </c:pt>
                <c:pt idx="699">
                  <c:v>98.742599999999996</c:v>
                </c:pt>
                <c:pt idx="700">
                  <c:v>87.363900000000001</c:v>
                </c:pt>
                <c:pt idx="701">
                  <c:v>173.39359999999999</c:v>
                </c:pt>
                <c:pt idx="702">
                  <c:v>84.441699999999997</c:v>
                </c:pt>
                <c:pt idx="703">
                  <c:v>68.800200000000004</c:v>
                </c:pt>
                <c:pt idx="704">
                  <c:v>60.809199999999997</c:v>
                </c:pt>
                <c:pt idx="705">
                  <c:v>285.97129999999999</c:v>
                </c:pt>
                <c:pt idx="706">
                  <c:v>126.3359</c:v>
                </c:pt>
                <c:pt idx="707">
                  <c:v>140.79820000000001</c:v>
                </c:pt>
                <c:pt idx="708">
                  <c:v>149.41730000000001</c:v>
                </c:pt>
                <c:pt idx="709">
                  <c:v>96.762500000000003</c:v>
                </c:pt>
                <c:pt idx="710">
                  <c:v>110.7602</c:v>
                </c:pt>
                <c:pt idx="711">
                  <c:v>94.167000000000002</c:v>
                </c:pt>
                <c:pt idx="712">
                  <c:v>185.7955</c:v>
                </c:pt>
                <c:pt idx="713">
                  <c:v>86.428899999999999</c:v>
                </c:pt>
                <c:pt idx="714">
                  <c:v>78.132000000000005</c:v>
                </c:pt>
                <c:pt idx="715">
                  <c:v>109.98269999999999</c:v>
                </c:pt>
                <c:pt idx="716">
                  <c:v>81.392899999999997</c:v>
                </c:pt>
                <c:pt idx="717">
                  <c:v>64.744299999999996</c:v>
                </c:pt>
                <c:pt idx="718">
                  <c:v>66.628399999999999</c:v>
                </c:pt>
                <c:pt idx="719">
                  <c:v>77.355400000000003</c:v>
                </c:pt>
                <c:pt idx="720">
                  <c:v>102.0665</c:v>
                </c:pt>
                <c:pt idx="721">
                  <c:v>165.47499999999999</c:v>
                </c:pt>
                <c:pt idx="722">
                  <c:v>115.8747</c:v>
                </c:pt>
                <c:pt idx="723">
                  <c:v>81.171899999999994</c:v>
                </c:pt>
                <c:pt idx="724">
                  <c:v>91.630799999999994</c:v>
                </c:pt>
                <c:pt idx="725">
                  <c:v>64.328900000000004</c:v>
                </c:pt>
                <c:pt idx="726">
                  <c:v>89.633099999999999</c:v>
                </c:pt>
                <c:pt idx="727">
                  <c:v>141.50280000000001</c:v>
                </c:pt>
                <c:pt idx="728">
                  <c:v>76.572900000000004</c:v>
                </c:pt>
                <c:pt idx="729">
                  <c:v>60.366500000000002</c:v>
                </c:pt>
                <c:pt idx="730">
                  <c:v>82.795400000000001</c:v>
                </c:pt>
                <c:pt idx="731">
                  <c:v>91.035600000000002</c:v>
                </c:pt>
                <c:pt idx="732">
                  <c:v>218.1874</c:v>
                </c:pt>
                <c:pt idx="733">
                  <c:v>92.427300000000002</c:v>
                </c:pt>
                <c:pt idx="734">
                  <c:v>182.6046</c:v>
                </c:pt>
                <c:pt idx="735">
                  <c:v>125.0913</c:v>
                </c:pt>
                <c:pt idx="736">
                  <c:v>73.229399999999998</c:v>
                </c:pt>
                <c:pt idx="737">
                  <c:v>72.490600000000001</c:v>
                </c:pt>
                <c:pt idx="738">
                  <c:v>113.6961</c:v>
                </c:pt>
                <c:pt idx="739">
                  <c:v>95.373800000000003</c:v>
                </c:pt>
                <c:pt idx="740">
                  <c:v>138.31440000000001</c:v>
                </c:pt>
                <c:pt idx="741">
                  <c:v>96.376199999999997</c:v>
                </c:pt>
                <c:pt idx="742">
                  <c:v>104.49039999999999</c:v>
                </c:pt>
                <c:pt idx="743">
                  <c:v>182.17949999999999</c:v>
                </c:pt>
                <c:pt idx="744">
                  <c:v>75.320300000000003</c:v>
                </c:pt>
                <c:pt idx="745">
                  <c:v>82.3994</c:v>
                </c:pt>
                <c:pt idx="746">
                  <c:v>115.37</c:v>
                </c:pt>
                <c:pt idx="747">
                  <c:v>119.3481</c:v>
                </c:pt>
                <c:pt idx="748">
                  <c:v>91.340500000000006</c:v>
                </c:pt>
                <c:pt idx="749">
                  <c:v>77.352900000000005</c:v>
                </c:pt>
                <c:pt idx="750">
                  <c:v>101.61279999999999</c:v>
                </c:pt>
                <c:pt idx="751">
                  <c:v>180.76400000000001</c:v>
                </c:pt>
                <c:pt idx="752">
                  <c:v>150.62799999999999</c:v>
                </c:pt>
                <c:pt idx="753">
                  <c:v>81.308599999999998</c:v>
                </c:pt>
                <c:pt idx="754">
                  <c:v>134.09710000000001</c:v>
                </c:pt>
                <c:pt idx="755">
                  <c:v>114.25920000000001</c:v>
                </c:pt>
                <c:pt idx="756">
                  <c:v>102.7197</c:v>
                </c:pt>
                <c:pt idx="757">
                  <c:v>141.0445</c:v>
                </c:pt>
                <c:pt idx="758">
                  <c:v>151.4949</c:v>
                </c:pt>
                <c:pt idx="759">
                  <c:v>111.1277</c:v>
                </c:pt>
                <c:pt idx="760">
                  <c:v>86.307500000000005</c:v>
                </c:pt>
                <c:pt idx="761">
                  <c:v>149.37110000000001</c:v>
                </c:pt>
                <c:pt idx="762">
                  <c:v>112.986</c:v>
                </c:pt>
                <c:pt idx="763">
                  <c:v>54.948599999999999</c:v>
                </c:pt>
                <c:pt idx="764">
                  <c:v>89.903000000000006</c:v>
                </c:pt>
                <c:pt idx="765">
                  <c:v>130.8099</c:v>
                </c:pt>
                <c:pt idx="766">
                  <c:v>87.259299999999996</c:v>
                </c:pt>
                <c:pt idx="767">
                  <c:v>126.6251</c:v>
                </c:pt>
                <c:pt idx="768">
                  <c:v>67.637900000000002</c:v>
                </c:pt>
                <c:pt idx="769">
                  <c:v>78.302999999999997</c:v>
                </c:pt>
                <c:pt idx="770">
                  <c:v>140.32149999999999</c:v>
                </c:pt>
                <c:pt idx="771">
                  <c:v>57.9482</c:v>
                </c:pt>
                <c:pt idx="772">
                  <c:v>192.66900000000001</c:v>
                </c:pt>
                <c:pt idx="773">
                  <c:v>61.469200000000001</c:v>
                </c:pt>
                <c:pt idx="774">
                  <c:v>76.479799999999997</c:v>
                </c:pt>
                <c:pt idx="775">
                  <c:v>101.1674</c:v>
                </c:pt>
                <c:pt idx="776">
                  <c:v>123.316</c:v>
                </c:pt>
                <c:pt idx="777">
                  <c:v>98.538899999999998</c:v>
                </c:pt>
                <c:pt idx="778">
                  <c:v>88.859200000000001</c:v>
                </c:pt>
                <c:pt idx="779">
                  <c:v>93.444800000000001</c:v>
                </c:pt>
                <c:pt idx="780">
                  <c:v>70.580699999999993</c:v>
                </c:pt>
                <c:pt idx="781">
                  <c:v>123.6985</c:v>
                </c:pt>
                <c:pt idx="782">
                  <c:v>130.39330000000001</c:v>
                </c:pt>
                <c:pt idx="783">
                  <c:v>79.435299999999998</c:v>
                </c:pt>
                <c:pt idx="784">
                  <c:v>68.745099999999994</c:v>
                </c:pt>
                <c:pt idx="785">
                  <c:v>100.45010000000001</c:v>
                </c:pt>
                <c:pt idx="786">
                  <c:v>133.01429999999999</c:v>
                </c:pt>
                <c:pt idx="787">
                  <c:v>106.7619</c:v>
                </c:pt>
                <c:pt idx="788">
                  <c:v>151.5051</c:v>
                </c:pt>
                <c:pt idx="789">
                  <c:v>62.786900000000003</c:v>
                </c:pt>
                <c:pt idx="790">
                  <c:v>81.196899999999999</c:v>
                </c:pt>
                <c:pt idx="791">
                  <c:v>137.3544</c:v>
                </c:pt>
                <c:pt idx="792">
                  <c:v>96.638599999999997</c:v>
                </c:pt>
                <c:pt idx="793">
                  <c:v>75.644800000000004</c:v>
                </c:pt>
                <c:pt idx="794">
                  <c:v>108.5659</c:v>
                </c:pt>
                <c:pt idx="795">
                  <c:v>77.695099999999996</c:v>
                </c:pt>
                <c:pt idx="796">
                  <c:v>93.965199999999996</c:v>
                </c:pt>
                <c:pt idx="797">
                  <c:v>81.143699999999995</c:v>
                </c:pt>
                <c:pt idx="798">
                  <c:v>82.702299999999994</c:v>
                </c:pt>
                <c:pt idx="799">
                  <c:v>92.238</c:v>
                </c:pt>
                <c:pt idx="800">
                  <c:v>123.28270000000001</c:v>
                </c:pt>
                <c:pt idx="801">
                  <c:v>113.99379999999999</c:v>
                </c:pt>
                <c:pt idx="802">
                  <c:v>54.337499999999999</c:v>
                </c:pt>
                <c:pt idx="803">
                  <c:v>119.154</c:v>
                </c:pt>
                <c:pt idx="804">
                  <c:v>104.5218</c:v>
                </c:pt>
                <c:pt idx="805">
                  <c:v>103.5129</c:v>
                </c:pt>
                <c:pt idx="806">
                  <c:v>124.5624</c:v>
                </c:pt>
                <c:pt idx="807">
                  <c:v>83.147300000000001</c:v>
                </c:pt>
                <c:pt idx="808">
                  <c:v>108.3694</c:v>
                </c:pt>
                <c:pt idx="809">
                  <c:v>70.4392</c:v>
                </c:pt>
                <c:pt idx="810">
                  <c:v>92.055199999999999</c:v>
                </c:pt>
                <c:pt idx="811">
                  <c:v>71.434299999999993</c:v>
                </c:pt>
                <c:pt idx="812">
                  <c:v>98.857200000000006</c:v>
                </c:pt>
                <c:pt idx="813">
                  <c:v>114.0356</c:v>
                </c:pt>
                <c:pt idx="814">
                  <c:v>140.47730000000001</c:v>
                </c:pt>
                <c:pt idx="815">
                  <c:v>152.5427</c:v>
                </c:pt>
                <c:pt idx="816">
                  <c:v>121.5472</c:v>
                </c:pt>
                <c:pt idx="817">
                  <c:v>106.28570000000001</c:v>
                </c:pt>
                <c:pt idx="818">
                  <c:v>101.8398</c:v>
                </c:pt>
                <c:pt idx="819">
                  <c:v>58.582799999999999</c:v>
                </c:pt>
                <c:pt idx="820">
                  <c:v>97.147999999999996</c:v>
                </c:pt>
                <c:pt idx="821">
                  <c:v>73.418700000000001</c:v>
                </c:pt>
                <c:pt idx="822">
                  <c:v>108.9849</c:v>
                </c:pt>
                <c:pt idx="823">
                  <c:v>103.59439999999999</c:v>
                </c:pt>
                <c:pt idx="824">
                  <c:v>142.8528</c:v>
                </c:pt>
                <c:pt idx="825">
                  <c:v>81.164000000000001</c:v>
                </c:pt>
                <c:pt idx="826">
                  <c:v>97.125799999999998</c:v>
                </c:pt>
                <c:pt idx="827">
                  <c:v>91.966300000000004</c:v>
                </c:pt>
                <c:pt idx="828">
                  <c:v>102.998</c:v>
                </c:pt>
                <c:pt idx="829">
                  <c:v>204.3845</c:v>
                </c:pt>
                <c:pt idx="830">
                  <c:v>73.658799999999999</c:v>
                </c:pt>
                <c:pt idx="831">
                  <c:v>169.62029999999999</c:v>
                </c:pt>
                <c:pt idx="832">
                  <c:v>176.7628</c:v>
                </c:pt>
                <c:pt idx="833">
                  <c:v>97.944999999999993</c:v>
                </c:pt>
                <c:pt idx="834">
                  <c:v>94.3566</c:v>
                </c:pt>
                <c:pt idx="835">
                  <c:v>85.464600000000004</c:v>
                </c:pt>
                <c:pt idx="836">
                  <c:v>81.018900000000002</c:v>
                </c:pt>
                <c:pt idx="837">
                  <c:v>107.0354</c:v>
                </c:pt>
                <c:pt idx="838">
                  <c:v>78.886799999999994</c:v>
                </c:pt>
                <c:pt idx="839">
                  <c:v>95.276799999999994</c:v>
                </c:pt>
                <c:pt idx="840">
                  <c:v>112.3935</c:v>
                </c:pt>
                <c:pt idx="841">
                  <c:v>122.68259999999999</c:v>
                </c:pt>
                <c:pt idx="842">
                  <c:v>95.937200000000004</c:v>
                </c:pt>
                <c:pt idx="843">
                  <c:v>120.4029</c:v>
                </c:pt>
                <c:pt idx="844">
                  <c:v>82.969200000000001</c:v>
                </c:pt>
                <c:pt idx="845">
                  <c:v>74.102000000000004</c:v>
                </c:pt>
                <c:pt idx="846">
                  <c:v>123.93980000000001</c:v>
                </c:pt>
                <c:pt idx="847">
                  <c:v>116.0527</c:v>
                </c:pt>
                <c:pt idx="848">
                  <c:v>58.822400000000002</c:v>
                </c:pt>
                <c:pt idx="849">
                  <c:v>92.771799999999999</c:v>
                </c:pt>
                <c:pt idx="850">
                  <c:v>66.9221</c:v>
                </c:pt>
                <c:pt idx="851">
                  <c:v>100</c:v>
                </c:pt>
                <c:pt idx="852">
                  <c:v>85.5822</c:v>
                </c:pt>
                <c:pt idx="853">
                  <c:v>56.1877</c:v>
                </c:pt>
                <c:pt idx="854">
                  <c:v>48.196599999999997</c:v>
                </c:pt>
                <c:pt idx="855">
                  <c:v>68.049099999999996</c:v>
                </c:pt>
                <c:pt idx="856">
                  <c:v>89.599199999999996</c:v>
                </c:pt>
                <c:pt idx="857">
                  <c:v>83.862099999999998</c:v>
                </c:pt>
                <c:pt idx="858">
                  <c:v>154.74469999999999</c:v>
                </c:pt>
                <c:pt idx="859">
                  <c:v>110.1499</c:v>
                </c:pt>
                <c:pt idx="860">
                  <c:v>107.1632</c:v>
                </c:pt>
                <c:pt idx="861">
                  <c:v>115.2371</c:v>
                </c:pt>
                <c:pt idx="862">
                  <c:v>130.46190000000001</c:v>
                </c:pt>
                <c:pt idx="863">
                  <c:v>105.2608</c:v>
                </c:pt>
                <c:pt idx="864">
                  <c:v>191.26949999999999</c:v>
                </c:pt>
                <c:pt idx="865">
                  <c:v>62.829300000000003</c:v>
                </c:pt>
                <c:pt idx="866">
                  <c:v>135.16079999999999</c:v>
                </c:pt>
                <c:pt idx="867">
                  <c:v>92.262100000000004</c:v>
                </c:pt>
                <c:pt idx="868">
                  <c:v>89.727400000000003</c:v>
                </c:pt>
                <c:pt idx="869">
                  <c:v>107.01600000000001</c:v>
                </c:pt>
                <c:pt idx="870">
                  <c:v>116.2482</c:v>
                </c:pt>
                <c:pt idx="871">
                  <c:v>79.006200000000007</c:v>
                </c:pt>
                <c:pt idx="872">
                  <c:v>106.6885</c:v>
                </c:pt>
                <c:pt idx="873">
                  <c:v>132.3013</c:v>
                </c:pt>
                <c:pt idx="874">
                  <c:v>116.3762</c:v>
                </c:pt>
                <c:pt idx="875">
                  <c:v>135.99250000000001</c:v>
                </c:pt>
                <c:pt idx="876">
                  <c:v>76.914199999999994</c:v>
                </c:pt>
                <c:pt idx="877">
                  <c:v>146.19569999999999</c:v>
                </c:pt>
                <c:pt idx="878">
                  <c:v>110.93770000000001</c:v>
                </c:pt>
                <c:pt idx="879">
                  <c:v>70.700800000000001</c:v>
                </c:pt>
                <c:pt idx="880">
                  <c:v>83.3977</c:v>
                </c:pt>
                <c:pt idx="881">
                  <c:v>72.366299999999995</c:v>
                </c:pt>
                <c:pt idx="882">
                  <c:v>92.963200000000001</c:v>
                </c:pt>
                <c:pt idx="883">
                  <c:v>168.1337</c:v>
                </c:pt>
                <c:pt idx="884">
                  <c:v>57.143300000000004</c:v>
                </c:pt>
                <c:pt idx="885">
                  <c:v>111.23520000000001</c:v>
                </c:pt>
                <c:pt idx="886">
                  <c:v>237.44409999999999</c:v>
                </c:pt>
                <c:pt idx="887">
                  <c:v>160.12610000000001</c:v>
                </c:pt>
                <c:pt idx="888">
                  <c:v>179.7269</c:v>
                </c:pt>
                <c:pt idx="889">
                  <c:v>115.50790000000001</c:v>
                </c:pt>
                <c:pt idx="890">
                  <c:v>77.578900000000004</c:v>
                </c:pt>
                <c:pt idx="891">
                  <c:v>76.293899999999994</c:v>
                </c:pt>
                <c:pt idx="892">
                  <c:v>106.56310000000001</c:v>
                </c:pt>
                <c:pt idx="893">
                  <c:v>66.233900000000006</c:v>
                </c:pt>
                <c:pt idx="894">
                  <c:v>102.2762</c:v>
                </c:pt>
                <c:pt idx="895">
                  <c:v>94.101699999999994</c:v>
                </c:pt>
                <c:pt idx="896">
                  <c:v>137.72479999999999</c:v>
                </c:pt>
                <c:pt idx="897">
                  <c:v>71.518600000000006</c:v>
                </c:pt>
                <c:pt idx="898">
                  <c:v>100.6378</c:v>
                </c:pt>
                <c:pt idx="899">
                  <c:v>107.80500000000001</c:v>
                </c:pt>
                <c:pt idx="900">
                  <c:v>110.9854</c:v>
                </c:pt>
                <c:pt idx="901">
                  <c:v>135.64330000000001</c:v>
                </c:pt>
                <c:pt idx="902">
                  <c:v>105.08159999999999</c:v>
                </c:pt>
                <c:pt idx="903">
                  <c:v>136.17869999999999</c:v>
                </c:pt>
                <c:pt idx="904">
                  <c:v>94.173599999999993</c:v>
                </c:pt>
                <c:pt idx="905">
                  <c:v>83.378299999999996</c:v>
                </c:pt>
                <c:pt idx="906">
                  <c:v>106.88849999999999</c:v>
                </c:pt>
                <c:pt idx="907">
                  <c:v>175.8109</c:v>
                </c:pt>
                <c:pt idx="908">
                  <c:v>114.21720000000001</c:v>
                </c:pt>
                <c:pt idx="909">
                  <c:v>150.036</c:v>
                </c:pt>
                <c:pt idx="910">
                  <c:v>158.2928</c:v>
                </c:pt>
                <c:pt idx="911">
                  <c:v>143.44710000000001</c:v>
                </c:pt>
                <c:pt idx="912">
                  <c:v>78.638099999999994</c:v>
                </c:pt>
                <c:pt idx="913">
                  <c:v>79.434399999999997</c:v>
                </c:pt>
                <c:pt idx="914">
                  <c:v>112.369</c:v>
                </c:pt>
                <c:pt idx="915">
                  <c:v>63.477499999999999</c:v>
                </c:pt>
                <c:pt idx="916">
                  <c:v>92.623999999999995</c:v>
                </c:pt>
                <c:pt idx="917">
                  <c:v>89.8018</c:v>
                </c:pt>
                <c:pt idx="918">
                  <c:v>86.378900000000002</c:v>
                </c:pt>
                <c:pt idx="919">
                  <c:v>65.038600000000002</c:v>
                </c:pt>
                <c:pt idx="920">
                  <c:v>101.6314</c:v>
                </c:pt>
                <c:pt idx="921">
                  <c:v>82.236099999999993</c:v>
                </c:pt>
                <c:pt idx="922">
                  <c:v>114.8439</c:v>
                </c:pt>
                <c:pt idx="923">
                  <c:v>99.065600000000003</c:v>
                </c:pt>
                <c:pt idx="924">
                  <c:v>135.7133</c:v>
                </c:pt>
                <c:pt idx="925">
                  <c:v>118.3493</c:v>
                </c:pt>
                <c:pt idx="926">
                  <c:v>105.44670000000001</c:v>
                </c:pt>
                <c:pt idx="927">
                  <c:v>120.11969999999999</c:v>
                </c:pt>
                <c:pt idx="928">
                  <c:v>102.69929999999999</c:v>
                </c:pt>
                <c:pt idx="929">
                  <c:v>85.697500000000005</c:v>
                </c:pt>
                <c:pt idx="930">
                  <c:v>99.593800000000002</c:v>
                </c:pt>
                <c:pt idx="931">
                  <c:v>94.554900000000004</c:v>
                </c:pt>
                <c:pt idx="932">
                  <c:v>61.163699999999999</c:v>
                </c:pt>
                <c:pt idx="933">
                  <c:v>160.2679</c:v>
                </c:pt>
                <c:pt idx="934">
                  <c:v>151.0239</c:v>
                </c:pt>
                <c:pt idx="935">
                  <c:v>66.457700000000003</c:v>
                </c:pt>
                <c:pt idx="936">
                  <c:v>123.7101</c:v>
                </c:pt>
                <c:pt idx="937">
                  <c:v>83.286199999999994</c:v>
                </c:pt>
                <c:pt idx="938">
                  <c:v>104.44670000000001</c:v>
                </c:pt>
                <c:pt idx="939">
                  <c:v>164.4905</c:v>
                </c:pt>
                <c:pt idx="940">
                  <c:v>96.780100000000004</c:v>
                </c:pt>
                <c:pt idx="941">
                  <c:v>156.5291</c:v>
                </c:pt>
                <c:pt idx="942">
                  <c:v>89.3249</c:v>
                </c:pt>
                <c:pt idx="943">
                  <c:v>47.529800000000002</c:v>
                </c:pt>
                <c:pt idx="944">
                  <c:v>93.266199999999998</c:v>
                </c:pt>
                <c:pt idx="945">
                  <c:v>79.239400000000003</c:v>
                </c:pt>
                <c:pt idx="946">
                  <c:v>82.897499999999994</c:v>
                </c:pt>
                <c:pt idx="947">
                  <c:v>118.22450000000001</c:v>
                </c:pt>
                <c:pt idx="948">
                  <c:v>104.95010000000001</c:v>
                </c:pt>
                <c:pt idx="949">
                  <c:v>96.508200000000002</c:v>
                </c:pt>
                <c:pt idx="950">
                  <c:v>107.3954</c:v>
                </c:pt>
                <c:pt idx="951">
                  <c:v>148.46199999999999</c:v>
                </c:pt>
                <c:pt idx="952">
                  <c:v>103.0715</c:v>
                </c:pt>
                <c:pt idx="953">
                  <c:v>136.43039999999999</c:v>
                </c:pt>
                <c:pt idx="954">
                  <c:v>100.3518</c:v>
                </c:pt>
                <c:pt idx="955">
                  <c:v>154.4547</c:v>
                </c:pt>
                <c:pt idx="956">
                  <c:v>71.591200000000001</c:v>
                </c:pt>
                <c:pt idx="957">
                  <c:v>85.851699999999994</c:v>
                </c:pt>
                <c:pt idx="958">
                  <c:v>70.032399999999996</c:v>
                </c:pt>
                <c:pt idx="959">
                  <c:v>60.887799999999999</c:v>
                </c:pt>
                <c:pt idx="960">
                  <c:v>116.0356</c:v>
                </c:pt>
                <c:pt idx="961">
                  <c:v>62.7333</c:v>
                </c:pt>
                <c:pt idx="962">
                  <c:v>140.4186</c:v>
                </c:pt>
                <c:pt idx="963">
                  <c:v>124.29</c:v>
                </c:pt>
                <c:pt idx="964">
                  <c:v>73.290300000000002</c:v>
                </c:pt>
                <c:pt idx="965">
                  <c:v>64.860299999999995</c:v>
                </c:pt>
                <c:pt idx="966">
                  <c:v>114.366</c:v>
                </c:pt>
                <c:pt idx="967">
                  <c:v>80.323300000000003</c:v>
                </c:pt>
                <c:pt idx="968">
                  <c:v>90.78</c:v>
                </c:pt>
                <c:pt idx="969">
                  <c:v>63.116999999999997</c:v>
                </c:pt>
                <c:pt idx="970">
                  <c:v>75.563500000000005</c:v>
                </c:pt>
                <c:pt idx="971">
                  <c:v>209.72030000000001</c:v>
                </c:pt>
                <c:pt idx="972">
                  <c:v>200.17349999999999</c:v>
                </c:pt>
                <c:pt idx="973">
                  <c:v>77.892200000000003</c:v>
                </c:pt>
                <c:pt idx="974">
                  <c:v>66.138400000000004</c:v>
                </c:pt>
                <c:pt idx="975">
                  <c:v>119.7816</c:v>
                </c:pt>
                <c:pt idx="976">
                  <c:v>80.746399999999994</c:v>
                </c:pt>
                <c:pt idx="977">
                  <c:v>91.835499999999996</c:v>
                </c:pt>
                <c:pt idx="978">
                  <c:v>99.014499999999998</c:v>
                </c:pt>
                <c:pt idx="979">
                  <c:v>70.245800000000003</c:v>
                </c:pt>
                <c:pt idx="980">
                  <c:v>101.06740000000001</c:v>
                </c:pt>
                <c:pt idx="981">
                  <c:v>162.77010000000001</c:v>
                </c:pt>
                <c:pt idx="982">
                  <c:v>83.949100000000001</c:v>
                </c:pt>
                <c:pt idx="983">
                  <c:v>87.882599999999996</c:v>
                </c:pt>
                <c:pt idx="984">
                  <c:v>74.248099999999994</c:v>
                </c:pt>
                <c:pt idx="985">
                  <c:v>88.096800000000002</c:v>
                </c:pt>
                <c:pt idx="986">
                  <c:v>121.6383</c:v>
                </c:pt>
                <c:pt idx="987">
                  <c:v>94.7346</c:v>
                </c:pt>
                <c:pt idx="988">
                  <c:v>105.1741</c:v>
                </c:pt>
                <c:pt idx="989">
                  <c:v>110.82550000000001</c:v>
                </c:pt>
                <c:pt idx="990">
                  <c:v>72.889499999999998</c:v>
                </c:pt>
                <c:pt idx="991">
                  <c:v>120.238</c:v>
                </c:pt>
                <c:pt idx="992">
                  <c:v>112.5415</c:v>
                </c:pt>
                <c:pt idx="993">
                  <c:v>97.208200000000005</c:v>
                </c:pt>
                <c:pt idx="994">
                  <c:v>91.183099999999996</c:v>
                </c:pt>
                <c:pt idx="995">
                  <c:v>93.304900000000004</c:v>
                </c:pt>
                <c:pt idx="996">
                  <c:v>78.270099999999999</c:v>
                </c:pt>
                <c:pt idx="997">
                  <c:v>53.053400000000003</c:v>
                </c:pt>
                <c:pt idx="998">
                  <c:v>99.516000000000005</c:v>
                </c:pt>
                <c:pt idx="999">
                  <c:v>110.1938</c:v>
                </c:pt>
              </c:numCache>
            </c:numRef>
          </c:xVal>
          <c:yVal>
            <c:numRef>
              <c:f>'Cash or Nothing Call Option'!$R$2:$R$1001</c:f>
              <c:numCache>
                <c:formatCode>0.00</c:formatCode>
                <c:ptCount val="1000"/>
                <c:pt idx="0">
                  <c:v>0</c:v>
                </c:pt>
                <c:pt idx="1">
                  <c:v>2.4973000000000001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7.9013999999999998</c:v>
                </c:pt>
                <c:pt idx="8">
                  <c:v>5.8266</c:v>
                </c:pt>
                <c:pt idx="9">
                  <c:v>0</c:v>
                </c:pt>
                <c:pt idx="10">
                  <c:v>11.3386</c:v>
                </c:pt>
                <c:pt idx="11">
                  <c:v>0</c:v>
                </c:pt>
                <c:pt idx="12">
                  <c:v>8.4478000000000009</c:v>
                </c:pt>
                <c:pt idx="13">
                  <c:v>3.9939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30.145299999999999</c:v>
                </c:pt>
                <c:pt idx="20">
                  <c:v>0</c:v>
                </c:pt>
                <c:pt idx="21">
                  <c:v>40.839799999999997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10.802099999999999</c:v>
                </c:pt>
                <c:pt idx="26">
                  <c:v>35.103099999999998</c:v>
                </c:pt>
                <c:pt idx="27">
                  <c:v>0</c:v>
                </c:pt>
                <c:pt idx="28">
                  <c:v>44.478299999999997</c:v>
                </c:pt>
                <c:pt idx="29">
                  <c:v>2.1598000000000002</c:v>
                </c:pt>
                <c:pt idx="30">
                  <c:v>0</c:v>
                </c:pt>
                <c:pt idx="31">
                  <c:v>15.4681</c:v>
                </c:pt>
                <c:pt idx="32">
                  <c:v>27.931899999999999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21.038</c:v>
                </c:pt>
                <c:pt idx="39">
                  <c:v>73.654200000000003</c:v>
                </c:pt>
                <c:pt idx="40">
                  <c:v>9.3192000000000004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33.7117</c:v>
                </c:pt>
                <c:pt idx="45">
                  <c:v>22.444400000000002</c:v>
                </c:pt>
                <c:pt idx="46">
                  <c:v>0</c:v>
                </c:pt>
                <c:pt idx="47">
                  <c:v>25.058199999999999</c:v>
                </c:pt>
                <c:pt idx="48">
                  <c:v>67.957599999999999</c:v>
                </c:pt>
                <c:pt idx="49">
                  <c:v>0</c:v>
                </c:pt>
                <c:pt idx="50">
                  <c:v>56.768099999999997</c:v>
                </c:pt>
                <c:pt idx="51">
                  <c:v>0</c:v>
                </c:pt>
                <c:pt idx="52">
                  <c:v>0</c:v>
                </c:pt>
                <c:pt idx="53">
                  <c:v>63.2849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13.7323</c:v>
                </c:pt>
                <c:pt idx="58">
                  <c:v>0</c:v>
                </c:pt>
                <c:pt idx="59">
                  <c:v>29.591100000000001</c:v>
                </c:pt>
                <c:pt idx="60">
                  <c:v>0</c:v>
                </c:pt>
                <c:pt idx="61">
                  <c:v>0</c:v>
                </c:pt>
                <c:pt idx="62">
                  <c:v>33.483600000000003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12.4297</c:v>
                </c:pt>
                <c:pt idx="70">
                  <c:v>0</c:v>
                </c:pt>
                <c:pt idx="71">
                  <c:v>40.125300000000003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6.5845000000000002</c:v>
                </c:pt>
                <c:pt idx="76">
                  <c:v>0</c:v>
                </c:pt>
                <c:pt idx="77">
                  <c:v>0</c:v>
                </c:pt>
                <c:pt idx="78">
                  <c:v>4.7911000000000001</c:v>
                </c:pt>
                <c:pt idx="79">
                  <c:v>10.9887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8.9769000000000005</c:v>
                </c:pt>
                <c:pt idx="87">
                  <c:v>0</c:v>
                </c:pt>
                <c:pt idx="88">
                  <c:v>5.4551999999999996</c:v>
                </c:pt>
                <c:pt idx="89">
                  <c:v>0</c:v>
                </c:pt>
                <c:pt idx="90">
                  <c:v>0</c:v>
                </c:pt>
                <c:pt idx="91">
                  <c:v>6.1227999999999998</c:v>
                </c:pt>
                <c:pt idx="92">
                  <c:v>4.3414000000000001</c:v>
                </c:pt>
                <c:pt idx="93">
                  <c:v>15.5129</c:v>
                </c:pt>
                <c:pt idx="94">
                  <c:v>0</c:v>
                </c:pt>
                <c:pt idx="95">
                  <c:v>12.5631</c:v>
                </c:pt>
                <c:pt idx="96">
                  <c:v>0</c:v>
                </c:pt>
                <c:pt idx="97">
                  <c:v>0</c:v>
                </c:pt>
                <c:pt idx="98">
                  <c:v>22.601600000000001</c:v>
                </c:pt>
                <c:pt idx="99">
                  <c:v>55.159700000000001</c:v>
                </c:pt>
                <c:pt idx="100">
                  <c:v>48.5715</c:v>
                </c:pt>
                <c:pt idx="101">
                  <c:v>0</c:v>
                </c:pt>
                <c:pt idx="102">
                  <c:v>0</c:v>
                </c:pt>
                <c:pt idx="103">
                  <c:v>30.448599999999999</c:v>
                </c:pt>
                <c:pt idx="104">
                  <c:v>38.391800000000003</c:v>
                </c:pt>
                <c:pt idx="105">
                  <c:v>13.142200000000001</c:v>
                </c:pt>
                <c:pt idx="106">
                  <c:v>10.3995</c:v>
                </c:pt>
                <c:pt idx="107">
                  <c:v>148.40309999999999</c:v>
                </c:pt>
                <c:pt idx="108">
                  <c:v>77.094800000000006</c:v>
                </c:pt>
                <c:pt idx="109">
                  <c:v>21.4038</c:v>
                </c:pt>
                <c:pt idx="110">
                  <c:v>0</c:v>
                </c:pt>
                <c:pt idx="111">
                  <c:v>0</c:v>
                </c:pt>
                <c:pt idx="112">
                  <c:v>9.5343999999999998</c:v>
                </c:pt>
                <c:pt idx="113">
                  <c:v>15.6892</c:v>
                </c:pt>
                <c:pt idx="114">
                  <c:v>0</c:v>
                </c:pt>
                <c:pt idx="115">
                  <c:v>8.2844999999999995</c:v>
                </c:pt>
                <c:pt idx="116">
                  <c:v>0</c:v>
                </c:pt>
                <c:pt idx="117">
                  <c:v>41.520499999999998</c:v>
                </c:pt>
                <c:pt idx="118">
                  <c:v>29.063400000000001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45.814599999999999</c:v>
                </c:pt>
                <c:pt idx="128">
                  <c:v>0</c:v>
                </c:pt>
                <c:pt idx="129">
                  <c:v>15.1211</c:v>
                </c:pt>
                <c:pt idx="130">
                  <c:v>0</c:v>
                </c:pt>
                <c:pt idx="131">
                  <c:v>15.8977</c:v>
                </c:pt>
                <c:pt idx="132">
                  <c:v>0.4355</c:v>
                </c:pt>
                <c:pt idx="133">
                  <c:v>57.735100000000003</c:v>
                </c:pt>
                <c:pt idx="134">
                  <c:v>51.646299999999997</c:v>
                </c:pt>
                <c:pt idx="135">
                  <c:v>7.6901999999999999</c:v>
                </c:pt>
                <c:pt idx="136">
                  <c:v>0</c:v>
                </c:pt>
                <c:pt idx="137">
                  <c:v>0</c:v>
                </c:pt>
                <c:pt idx="138">
                  <c:v>20.134699999999999</c:v>
                </c:pt>
                <c:pt idx="139">
                  <c:v>8.1586999999999996</c:v>
                </c:pt>
                <c:pt idx="140">
                  <c:v>42.076599999999999</c:v>
                </c:pt>
                <c:pt idx="141">
                  <c:v>57.8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11.7242</c:v>
                </c:pt>
                <c:pt idx="146">
                  <c:v>16.341899999999999</c:v>
                </c:pt>
                <c:pt idx="147">
                  <c:v>0</c:v>
                </c:pt>
                <c:pt idx="148">
                  <c:v>0</c:v>
                </c:pt>
                <c:pt idx="149">
                  <c:v>0.43259999999999998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8.1699000000000002</c:v>
                </c:pt>
                <c:pt idx="154">
                  <c:v>3.5524</c:v>
                </c:pt>
                <c:pt idx="155">
                  <c:v>0</c:v>
                </c:pt>
                <c:pt idx="156">
                  <c:v>11.231199999999999</c:v>
                </c:pt>
                <c:pt idx="157">
                  <c:v>32.654600000000002</c:v>
                </c:pt>
                <c:pt idx="158">
                  <c:v>4.4984999999999999</c:v>
                </c:pt>
                <c:pt idx="159">
                  <c:v>103.0431</c:v>
                </c:pt>
                <c:pt idx="160">
                  <c:v>14.5885</c:v>
                </c:pt>
                <c:pt idx="161">
                  <c:v>0</c:v>
                </c:pt>
                <c:pt idx="162">
                  <c:v>37.991199999999999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27.838899999999999</c:v>
                </c:pt>
                <c:pt idx="167">
                  <c:v>39.076599999999999</c:v>
                </c:pt>
                <c:pt idx="168">
                  <c:v>0</c:v>
                </c:pt>
                <c:pt idx="169">
                  <c:v>22.353400000000001</c:v>
                </c:pt>
                <c:pt idx="170">
                  <c:v>70.213999999999999</c:v>
                </c:pt>
                <c:pt idx="171">
                  <c:v>0</c:v>
                </c:pt>
                <c:pt idx="172">
                  <c:v>61.025100000000002</c:v>
                </c:pt>
                <c:pt idx="173">
                  <c:v>4.2503000000000002</c:v>
                </c:pt>
                <c:pt idx="174">
                  <c:v>0</c:v>
                </c:pt>
                <c:pt idx="175">
                  <c:v>56.343200000000003</c:v>
                </c:pt>
                <c:pt idx="176">
                  <c:v>0</c:v>
                </c:pt>
                <c:pt idx="177">
                  <c:v>0</c:v>
                </c:pt>
                <c:pt idx="178">
                  <c:v>33.560899999999997</c:v>
                </c:pt>
                <c:pt idx="179">
                  <c:v>27.038699999999999</c:v>
                </c:pt>
                <c:pt idx="180">
                  <c:v>31.116800000000001</c:v>
                </c:pt>
                <c:pt idx="181">
                  <c:v>0</c:v>
                </c:pt>
                <c:pt idx="182">
                  <c:v>93.3874</c:v>
                </c:pt>
                <c:pt idx="183">
                  <c:v>3.3837000000000002</c:v>
                </c:pt>
                <c:pt idx="184">
                  <c:v>0</c:v>
                </c:pt>
                <c:pt idx="185">
                  <c:v>0</c:v>
                </c:pt>
                <c:pt idx="186">
                  <c:v>9.4339999999999993</c:v>
                </c:pt>
                <c:pt idx="187">
                  <c:v>2.6941999999999999</c:v>
                </c:pt>
                <c:pt idx="188">
                  <c:v>8.8070000000000004</c:v>
                </c:pt>
                <c:pt idx="189">
                  <c:v>0</c:v>
                </c:pt>
                <c:pt idx="190">
                  <c:v>11.085599999999999</c:v>
                </c:pt>
                <c:pt idx="191">
                  <c:v>11.1745</c:v>
                </c:pt>
                <c:pt idx="192">
                  <c:v>24.6782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39.075499999999998</c:v>
                </c:pt>
                <c:pt idx="197">
                  <c:v>38.569099999999999</c:v>
                </c:pt>
                <c:pt idx="198">
                  <c:v>2.4655</c:v>
                </c:pt>
                <c:pt idx="199">
                  <c:v>8.6130999999999993</c:v>
                </c:pt>
                <c:pt idx="200">
                  <c:v>26.347799999999999</c:v>
                </c:pt>
                <c:pt idx="201">
                  <c:v>0</c:v>
                </c:pt>
                <c:pt idx="202">
                  <c:v>94.903999999999996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37.761400000000002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15.7697</c:v>
                </c:pt>
                <c:pt idx="212">
                  <c:v>0</c:v>
                </c:pt>
                <c:pt idx="213">
                  <c:v>17.73</c:v>
                </c:pt>
                <c:pt idx="214">
                  <c:v>0</c:v>
                </c:pt>
                <c:pt idx="215">
                  <c:v>5.9878999999999998</c:v>
                </c:pt>
                <c:pt idx="216">
                  <c:v>9.0603999999999996</c:v>
                </c:pt>
                <c:pt idx="217">
                  <c:v>19.490300000000001</c:v>
                </c:pt>
                <c:pt idx="218">
                  <c:v>19.1693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16.955300000000001</c:v>
                </c:pt>
                <c:pt idx="225">
                  <c:v>0</c:v>
                </c:pt>
                <c:pt idx="226">
                  <c:v>40.156999999999996</c:v>
                </c:pt>
                <c:pt idx="227">
                  <c:v>0</c:v>
                </c:pt>
                <c:pt idx="228">
                  <c:v>5.2389999999999999</c:v>
                </c:pt>
                <c:pt idx="229">
                  <c:v>31.134799999999998</c:v>
                </c:pt>
                <c:pt idx="230">
                  <c:v>0</c:v>
                </c:pt>
                <c:pt idx="231">
                  <c:v>0</c:v>
                </c:pt>
                <c:pt idx="232">
                  <c:v>6.0334000000000003</c:v>
                </c:pt>
                <c:pt idx="233">
                  <c:v>0</c:v>
                </c:pt>
                <c:pt idx="234">
                  <c:v>0</c:v>
                </c:pt>
                <c:pt idx="235">
                  <c:v>42.9602</c:v>
                </c:pt>
                <c:pt idx="236">
                  <c:v>110.9165</c:v>
                </c:pt>
                <c:pt idx="237">
                  <c:v>9.8370999999999995</c:v>
                </c:pt>
                <c:pt idx="238">
                  <c:v>21.324999999999999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2.2490999999999999</c:v>
                </c:pt>
                <c:pt idx="243">
                  <c:v>0</c:v>
                </c:pt>
                <c:pt idx="244">
                  <c:v>19.6479</c:v>
                </c:pt>
                <c:pt idx="245">
                  <c:v>0.84230000000000005</c:v>
                </c:pt>
                <c:pt idx="246">
                  <c:v>60.944499999999998</c:v>
                </c:pt>
                <c:pt idx="247">
                  <c:v>10.9587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30.063700000000001</c:v>
                </c:pt>
                <c:pt idx="254">
                  <c:v>0</c:v>
                </c:pt>
                <c:pt idx="255">
                  <c:v>4.3933999999999997</c:v>
                </c:pt>
                <c:pt idx="256">
                  <c:v>6.5374999999999996</c:v>
                </c:pt>
                <c:pt idx="257">
                  <c:v>34.511600000000001</c:v>
                </c:pt>
                <c:pt idx="258">
                  <c:v>0</c:v>
                </c:pt>
                <c:pt idx="259">
                  <c:v>0</c:v>
                </c:pt>
                <c:pt idx="260">
                  <c:v>3.7088999999999999</c:v>
                </c:pt>
                <c:pt idx="261">
                  <c:v>65.028499999999994</c:v>
                </c:pt>
                <c:pt idx="262">
                  <c:v>0</c:v>
                </c:pt>
                <c:pt idx="263">
                  <c:v>21.075900000000001</c:v>
                </c:pt>
                <c:pt idx="264">
                  <c:v>0</c:v>
                </c:pt>
                <c:pt idx="265">
                  <c:v>40.221499999999999</c:v>
                </c:pt>
                <c:pt idx="266">
                  <c:v>0</c:v>
                </c:pt>
                <c:pt idx="267">
                  <c:v>0</c:v>
                </c:pt>
                <c:pt idx="268">
                  <c:v>2.8089</c:v>
                </c:pt>
                <c:pt idx="269">
                  <c:v>49.309399999999997</c:v>
                </c:pt>
                <c:pt idx="270">
                  <c:v>13.3424</c:v>
                </c:pt>
                <c:pt idx="271">
                  <c:v>27.595199999999998</c:v>
                </c:pt>
                <c:pt idx="272">
                  <c:v>0</c:v>
                </c:pt>
                <c:pt idx="273">
                  <c:v>67.932900000000004</c:v>
                </c:pt>
                <c:pt idx="274">
                  <c:v>0</c:v>
                </c:pt>
                <c:pt idx="275">
                  <c:v>0</c:v>
                </c:pt>
                <c:pt idx="276">
                  <c:v>24.581</c:v>
                </c:pt>
                <c:pt idx="277">
                  <c:v>5.9847999999999999</c:v>
                </c:pt>
                <c:pt idx="278">
                  <c:v>10.094200000000001</c:v>
                </c:pt>
                <c:pt idx="279">
                  <c:v>0</c:v>
                </c:pt>
                <c:pt idx="280">
                  <c:v>0</c:v>
                </c:pt>
                <c:pt idx="281">
                  <c:v>74.888099999999994</c:v>
                </c:pt>
                <c:pt idx="282">
                  <c:v>65.557400000000001</c:v>
                </c:pt>
                <c:pt idx="283">
                  <c:v>0</c:v>
                </c:pt>
                <c:pt idx="284">
                  <c:v>0.9929</c:v>
                </c:pt>
                <c:pt idx="285">
                  <c:v>13.469900000000001</c:v>
                </c:pt>
                <c:pt idx="286">
                  <c:v>0</c:v>
                </c:pt>
                <c:pt idx="287">
                  <c:v>7.6866000000000003</c:v>
                </c:pt>
                <c:pt idx="288">
                  <c:v>26.2577</c:v>
                </c:pt>
                <c:pt idx="289">
                  <c:v>0</c:v>
                </c:pt>
                <c:pt idx="290">
                  <c:v>0.13439999999999999</c:v>
                </c:pt>
                <c:pt idx="291">
                  <c:v>0</c:v>
                </c:pt>
                <c:pt idx="292">
                  <c:v>0</c:v>
                </c:pt>
                <c:pt idx="293">
                  <c:v>42.305999999999997</c:v>
                </c:pt>
                <c:pt idx="294">
                  <c:v>0</c:v>
                </c:pt>
                <c:pt idx="295">
                  <c:v>7.3563999999999998</c:v>
                </c:pt>
                <c:pt idx="296">
                  <c:v>17.540199999999999</c:v>
                </c:pt>
                <c:pt idx="297">
                  <c:v>0</c:v>
                </c:pt>
                <c:pt idx="298">
                  <c:v>0</c:v>
                </c:pt>
                <c:pt idx="299">
                  <c:v>31.5381</c:v>
                </c:pt>
                <c:pt idx="300">
                  <c:v>41.346400000000003</c:v>
                </c:pt>
                <c:pt idx="301">
                  <c:v>58.12</c:v>
                </c:pt>
                <c:pt idx="302">
                  <c:v>59.631100000000004</c:v>
                </c:pt>
                <c:pt idx="303">
                  <c:v>67.346199999999996</c:v>
                </c:pt>
                <c:pt idx="304">
                  <c:v>41.0642</c:v>
                </c:pt>
                <c:pt idx="305">
                  <c:v>17.218299999999999</c:v>
                </c:pt>
                <c:pt idx="306">
                  <c:v>0</c:v>
                </c:pt>
                <c:pt idx="307">
                  <c:v>4.7027999999999999</c:v>
                </c:pt>
                <c:pt idx="308">
                  <c:v>23.599699999999999</c:v>
                </c:pt>
                <c:pt idx="309">
                  <c:v>26.6251</c:v>
                </c:pt>
                <c:pt idx="310">
                  <c:v>0</c:v>
                </c:pt>
                <c:pt idx="311">
                  <c:v>0</c:v>
                </c:pt>
                <c:pt idx="312">
                  <c:v>11.436500000000001</c:v>
                </c:pt>
                <c:pt idx="313">
                  <c:v>0</c:v>
                </c:pt>
                <c:pt idx="314">
                  <c:v>0</c:v>
                </c:pt>
                <c:pt idx="315">
                  <c:v>43.710099999999997</c:v>
                </c:pt>
                <c:pt idx="316">
                  <c:v>5.9474</c:v>
                </c:pt>
                <c:pt idx="317">
                  <c:v>0</c:v>
                </c:pt>
                <c:pt idx="318">
                  <c:v>45.232199999999999</c:v>
                </c:pt>
                <c:pt idx="319">
                  <c:v>4.0117000000000003</c:v>
                </c:pt>
                <c:pt idx="320">
                  <c:v>19.446300000000001</c:v>
                </c:pt>
                <c:pt idx="321">
                  <c:v>21.545000000000002</c:v>
                </c:pt>
                <c:pt idx="322">
                  <c:v>7.5829000000000004</c:v>
                </c:pt>
                <c:pt idx="323">
                  <c:v>0</c:v>
                </c:pt>
                <c:pt idx="324">
                  <c:v>5.7754000000000003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6.3486000000000002</c:v>
                </c:pt>
                <c:pt idx="330">
                  <c:v>63.288699999999999</c:v>
                </c:pt>
                <c:pt idx="331">
                  <c:v>0</c:v>
                </c:pt>
                <c:pt idx="332">
                  <c:v>21.325099999999999</c:v>
                </c:pt>
                <c:pt idx="333">
                  <c:v>0</c:v>
                </c:pt>
                <c:pt idx="334">
                  <c:v>7.5895999999999999</c:v>
                </c:pt>
                <c:pt idx="335">
                  <c:v>0</c:v>
                </c:pt>
                <c:pt idx="336">
                  <c:v>0</c:v>
                </c:pt>
                <c:pt idx="337">
                  <c:v>0.69850000000000001</c:v>
                </c:pt>
                <c:pt idx="338">
                  <c:v>4.4943</c:v>
                </c:pt>
                <c:pt idx="339">
                  <c:v>79.995699999999999</c:v>
                </c:pt>
                <c:pt idx="340">
                  <c:v>22.8245</c:v>
                </c:pt>
                <c:pt idx="341">
                  <c:v>54.2258</c:v>
                </c:pt>
                <c:pt idx="342">
                  <c:v>0</c:v>
                </c:pt>
                <c:pt idx="343">
                  <c:v>0</c:v>
                </c:pt>
                <c:pt idx="344">
                  <c:v>38.430500000000002</c:v>
                </c:pt>
                <c:pt idx="345">
                  <c:v>0</c:v>
                </c:pt>
                <c:pt idx="346">
                  <c:v>0</c:v>
                </c:pt>
                <c:pt idx="347">
                  <c:v>28.7926</c:v>
                </c:pt>
                <c:pt idx="348">
                  <c:v>0</c:v>
                </c:pt>
                <c:pt idx="349">
                  <c:v>8.8751999999999995</c:v>
                </c:pt>
                <c:pt idx="350">
                  <c:v>0</c:v>
                </c:pt>
                <c:pt idx="351">
                  <c:v>4.1128999999999998</c:v>
                </c:pt>
                <c:pt idx="352">
                  <c:v>0</c:v>
                </c:pt>
                <c:pt idx="353">
                  <c:v>24.568999999999999</c:v>
                </c:pt>
                <c:pt idx="354">
                  <c:v>0</c:v>
                </c:pt>
                <c:pt idx="355">
                  <c:v>10.5326</c:v>
                </c:pt>
                <c:pt idx="356">
                  <c:v>42.2378</c:v>
                </c:pt>
                <c:pt idx="357">
                  <c:v>0</c:v>
                </c:pt>
                <c:pt idx="358">
                  <c:v>0</c:v>
                </c:pt>
                <c:pt idx="359">
                  <c:v>22.413399999999999</c:v>
                </c:pt>
                <c:pt idx="360">
                  <c:v>1.6228</c:v>
                </c:pt>
                <c:pt idx="361">
                  <c:v>25.817599999999999</c:v>
                </c:pt>
                <c:pt idx="362">
                  <c:v>0</c:v>
                </c:pt>
                <c:pt idx="363">
                  <c:v>54.994</c:v>
                </c:pt>
                <c:pt idx="364">
                  <c:v>11.604100000000001</c:v>
                </c:pt>
                <c:pt idx="365">
                  <c:v>18.338999999999999</c:v>
                </c:pt>
                <c:pt idx="366">
                  <c:v>0</c:v>
                </c:pt>
                <c:pt idx="367">
                  <c:v>8.0398999999999994</c:v>
                </c:pt>
                <c:pt idx="368">
                  <c:v>0</c:v>
                </c:pt>
                <c:pt idx="369">
                  <c:v>0</c:v>
                </c:pt>
                <c:pt idx="370">
                  <c:v>81.177599999999998</c:v>
                </c:pt>
                <c:pt idx="371">
                  <c:v>0</c:v>
                </c:pt>
                <c:pt idx="372">
                  <c:v>3.2959999999999998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23.2957</c:v>
                </c:pt>
                <c:pt idx="377">
                  <c:v>6.3853</c:v>
                </c:pt>
                <c:pt idx="378">
                  <c:v>3.6602000000000001</c:v>
                </c:pt>
                <c:pt idx="379">
                  <c:v>2.766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23.711600000000001</c:v>
                </c:pt>
                <c:pt idx="384">
                  <c:v>7.9894999999999996</c:v>
                </c:pt>
                <c:pt idx="385">
                  <c:v>8.4848999999999997</c:v>
                </c:pt>
                <c:pt idx="386">
                  <c:v>0</c:v>
                </c:pt>
                <c:pt idx="387">
                  <c:v>10.0467</c:v>
                </c:pt>
                <c:pt idx="388">
                  <c:v>0</c:v>
                </c:pt>
                <c:pt idx="389">
                  <c:v>0</c:v>
                </c:pt>
                <c:pt idx="390">
                  <c:v>26.448699999999999</c:v>
                </c:pt>
                <c:pt idx="391">
                  <c:v>26.956700000000001</c:v>
                </c:pt>
                <c:pt idx="392">
                  <c:v>28.128599999999999</c:v>
                </c:pt>
                <c:pt idx="393">
                  <c:v>27.452100000000002</c:v>
                </c:pt>
                <c:pt idx="394">
                  <c:v>14.6868</c:v>
                </c:pt>
                <c:pt idx="395">
                  <c:v>45.816299999999998</c:v>
                </c:pt>
                <c:pt idx="396">
                  <c:v>46.961799999999997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75.762200000000007</c:v>
                </c:pt>
                <c:pt idx="401">
                  <c:v>0.78180000000000005</c:v>
                </c:pt>
                <c:pt idx="402">
                  <c:v>0</c:v>
                </c:pt>
                <c:pt idx="403">
                  <c:v>0</c:v>
                </c:pt>
                <c:pt idx="404">
                  <c:v>42.6614</c:v>
                </c:pt>
                <c:pt idx="405">
                  <c:v>17.451499999999999</c:v>
                </c:pt>
                <c:pt idx="406">
                  <c:v>4.6035000000000004</c:v>
                </c:pt>
                <c:pt idx="407">
                  <c:v>12.7997</c:v>
                </c:pt>
                <c:pt idx="408">
                  <c:v>0</c:v>
                </c:pt>
                <c:pt idx="409">
                  <c:v>0</c:v>
                </c:pt>
                <c:pt idx="410">
                  <c:v>11.651300000000001</c:v>
                </c:pt>
                <c:pt idx="411">
                  <c:v>15.548400000000001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22.0886</c:v>
                </c:pt>
                <c:pt idx="418">
                  <c:v>37.318899999999999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14.6578</c:v>
                </c:pt>
                <c:pt idx="423">
                  <c:v>0</c:v>
                </c:pt>
                <c:pt idx="424">
                  <c:v>13.5281</c:v>
                </c:pt>
                <c:pt idx="425">
                  <c:v>41.128599999999999</c:v>
                </c:pt>
                <c:pt idx="426">
                  <c:v>21.876200000000001</c:v>
                </c:pt>
                <c:pt idx="427">
                  <c:v>5.2232000000000003</c:v>
                </c:pt>
                <c:pt idx="428">
                  <c:v>5.3784000000000001</c:v>
                </c:pt>
                <c:pt idx="429">
                  <c:v>22.9956</c:v>
                </c:pt>
                <c:pt idx="430">
                  <c:v>0.63239999999999996</c:v>
                </c:pt>
                <c:pt idx="431">
                  <c:v>0</c:v>
                </c:pt>
                <c:pt idx="432">
                  <c:v>3.677</c:v>
                </c:pt>
                <c:pt idx="433">
                  <c:v>0</c:v>
                </c:pt>
                <c:pt idx="434">
                  <c:v>0</c:v>
                </c:pt>
                <c:pt idx="435">
                  <c:v>46.847700000000003</c:v>
                </c:pt>
                <c:pt idx="436">
                  <c:v>0</c:v>
                </c:pt>
                <c:pt idx="437">
                  <c:v>12.116</c:v>
                </c:pt>
                <c:pt idx="438">
                  <c:v>0</c:v>
                </c:pt>
                <c:pt idx="439">
                  <c:v>0</c:v>
                </c:pt>
                <c:pt idx="440">
                  <c:v>26.005199999999999</c:v>
                </c:pt>
                <c:pt idx="441">
                  <c:v>0</c:v>
                </c:pt>
                <c:pt idx="442">
                  <c:v>68.740700000000004</c:v>
                </c:pt>
                <c:pt idx="443">
                  <c:v>8.6088000000000005</c:v>
                </c:pt>
                <c:pt idx="444">
                  <c:v>0</c:v>
                </c:pt>
                <c:pt idx="445">
                  <c:v>0</c:v>
                </c:pt>
                <c:pt idx="446">
                  <c:v>30.158899999999999</c:v>
                </c:pt>
                <c:pt idx="447">
                  <c:v>63.527799999999999</c:v>
                </c:pt>
                <c:pt idx="448">
                  <c:v>9.2660999999999998</c:v>
                </c:pt>
                <c:pt idx="449">
                  <c:v>14.8279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42.320099999999996</c:v>
                </c:pt>
                <c:pt idx="454">
                  <c:v>0</c:v>
                </c:pt>
                <c:pt idx="455">
                  <c:v>5.9306999999999999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39.859099999999998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3.9436</c:v>
                </c:pt>
                <c:pt idx="464">
                  <c:v>0</c:v>
                </c:pt>
                <c:pt idx="465">
                  <c:v>45.537500000000001</c:v>
                </c:pt>
                <c:pt idx="466">
                  <c:v>25.705400000000001</c:v>
                </c:pt>
                <c:pt idx="467">
                  <c:v>24.532900000000001</c:v>
                </c:pt>
                <c:pt idx="468">
                  <c:v>0</c:v>
                </c:pt>
                <c:pt idx="469">
                  <c:v>14.559100000000001</c:v>
                </c:pt>
                <c:pt idx="470">
                  <c:v>34.112000000000002</c:v>
                </c:pt>
                <c:pt idx="471">
                  <c:v>45.784500000000001</c:v>
                </c:pt>
                <c:pt idx="472">
                  <c:v>14.160500000000001</c:v>
                </c:pt>
                <c:pt idx="473">
                  <c:v>0</c:v>
                </c:pt>
                <c:pt idx="474">
                  <c:v>2.6345999999999998</c:v>
                </c:pt>
                <c:pt idx="475">
                  <c:v>0</c:v>
                </c:pt>
                <c:pt idx="476">
                  <c:v>45.121400000000001</c:v>
                </c:pt>
                <c:pt idx="477">
                  <c:v>43.124299999999998</c:v>
                </c:pt>
                <c:pt idx="478">
                  <c:v>0</c:v>
                </c:pt>
                <c:pt idx="479">
                  <c:v>0</c:v>
                </c:pt>
                <c:pt idx="480">
                  <c:v>55.5854</c:v>
                </c:pt>
                <c:pt idx="481">
                  <c:v>24.695599999999999</c:v>
                </c:pt>
                <c:pt idx="482">
                  <c:v>0</c:v>
                </c:pt>
                <c:pt idx="483">
                  <c:v>19.889099999999999</c:v>
                </c:pt>
                <c:pt idx="484">
                  <c:v>0</c:v>
                </c:pt>
                <c:pt idx="485">
                  <c:v>35.549999999999997</c:v>
                </c:pt>
                <c:pt idx="486">
                  <c:v>27.653700000000001</c:v>
                </c:pt>
                <c:pt idx="487">
                  <c:v>25.1675</c:v>
                </c:pt>
                <c:pt idx="488">
                  <c:v>3.2765</c:v>
                </c:pt>
                <c:pt idx="489">
                  <c:v>0</c:v>
                </c:pt>
                <c:pt idx="490">
                  <c:v>41.524500000000003</c:v>
                </c:pt>
                <c:pt idx="491">
                  <c:v>8.5942000000000007</c:v>
                </c:pt>
                <c:pt idx="492">
                  <c:v>0</c:v>
                </c:pt>
                <c:pt idx="493">
                  <c:v>52.646099999999997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18.6845</c:v>
                </c:pt>
                <c:pt idx="499">
                  <c:v>0</c:v>
                </c:pt>
                <c:pt idx="500">
                  <c:v>0</c:v>
                </c:pt>
                <c:pt idx="501">
                  <c:v>20.669499999999999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55.287399999999998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35.333599999999997</c:v>
                </c:pt>
                <c:pt idx="510">
                  <c:v>0</c:v>
                </c:pt>
                <c:pt idx="511">
                  <c:v>34.747599999999998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4.4058999999999999</c:v>
                </c:pt>
                <c:pt idx="516">
                  <c:v>11.001200000000001</c:v>
                </c:pt>
                <c:pt idx="517">
                  <c:v>0</c:v>
                </c:pt>
                <c:pt idx="518">
                  <c:v>28.9054</c:v>
                </c:pt>
                <c:pt idx="519">
                  <c:v>0</c:v>
                </c:pt>
                <c:pt idx="520">
                  <c:v>7.5822000000000003</c:v>
                </c:pt>
                <c:pt idx="521">
                  <c:v>11.6084</c:v>
                </c:pt>
                <c:pt idx="522">
                  <c:v>0.7732</c:v>
                </c:pt>
                <c:pt idx="523">
                  <c:v>0</c:v>
                </c:pt>
                <c:pt idx="524">
                  <c:v>0</c:v>
                </c:pt>
                <c:pt idx="525">
                  <c:v>29.919899999999998</c:v>
                </c:pt>
                <c:pt idx="526">
                  <c:v>0</c:v>
                </c:pt>
                <c:pt idx="527">
                  <c:v>0</c:v>
                </c:pt>
                <c:pt idx="528">
                  <c:v>6.9231999999999996</c:v>
                </c:pt>
                <c:pt idx="529">
                  <c:v>1.5032000000000001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44.264200000000002</c:v>
                </c:pt>
                <c:pt idx="534">
                  <c:v>0</c:v>
                </c:pt>
                <c:pt idx="535">
                  <c:v>32.002600000000001</c:v>
                </c:pt>
                <c:pt idx="536">
                  <c:v>53.485700000000001</c:v>
                </c:pt>
                <c:pt idx="537">
                  <c:v>15.9864</c:v>
                </c:pt>
                <c:pt idx="538">
                  <c:v>56.415999999999997</c:v>
                </c:pt>
                <c:pt idx="539">
                  <c:v>0</c:v>
                </c:pt>
                <c:pt idx="540">
                  <c:v>17.616599999999998</c:v>
                </c:pt>
                <c:pt idx="541">
                  <c:v>63.034199999999998</c:v>
                </c:pt>
                <c:pt idx="542">
                  <c:v>15.8979</c:v>
                </c:pt>
                <c:pt idx="543">
                  <c:v>0</c:v>
                </c:pt>
                <c:pt idx="544">
                  <c:v>0</c:v>
                </c:pt>
                <c:pt idx="545">
                  <c:v>12.061199999999999</c:v>
                </c:pt>
                <c:pt idx="546">
                  <c:v>0</c:v>
                </c:pt>
                <c:pt idx="547">
                  <c:v>27.524000000000001</c:v>
                </c:pt>
                <c:pt idx="548">
                  <c:v>0</c:v>
                </c:pt>
                <c:pt idx="549">
                  <c:v>5.6475</c:v>
                </c:pt>
                <c:pt idx="550">
                  <c:v>0</c:v>
                </c:pt>
                <c:pt idx="551">
                  <c:v>12.512</c:v>
                </c:pt>
                <c:pt idx="552">
                  <c:v>0</c:v>
                </c:pt>
                <c:pt idx="553">
                  <c:v>41.684899999999999</c:v>
                </c:pt>
                <c:pt idx="554">
                  <c:v>0</c:v>
                </c:pt>
                <c:pt idx="555">
                  <c:v>33.409700000000001</c:v>
                </c:pt>
                <c:pt idx="556">
                  <c:v>23.0916</c:v>
                </c:pt>
                <c:pt idx="557">
                  <c:v>0</c:v>
                </c:pt>
                <c:pt idx="558">
                  <c:v>0</c:v>
                </c:pt>
                <c:pt idx="559">
                  <c:v>82.566800000000001</c:v>
                </c:pt>
                <c:pt idx="560">
                  <c:v>2.3643999999999998</c:v>
                </c:pt>
                <c:pt idx="561">
                  <c:v>16.090800000000002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38.734200000000001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10.4579</c:v>
                </c:pt>
                <c:pt idx="572">
                  <c:v>60.305100000000003</c:v>
                </c:pt>
                <c:pt idx="573">
                  <c:v>5.9977999999999998</c:v>
                </c:pt>
                <c:pt idx="574">
                  <c:v>0</c:v>
                </c:pt>
                <c:pt idx="575">
                  <c:v>11.129899999999999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52.580100000000002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51.932499999999997</c:v>
                </c:pt>
                <c:pt idx="585">
                  <c:v>72.499799999999993</c:v>
                </c:pt>
                <c:pt idx="586">
                  <c:v>0</c:v>
                </c:pt>
                <c:pt idx="587">
                  <c:v>18.6782</c:v>
                </c:pt>
                <c:pt idx="588">
                  <c:v>35.961300000000001</c:v>
                </c:pt>
                <c:pt idx="589">
                  <c:v>0</c:v>
                </c:pt>
                <c:pt idx="590">
                  <c:v>0</c:v>
                </c:pt>
                <c:pt idx="591">
                  <c:v>26.8992</c:v>
                </c:pt>
                <c:pt idx="592">
                  <c:v>0</c:v>
                </c:pt>
                <c:pt idx="593">
                  <c:v>1.0021</c:v>
                </c:pt>
                <c:pt idx="594">
                  <c:v>0</c:v>
                </c:pt>
                <c:pt idx="595">
                  <c:v>10.074199999999999</c:v>
                </c:pt>
                <c:pt idx="596">
                  <c:v>0</c:v>
                </c:pt>
                <c:pt idx="597">
                  <c:v>8.4053000000000004</c:v>
                </c:pt>
                <c:pt idx="598">
                  <c:v>0</c:v>
                </c:pt>
                <c:pt idx="599">
                  <c:v>0</c:v>
                </c:pt>
                <c:pt idx="600">
                  <c:v>20.4406</c:v>
                </c:pt>
                <c:pt idx="601">
                  <c:v>20.196000000000002</c:v>
                </c:pt>
                <c:pt idx="602">
                  <c:v>0</c:v>
                </c:pt>
                <c:pt idx="603">
                  <c:v>108.6681</c:v>
                </c:pt>
                <c:pt idx="604">
                  <c:v>30.330200000000001</c:v>
                </c:pt>
                <c:pt idx="605">
                  <c:v>0</c:v>
                </c:pt>
                <c:pt idx="606">
                  <c:v>54.8354</c:v>
                </c:pt>
                <c:pt idx="607">
                  <c:v>45.648800000000001</c:v>
                </c:pt>
                <c:pt idx="608">
                  <c:v>0</c:v>
                </c:pt>
                <c:pt idx="609">
                  <c:v>45.932099999999998</c:v>
                </c:pt>
                <c:pt idx="610">
                  <c:v>63.332099999999997</c:v>
                </c:pt>
                <c:pt idx="611">
                  <c:v>0</c:v>
                </c:pt>
                <c:pt idx="612">
                  <c:v>0.86660000000000004</c:v>
                </c:pt>
                <c:pt idx="613">
                  <c:v>25.832100000000001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30.604600000000001</c:v>
                </c:pt>
                <c:pt idx="621">
                  <c:v>13.721</c:v>
                </c:pt>
                <c:pt idx="622">
                  <c:v>0</c:v>
                </c:pt>
                <c:pt idx="623">
                  <c:v>0</c:v>
                </c:pt>
                <c:pt idx="624">
                  <c:v>4.0106000000000002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25.710599999999999</c:v>
                </c:pt>
                <c:pt idx="629">
                  <c:v>0</c:v>
                </c:pt>
                <c:pt idx="630">
                  <c:v>0</c:v>
                </c:pt>
                <c:pt idx="631">
                  <c:v>28.193000000000001</c:v>
                </c:pt>
                <c:pt idx="632">
                  <c:v>0</c:v>
                </c:pt>
                <c:pt idx="633">
                  <c:v>0</c:v>
                </c:pt>
                <c:pt idx="634">
                  <c:v>40.124899999999997</c:v>
                </c:pt>
                <c:pt idx="635">
                  <c:v>64.359300000000005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14.9955</c:v>
                </c:pt>
                <c:pt idx="640">
                  <c:v>7.7805</c:v>
                </c:pt>
                <c:pt idx="641">
                  <c:v>10.537699999999999</c:v>
                </c:pt>
                <c:pt idx="642">
                  <c:v>0</c:v>
                </c:pt>
                <c:pt idx="643">
                  <c:v>0</c:v>
                </c:pt>
                <c:pt idx="644">
                  <c:v>54.744</c:v>
                </c:pt>
                <c:pt idx="645">
                  <c:v>7.4477000000000002</c:v>
                </c:pt>
                <c:pt idx="646">
                  <c:v>2.3275999999999999</c:v>
                </c:pt>
                <c:pt idx="647">
                  <c:v>0</c:v>
                </c:pt>
                <c:pt idx="648">
                  <c:v>28.947199999999999</c:v>
                </c:pt>
                <c:pt idx="649">
                  <c:v>0</c:v>
                </c:pt>
                <c:pt idx="650">
                  <c:v>17.1477</c:v>
                </c:pt>
                <c:pt idx="651">
                  <c:v>15.8878</c:v>
                </c:pt>
                <c:pt idx="652">
                  <c:v>0</c:v>
                </c:pt>
                <c:pt idx="653">
                  <c:v>0</c:v>
                </c:pt>
                <c:pt idx="654">
                  <c:v>12.2227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22.430800000000001</c:v>
                </c:pt>
                <c:pt idx="659">
                  <c:v>3.4904999999999999</c:v>
                </c:pt>
                <c:pt idx="660">
                  <c:v>13.3169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8.7477999999999998</c:v>
                </c:pt>
                <c:pt idx="665">
                  <c:v>30.000800000000002</c:v>
                </c:pt>
                <c:pt idx="666">
                  <c:v>14.212199999999999</c:v>
                </c:pt>
                <c:pt idx="667">
                  <c:v>0</c:v>
                </c:pt>
                <c:pt idx="668">
                  <c:v>0</c:v>
                </c:pt>
                <c:pt idx="669">
                  <c:v>74.531000000000006</c:v>
                </c:pt>
                <c:pt idx="670">
                  <c:v>14.6214</c:v>
                </c:pt>
                <c:pt idx="671">
                  <c:v>0</c:v>
                </c:pt>
                <c:pt idx="672">
                  <c:v>33.354799999999997</c:v>
                </c:pt>
                <c:pt idx="673">
                  <c:v>23.4238</c:v>
                </c:pt>
                <c:pt idx="674">
                  <c:v>33.501100000000001</c:v>
                </c:pt>
                <c:pt idx="675">
                  <c:v>0</c:v>
                </c:pt>
                <c:pt idx="676">
                  <c:v>0</c:v>
                </c:pt>
                <c:pt idx="677">
                  <c:v>36.411099999999998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82.791799999999995</c:v>
                </c:pt>
                <c:pt idx="685">
                  <c:v>27.662500000000001</c:v>
                </c:pt>
                <c:pt idx="686">
                  <c:v>23.122499999999999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90.736099999999993</c:v>
                </c:pt>
                <c:pt idx="691">
                  <c:v>0</c:v>
                </c:pt>
                <c:pt idx="692">
                  <c:v>25.572700000000001</c:v>
                </c:pt>
                <c:pt idx="693">
                  <c:v>81.311800000000005</c:v>
                </c:pt>
                <c:pt idx="694">
                  <c:v>0</c:v>
                </c:pt>
                <c:pt idx="695">
                  <c:v>36.9238</c:v>
                </c:pt>
                <c:pt idx="696">
                  <c:v>29.524000000000001</c:v>
                </c:pt>
                <c:pt idx="697">
                  <c:v>24.4711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73.393600000000006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185.97130000000001</c:v>
                </c:pt>
                <c:pt idx="706">
                  <c:v>26.335899999999999</c:v>
                </c:pt>
                <c:pt idx="707">
                  <c:v>40.798200000000001</c:v>
                </c:pt>
                <c:pt idx="708">
                  <c:v>49.417299999999997</c:v>
                </c:pt>
                <c:pt idx="709">
                  <c:v>0</c:v>
                </c:pt>
                <c:pt idx="710">
                  <c:v>10.760199999999999</c:v>
                </c:pt>
                <c:pt idx="711">
                  <c:v>0</c:v>
                </c:pt>
                <c:pt idx="712">
                  <c:v>85.795500000000004</c:v>
                </c:pt>
                <c:pt idx="713">
                  <c:v>0</c:v>
                </c:pt>
                <c:pt idx="714">
                  <c:v>0</c:v>
                </c:pt>
                <c:pt idx="715">
                  <c:v>9.9826999999999995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2.0665</c:v>
                </c:pt>
                <c:pt idx="721">
                  <c:v>65.474999999999994</c:v>
                </c:pt>
                <c:pt idx="722">
                  <c:v>15.874700000000001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41.502800000000001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118.1874</c:v>
                </c:pt>
                <c:pt idx="733">
                  <c:v>0</c:v>
                </c:pt>
                <c:pt idx="734">
                  <c:v>82.604600000000005</c:v>
                </c:pt>
                <c:pt idx="735">
                  <c:v>25.0913</c:v>
                </c:pt>
                <c:pt idx="736">
                  <c:v>0</c:v>
                </c:pt>
                <c:pt idx="737">
                  <c:v>0</c:v>
                </c:pt>
                <c:pt idx="738">
                  <c:v>13.696099999999999</c:v>
                </c:pt>
                <c:pt idx="739">
                  <c:v>0</c:v>
                </c:pt>
                <c:pt idx="740">
                  <c:v>38.314399999999999</c:v>
                </c:pt>
                <c:pt idx="741">
                  <c:v>0</c:v>
                </c:pt>
                <c:pt idx="742">
                  <c:v>4.4904000000000002</c:v>
                </c:pt>
                <c:pt idx="743">
                  <c:v>82.179500000000004</c:v>
                </c:pt>
                <c:pt idx="744">
                  <c:v>0</c:v>
                </c:pt>
                <c:pt idx="745">
                  <c:v>0</c:v>
                </c:pt>
                <c:pt idx="746">
                  <c:v>15.37</c:v>
                </c:pt>
                <c:pt idx="747">
                  <c:v>19.348099999999999</c:v>
                </c:pt>
                <c:pt idx="748">
                  <c:v>0</c:v>
                </c:pt>
                <c:pt idx="749">
                  <c:v>0</c:v>
                </c:pt>
                <c:pt idx="750">
                  <c:v>1.6128</c:v>
                </c:pt>
                <c:pt idx="751">
                  <c:v>80.763999999999996</c:v>
                </c:pt>
                <c:pt idx="752">
                  <c:v>50.628</c:v>
                </c:pt>
                <c:pt idx="753">
                  <c:v>0</c:v>
                </c:pt>
                <c:pt idx="754">
                  <c:v>34.097099999999998</c:v>
                </c:pt>
                <c:pt idx="755">
                  <c:v>14.2592</c:v>
                </c:pt>
                <c:pt idx="756">
                  <c:v>2.7197</c:v>
                </c:pt>
                <c:pt idx="757">
                  <c:v>41.044499999999999</c:v>
                </c:pt>
                <c:pt idx="758">
                  <c:v>51.494900000000001</c:v>
                </c:pt>
                <c:pt idx="759">
                  <c:v>11.127700000000001</c:v>
                </c:pt>
                <c:pt idx="760">
                  <c:v>0</c:v>
                </c:pt>
                <c:pt idx="761">
                  <c:v>49.371099999999998</c:v>
                </c:pt>
                <c:pt idx="762">
                  <c:v>12.986000000000001</c:v>
                </c:pt>
                <c:pt idx="763">
                  <c:v>0</c:v>
                </c:pt>
                <c:pt idx="764">
                  <c:v>0</c:v>
                </c:pt>
                <c:pt idx="765">
                  <c:v>30.809899999999999</c:v>
                </c:pt>
                <c:pt idx="766">
                  <c:v>0</c:v>
                </c:pt>
                <c:pt idx="767">
                  <c:v>26.6251</c:v>
                </c:pt>
                <c:pt idx="768">
                  <c:v>0</c:v>
                </c:pt>
                <c:pt idx="769">
                  <c:v>0</c:v>
                </c:pt>
                <c:pt idx="770">
                  <c:v>40.3215</c:v>
                </c:pt>
                <c:pt idx="771">
                  <c:v>0</c:v>
                </c:pt>
                <c:pt idx="772">
                  <c:v>92.668999999999997</c:v>
                </c:pt>
                <c:pt idx="773">
                  <c:v>0</c:v>
                </c:pt>
                <c:pt idx="774">
                  <c:v>0</c:v>
                </c:pt>
                <c:pt idx="775">
                  <c:v>1.1674</c:v>
                </c:pt>
                <c:pt idx="776">
                  <c:v>23.315999999999999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23.698499999999999</c:v>
                </c:pt>
                <c:pt idx="782">
                  <c:v>30.3933</c:v>
                </c:pt>
                <c:pt idx="783">
                  <c:v>0</c:v>
                </c:pt>
                <c:pt idx="784">
                  <c:v>0</c:v>
                </c:pt>
                <c:pt idx="785">
                  <c:v>0.4501</c:v>
                </c:pt>
                <c:pt idx="786">
                  <c:v>33.014299999999999</c:v>
                </c:pt>
                <c:pt idx="787">
                  <c:v>6.7618999999999998</c:v>
                </c:pt>
                <c:pt idx="788">
                  <c:v>51.505099999999999</c:v>
                </c:pt>
                <c:pt idx="789">
                  <c:v>0</c:v>
                </c:pt>
                <c:pt idx="790">
                  <c:v>0</c:v>
                </c:pt>
                <c:pt idx="791">
                  <c:v>37.354399999999998</c:v>
                </c:pt>
                <c:pt idx="792">
                  <c:v>0</c:v>
                </c:pt>
                <c:pt idx="793">
                  <c:v>0</c:v>
                </c:pt>
                <c:pt idx="794">
                  <c:v>8.5658999999999992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23.282699999999998</c:v>
                </c:pt>
                <c:pt idx="801">
                  <c:v>13.9938</c:v>
                </c:pt>
                <c:pt idx="802">
                  <c:v>0</c:v>
                </c:pt>
                <c:pt idx="803">
                  <c:v>19.154</c:v>
                </c:pt>
                <c:pt idx="804">
                  <c:v>4.5217999999999998</c:v>
                </c:pt>
                <c:pt idx="805">
                  <c:v>3.5129000000000001</c:v>
                </c:pt>
                <c:pt idx="806">
                  <c:v>24.5624</c:v>
                </c:pt>
                <c:pt idx="807">
                  <c:v>0</c:v>
                </c:pt>
                <c:pt idx="808">
                  <c:v>8.3694000000000006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14.035600000000001</c:v>
                </c:pt>
                <c:pt idx="814">
                  <c:v>40.4773</c:v>
                </c:pt>
                <c:pt idx="815">
                  <c:v>52.542700000000004</c:v>
                </c:pt>
                <c:pt idx="816">
                  <c:v>21.5472</c:v>
                </c:pt>
                <c:pt idx="817">
                  <c:v>6.2857000000000003</c:v>
                </c:pt>
                <c:pt idx="818">
                  <c:v>1.8398000000000001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8.9848999999999997</c:v>
                </c:pt>
                <c:pt idx="823">
                  <c:v>3.5943999999999998</c:v>
                </c:pt>
                <c:pt idx="824">
                  <c:v>42.852699999999999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2.9980000000000002</c:v>
                </c:pt>
                <c:pt idx="829">
                  <c:v>104.3845</c:v>
                </c:pt>
                <c:pt idx="830">
                  <c:v>0</c:v>
                </c:pt>
                <c:pt idx="831">
                  <c:v>69.6203</c:v>
                </c:pt>
                <c:pt idx="832">
                  <c:v>76.762799999999999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7.0354000000000001</c:v>
                </c:pt>
                <c:pt idx="838">
                  <c:v>0</c:v>
                </c:pt>
                <c:pt idx="839">
                  <c:v>0</c:v>
                </c:pt>
                <c:pt idx="840">
                  <c:v>12.3935</c:v>
                </c:pt>
                <c:pt idx="841">
                  <c:v>22.682600000000001</c:v>
                </c:pt>
                <c:pt idx="842">
                  <c:v>0</c:v>
                </c:pt>
                <c:pt idx="843">
                  <c:v>20.402899999999999</c:v>
                </c:pt>
                <c:pt idx="844">
                  <c:v>0</c:v>
                </c:pt>
                <c:pt idx="845">
                  <c:v>0</c:v>
                </c:pt>
                <c:pt idx="846">
                  <c:v>23.939800000000002</c:v>
                </c:pt>
                <c:pt idx="847">
                  <c:v>16.052700000000002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54.744700000000002</c:v>
                </c:pt>
                <c:pt idx="859">
                  <c:v>10.149900000000001</c:v>
                </c:pt>
                <c:pt idx="860">
                  <c:v>7.1631999999999998</c:v>
                </c:pt>
                <c:pt idx="861">
                  <c:v>15.2371</c:v>
                </c:pt>
                <c:pt idx="862">
                  <c:v>30.4619</c:v>
                </c:pt>
                <c:pt idx="863">
                  <c:v>5.2607999999999997</c:v>
                </c:pt>
                <c:pt idx="864">
                  <c:v>91.269499999999994</c:v>
                </c:pt>
                <c:pt idx="865">
                  <c:v>0</c:v>
                </c:pt>
                <c:pt idx="866">
                  <c:v>35.160800000000002</c:v>
                </c:pt>
                <c:pt idx="867">
                  <c:v>0</c:v>
                </c:pt>
                <c:pt idx="868">
                  <c:v>0</c:v>
                </c:pt>
                <c:pt idx="869">
                  <c:v>7.016</c:v>
                </c:pt>
                <c:pt idx="870">
                  <c:v>16.248200000000001</c:v>
                </c:pt>
                <c:pt idx="871">
                  <c:v>0</c:v>
                </c:pt>
                <c:pt idx="872">
                  <c:v>6.6885000000000003</c:v>
                </c:pt>
                <c:pt idx="873">
                  <c:v>32.301299999999998</c:v>
                </c:pt>
                <c:pt idx="874">
                  <c:v>16.376200000000001</c:v>
                </c:pt>
                <c:pt idx="875">
                  <c:v>35.9925</c:v>
                </c:pt>
                <c:pt idx="876">
                  <c:v>0</c:v>
                </c:pt>
                <c:pt idx="877">
                  <c:v>46.195700000000002</c:v>
                </c:pt>
                <c:pt idx="878">
                  <c:v>10.9377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68.133700000000005</c:v>
                </c:pt>
                <c:pt idx="884">
                  <c:v>0</c:v>
                </c:pt>
                <c:pt idx="885">
                  <c:v>11.235200000000001</c:v>
                </c:pt>
                <c:pt idx="886">
                  <c:v>137.44409999999999</c:v>
                </c:pt>
                <c:pt idx="887">
                  <c:v>60.126100000000001</c:v>
                </c:pt>
                <c:pt idx="888">
                  <c:v>79.726900000000001</c:v>
                </c:pt>
                <c:pt idx="889">
                  <c:v>15.507899999999999</c:v>
                </c:pt>
                <c:pt idx="890">
                  <c:v>0</c:v>
                </c:pt>
                <c:pt idx="891">
                  <c:v>0</c:v>
                </c:pt>
                <c:pt idx="892">
                  <c:v>6.5631000000000004</c:v>
                </c:pt>
                <c:pt idx="893">
                  <c:v>0</c:v>
                </c:pt>
                <c:pt idx="894">
                  <c:v>2.2761999999999998</c:v>
                </c:pt>
                <c:pt idx="895">
                  <c:v>0</c:v>
                </c:pt>
                <c:pt idx="896">
                  <c:v>37.724800000000002</c:v>
                </c:pt>
                <c:pt idx="897">
                  <c:v>0</c:v>
                </c:pt>
                <c:pt idx="898">
                  <c:v>0.63780000000000003</c:v>
                </c:pt>
                <c:pt idx="899">
                  <c:v>7.8049999999999997</c:v>
                </c:pt>
                <c:pt idx="900">
                  <c:v>10.9854</c:v>
                </c:pt>
                <c:pt idx="901">
                  <c:v>35.643300000000004</c:v>
                </c:pt>
                <c:pt idx="902">
                  <c:v>5.0815999999999999</c:v>
                </c:pt>
                <c:pt idx="903">
                  <c:v>36.178699999999999</c:v>
                </c:pt>
                <c:pt idx="904">
                  <c:v>0</c:v>
                </c:pt>
                <c:pt idx="905">
                  <c:v>0</c:v>
                </c:pt>
                <c:pt idx="906">
                  <c:v>6.8884999999999996</c:v>
                </c:pt>
                <c:pt idx="907">
                  <c:v>75.810900000000004</c:v>
                </c:pt>
                <c:pt idx="908">
                  <c:v>14.2172</c:v>
                </c:pt>
                <c:pt idx="909">
                  <c:v>50.036000000000001</c:v>
                </c:pt>
                <c:pt idx="910">
                  <c:v>58.2928</c:v>
                </c:pt>
                <c:pt idx="911">
                  <c:v>43.447099999999999</c:v>
                </c:pt>
                <c:pt idx="912">
                  <c:v>0</c:v>
                </c:pt>
                <c:pt idx="913">
                  <c:v>0</c:v>
                </c:pt>
                <c:pt idx="914">
                  <c:v>12.369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1.6314</c:v>
                </c:pt>
                <c:pt idx="921">
                  <c:v>0</c:v>
                </c:pt>
                <c:pt idx="922">
                  <c:v>14.8439</c:v>
                </c:pt>
                <c:pt idx="923">
                  <c:v>0</c:v>
                </c:pt>
                <c:pt idx="924">
                  <c:v>35.713299999999997</c:v>
                </c:pt>
                <c:pt idx="925">
                  <c:v>18.349299999999999</c:v>
                </c:pt>
                <c:pt idx="926">
                  <c:v>5.4466999999999999</c:v>
                </c:pt>
                <c:pt idx="927">
                  <c:v>20.119700000000002</c:v>
                </c:pt>
                <c:pt idx="928">
                  <c:v>2.6993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60.267899999999997</c:v>
                </c:pt>
                <c:pt idx="934">
                  <c:v>51.023899999999998</c:v>
                </c:pt>
                <c:pt idx="935">
                  <c:v>0</c:v>
                </c:pt>
                <c:pt idx="936">
                  <c:v>23.710100000000001</c:v>
                </c:pt>
                <c:pt idx="937">
                  <c:v>0</c:v>
                </c:pt>
                <c:pt idx="938">
                  <c:v>4.4466999999999999</c:v>
                </c:pt>
                <c:pt idx="939">
                  <c:v>64.490499999999997</c:v>
                </c:pt>
                <c:pt idx="940">
                  <c:v>0</c:v>
                </c:pt>
                <c:pt idx="941">
                  <c:v>56.5291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18.224499999999999</c:v>
                </c:pt>
                <c:pt idx="948">
                  <c:v>4.9500999999999999</c:v>
                </c:pt>
                <c:pt idx="949">
                  <c:v>0</c:v>
                </c:pt>
                <c:pt idx="950">
                  <c:v>7.3954000000000004</c:v>
                </c:pt>
                <c:pt idx="951">
                  <c:v>48.462000000000003</c:v>
                </c:pt>
                <c:pt idx="952">
                  <c:v>3.0714999999999999</c:v>
                </c:pt>
                <c:pt idx="953">
                  <c:v>36.430399999999999</c:v>
                </c:pt>
                <c:pt idx="954">
                  <c:v>0.3518</c:v>
                </c:pt>
                <c:pt idx="955">
                  <c:v>54.454700000000003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16.035599999999999</c:v>
                </c:pt>
                <c:pt idx="961">
                  <c:v>0</c:v>
                </c:pt>
                <c:pt idx="962">
                  <c:v>40.418599999999998</c:v>
                </c:pt>
                <c:pt idx="963">
                  <c:v>24.29</c:v>
                </c:pt>
                <c:pt idx="964">
                  <c:v>0</c:v>
                </c:pt>
                <c:pt idx="965">
                  <c:v>0</c:v>
                </c:pt>
                <c:pt idx="966">
                  <c:v>14.366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109.72029999999999</c:v>
                </c:pt>
                <c:pt idx="972">
                  <c:v>100.1735</c:v>
                </c:pt>
                <c:pt idx="973">
                  <c:v>0</c:v>
                </c:pt>
                <c:pt idx="974">
                  <c:v>0</c:v>
                </c:pt>
                <c:pt idx="975">
                  <c:v>19.781600000000001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1.0673999999999999</c:v>
                </c:pt>
                <c:pt idx="981">
                  <c:v>62.770099999999999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21.638300000000001</c:v>
                </c:pt>
                <c:pt idx="987">
                  <c:v>0</c:v>
                </c:pt>
                <c:pt idx="988">
                  <c:v>5.1741000000000001</c:v>
                </c:pt>
                <c:pt idx="989">
                  <c:v>10.8255</c:v>
                </c:pt>
                <c:pt idx="990">
                  <c:v>0</c:v>
                </c:pt>
                <c:pt idx="991">
                  <c:v>20.238</c:v>
                </c:pt>
                <c:pt idx="992">
                  <c:v>12.541499999999999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10.1938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7-4E76-93B0-6FF0380E7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202872"/>
        <c:axId val="436194672"/>
      </c:scatterChart>
      <c:valAx>
        <c:axId val="43620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194672"/>
        <c:crosses val="autoZero"/>
        <c:crossBetween val="midCat"/>
      </c:valAx>
      <c:valAx>
        <c:axId val="4361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02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'Cash or Nothing Call Option'!$S$1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'Cash or Nothing Call Option'!$Q$2:$Q$1001</c:f>
              <c:numCache>
                <c:formatCode>0.00</c:formatCode>
                <c:ptCount val="1000"/>
                <c:pt idx="0">
                  <c:v>82.213999999999999</c:v>
                </c:pt>
                <c:pt idx="1">
                  <c:v>102.4973</c:v>
                </c:pt>
                <c:pt idx="2">
                  <c:v>89.796199999999999</c:v>
                </c:pt>
                <c:pt idx="3">
                  <c:v>61.225900000000003</c:v>
                </c:pt>
                <c:pt idx="4">
                  <c:v>94.0608</c:v>
                </c:pt>
                <c:pt idx="5">
                  <c:v>96.915199999999999</c:v>
                </c:pt>
                <c:pt idx="6">
                  <c:v>78.119699999999995</c:v>
                </c:pt>
                <c:pt idx="7">
                  <c:v>107.9014</c:v>
                </c:pt>
                <c:pt idx="8">
                  <c:v>105.8266</c:v>
                </c:pt>
                <c:pt idx="9">
                  <c:v>83.921400000000006</c:v>
                </c:pt>
                <c:pt idx="10">
                  <c:v>111.3386</c:v>
                </c:pt>
                <c:pt idx="11">
                  <c:v>90.393100000000004</c:v>
                </c:pt>
                <c:pt idx="12">
                  <c:v>108.4478</c:v>
                </c:pt>
                <c:pt idx="13">
                  <c:v>103.9939</c:v>
                </c:pt>
                <c:pt idx="14">
                  <c:v>65.189499999999995</c:v>
                </c:pt>
                <c:pt idx="15">
                  <c:v>95.177999999999997</c:v>
                </c:pt>
                <c:pt idx="16">
                  <c:v>74.046000000000006</c:v>
                </c:pt>
                <c:pt idx="17">
                  <c:v>92.451400000000007</c:v>
                </c:pt>
                <c:pt idx="18">
                  <c:v>83.238699999999994</c:v>
                </c:pt>
                <c:pt idx="19">
                  <c:v>130.14529999999999</c:v>
                </c:pt>
                <c:pt idx="20">
                  <c:v>55.022500000000001</c:v>
                </c:pt>
                <c:pt idx="21">
                  <c:v>140.8398</c:v>
                </c:pt>
                <c:pt idx="22">
                  <c:v>84.260300000000001</c:v>
                </c:pt>
                <c:pt idx="23">
                  <c:v>65.149600000000007</c:v>
                </c:pt>
                <c:pt idx="24">
                  <c:v>67.590599999999995</c:v>
                </c:pt>
                <c:pt idx="25">
                  <c:v>110.8021</c:v>
                </c:pt>
                <c:pt idx="26">
                  <c:v>135.10310000000001</c:v>
                </c:pt>
                <c:pt idx="27">
                  <c:v>75.436999999999998</c:v>
                </c:pt>
                <c:pt idx="28">
                  <c:v>144.47829999999999</c:v>
                </c:pt>
                <c:pt idx="29">
                  <c:v>102.1598</c:v>
                </c:pt>
                <c:pt idx="30">
                  <c:v>76.789900000000003</c:v>
                </c:pt>
                <c:pt idx="31">
                  <c:v>115.46810000000001</c:v>
                </c:pt>
                <c:pt idx="32">
                  <c:v>127.9319</c:v>
                </c:pt>
                <c:pt idx="33">
                  <c:v>49.417200000000001</c:v>
                </c:pt>
                <c:pt idx="34">
                  <c:v>95.464600000000004</c:v>
                </c:pt>
                <c:pt idx="35">
                  <c:v>48.264600000000002</c:v>
                </c:pt>
                <c:pt idx="36">
                  <c:v>58.499699999999997</c:v>
                </c:pt>
                <c:pt idx="37">
                  <c:v>98.131600000000006</c:v>
                </c:pt>
                <c:pt idx="38">
                  <c:v>121.038</c:v>
                </c:pt>
                <c:pt idx="39">
                  <c:v>173.6542</c:v>
                </c:pt>
                <c:pt idx="40">
                  <c:v>109.3192</c:v>
                </c:pt>
                <c:pt idx="41">
                  <c:v>84.56</c:v>
                </c:pt>
                <c:pt idx="42">
                  <c:v>90.349299999999999</c:v>
                </c:pt>
                <c:pt idx="43">
                  <c:v>91.812799999999996</c:v>
                </c:pt>
                <c:pt idx="44">
                  <c:v>133.71170000000001</c:v>
                </c:pt>
                <c:pt idx="45">
                  <c:v>122.4444</c:v>
                </c:pt>
                <c:pt idx="46">
                  <c:v>64.505700000000004</c:v>
                </c:pt>
                <c:pt idx="47">
                  <c:v>125.0582</c:v>
                </c:pt>
                <c:pt idx="48">
                  <c:v>167.95760000000001</c:v>
                </c:pt>
                <c:pt idx="49">
                  <c:v>84.451400000000007</c:v>
                </c:pt>
                <c:pt idx="50">
                  <c:v>156.7681</c:v>
                </c:pt>
                <c:pt idx="51">
                  <c:v>85.846299999999999</c:v>
                </c:pt>
                <c:pt idx="52">
                  <c:v>79.817899999999995</c:v>
                </c:pt>
                <c:pt idx="53">
                  <c:v>163.28489999999999</c:v>
                </c:pt>
                <c:pt idx="54">
                  <c:v>97.198300000000003</c:v>
                </c:pt>
                <c:pt idx="55">
                  <c:v>84.986699999999999</c:v>
                </c:pt>
                <c:pt idx="56">
                  <c:v>92.822100000000006</c:v>
                </c:pt>
                <c:pt idx="57">
                  <c:v>113.7323</c:v>
                </c:pt>
                <c:pt idx="58">
                  <c:v>99.177499999999995</c:v>
                </c:pt>
                <c:pt idx="59">
                  <c:v>129.59110000000001</c:v>
                </c:pt>
                <c:pt idx="60">
                  <c:v>80.508499999999998</c:v>
                </c:pt>
                <c:pt idx="61">
                  <c:v>57.511699999999998</c:v>
                </c:pt>
                <c:pt idx="62">
                  <c:v>133.4836</c:v>
                </c:pt>
                <c:pt idx="63">
                  <c:v>92.750200000000007</c:v>
                </c:pt>
                <c:pt idx="64">
                  <c:v>88.934100000000001</c:v>
                </c:pt>
                <c:pt idx="65">
                  <c:v>82.587999999999994</c:v>
                </c:pt>
                <c:pt idx="66">
                  <c:v>55.185400000000001</c:v>
                </c:pt>
                <c:pt idx="67">
                  <c:v>81.930499999999995</c:v>
                </c:pt>
                <c:pt idx="68">
                  <c:v>93.618499999999997</c:v>
                </c:pt>
                <c:pt idx="69">
                  <c:v>112.4297</c:v>
                </c:pt>
                <c:pt idx="70">
                  <c:v>74.421499999999995</c:v>
                </c:pt>
                <c:pt idx="71">
                  <c:v>140.12530000000001</c:v>
                </c:pt>
                <c:pt idx="72">
                  <c:v>70.2072</c:v>
                </c:pt>
                <c:pt idx="73">
                  <c:v>86.707800000000006</c:v>
                </c:pt>
                <c:pt idx="74">
                  <c:v>66.698599999999999</c:v>
                </c:pt>
                <c:pt idx="75">
                  <c:v>106.58450000000001</c:v>
                </c:pt>
                <c:pt idx="76">
                  <c:v>84.361699999999999</c:v>
                </c:pt>
                <c:pt idx="77">
                  <c:v>92.317400000000006</c:v>
                </c:pt>
                <c:pt idx="78">
                  <c:v>104.7911</c:v>
                </c:pt>
                <c:pt idx="79">
                  <c:v>110.98869999999999</c:v>
                </c:pt>
                <c:pt idx="80">
                  <c:v>75.060699999999997</c:v>
                </c:pt>
                <c:pt idx="81">
                  <c:v>85.380700000000004</c:v>
                </c:pt>
                <c:pt idx="82">
                  <c:v>86.103499999999997</c:v>
                </c:pt>
                <c:pt idx="83">
                  <c:v>80.983500000000006</c:v>
                </c:pt>
                <c:pt idx="84">
                  <c:v>92.899299999999997</c:v>
                </c:pt>
                <c:pt idx="85">
                  <c:v>90.559799999999996</c:v>
                </c:pt>
                <c:pt idx="86">
                  <c:v>108.9769</c:v>
                </c:pt>
                <c:pt idx="87">
                  <c:v>67.158100000000005</c:v>
                </c:pt>
                <c:pt idx="88">
                  <c:v>105.4552</c:v>
                </c:pt>
                <c:pt idx="89">
                  <c:v>98.430499999999995</c:v>
                </c:pt>
                <c:pt idx="90">
                  <c:v>92.891999999999996</c:v>
                </c:pt>
                <c:pt idx="91">
                  <c:v>106.1228</c:v>
                </c:pt>
                <c:pt idx="92">
                  <c:v>104.34139999999999</c:v>
                </c:pt>
                <c:pt idx="93">
                  <c:v>115.5129</c:v>
                </c:pt>
                <c:pt idx="94">
                  <c:v>61.0364</c:v>
                </c:pt>
                <c:pt idx="95">
                  <c:v>112.56310000000001</c:v>
                </c:pt>
                <c:pt idx="96">
                  <c:v>91.051100000000005</c:v>
                </c:pt>
                <c:pt idx="97">
                  <c:v>60.106999999999999</c:v>
                </c:pt>
                <c:pt idx="98">
                  <c:v>122.6016</c:v>
                </c:pt>
                <c:pt idx="99">
                  <c:v>155.15969999999999</c:v>
                </c:pt>
                <c:pt idx="100">
                  <c:v>148.57149999999999</c:v>
                </c:pt>
                <c:pt idx="101">
                  <c:v>80.556100000000001</c:v>
                </c:pt>
                <c:pt idx="102">
                  <c:v>91.621700000000004</c:v>
                </c:pt>
                <c:pt idx="103">
                  <c:v>130.4486</c:v>
                </c:pt>
                <c:pt idx="104">
                  <c:v>138.39179999999999</c:v>
                </c:pt>
                <c:pt idx="105">
                  <c:v>113.1422</c:v>
                </c:pt>
                <c:pt idx="106">
                  <c:v>110.3995</c:v>
                </c:pt>
                <c:pt idx="107">
                  <c:v>248.40309999999999</c:v>
                </c:pt>
                <c:pt idx="108">
                  <c:v>177.09479999999999</c:v>
                </c:pt>
                <c:pt idx="109">
                  <c:v>121.40389999999999</c:v>
                </c:pt>
                <c:pt idx="110">
                  <c:v>78.292299999999997</c:v>
                </c:pt>
                <c:pt idx="111">
                  <c:v>81.899900000000002</c:v>
                </c:pt>
                <c:pt idx="112">
                  <c:v>109.53440000000001</c:v>
                </c:pt>
                <c:pt idx="113">
                  <c:v>115.6892</c:v>
                </c:pt>
                <c:pt idx="114">
                  <c:v>55.167499999999997</c:v>
                </c:pt>
                <c:pt idx="115">
                  <c:v>108.28449999999999</c:v>
                </c:pt>
                <c:pt idx="116">
                  <c:v>89.170299999999997</c:v>
                </c:pt>
                <c:pt idx="117">
                  <c:v>141.5205</c:v>
                </c:pt>
                <c:pt idx="118">
                  <c:v>129.0634</c:v>
                </c:pt>
                <c:pt idx="119">
                  <c:v>90.457400000000007</c:v>
                </c:pt>
                <c:pt idx="120">
                  <c:v>83.874700000000004</c:v>
                </c:pt>
                <c:pt idx="121">
                  <c:v>75.9649</c:v>
                </c:pt>
                <c:pt idx="122">
                  <c:v>87.274500000000003</c:v>
                </c:pt>
                <c:pt idx="123">
                  <c:v>73.3566</c:v>
                </c:pt>
                <c:pt idx="124">
                  <c:v>77.211100000000002</c:v>
                </c:pt>
                <c:pt idx="125">
                  <c:v>78.838700000000003</c:v>
                </c:pt>
                <c:pt idx="126">
                  <c:v>82.629900000000006</c:v>
                </c:pt>
                <c:pt idx="127">
                  <c:v>145.81460000000001</c:v>
                </c:pt>
                <c:pt idx="128">
                  <c:v>84.771799999999999</c:v>
                </c:pt>
                <c:pt idx="129">
                  <c:v>115.1211</c:v>
                </c:pt>
                <c:pt idx="130">
                  <c:v>64.742000000000004</c:v>
                </c:pt>
                <c:pt idx="131">
                  <c:v>115.8977</c:v>
                </c:pt>
                <c:pt idx="132">
                  <c:v>100.4355</c:v>
                </c:pt>
                <c:pt idx="133">
                  <c:v>157.73509999999999</c:v>
                </c:pt>
                <c:pt idx="134">
                  <c:v>151.6463</c:v>
                </c:pt>
                <c:pt idx="135">
                  <c:v>107.6902</c:v>
                </c:pt>
                <c:pt idx="136">
                  <c:v>84.532399999999996</c:v>
                </c:pt>
                <c:pt idx="137">
                  <c:v>80.794899999999998</c:v>
                </c:pt>
                <c:pt idx="138">
                  <c:v>120.1347</c:v>
                </c:pt>
                <c:pt idx="139">
                  <c:v>108.1587</c:v>
                </c:pt>
                <c:pt idx="140">
                  <c:v>142.07660000000001</c:v>
                </c:pt>
                <c:pt idx="141">
                  <c:v>157.80009999999999</c:v>
                </c:pt>
                <c:pt idx="142">
                  <c:v>60.1907</c:v>
                </c:pt>
                <c:pt idx="143">
                  <c:v>98.515100000000004</c:v>
                </c:pt>
                <c:pt idx="144">
                  <c:v>65.404399999999995</c:v>
                </c:pt>
                <c:pt idx="145">
                  <c:v>111.7242</c:v>
                </c:pt>
                <c:pt idx="146">
                  <c:v>116.3419</c:v>
                </c:pt>
                <c:pt idx="147">
                  <c:v>95.023300000000006</c:v>
                </c:pt>
                <c:pt idx="148">
                  <c:v>75.728300000000004</c:v>
                </c:pt>
                <c:pt idx="149">
                  <c:v>100.43259999999999</c:v>
                </c:pt>
                <c:pt idx="150">
                  <c:v>79.111900000000006</c:v>
                </c:pt>
                <c:pt idx="151">
                  <c:v>73.988500000000002</c:v>
                </c:pt>
                <c:pt idx="152">
                  <c:v>70.158900000000003</c:v>
                </c:pt>
                <c:pt idx="153">
                  <c:v>108.1699</c:v>
                </c:pt>
                <c:pt idx="154">
                  <c:v>103.55240000000001</c:v>
                </c:pt>
                <c:pt idx="155">
                  <c:v>77.168800000000005</c:v>
                </c:pt>
                <c:pt idx="156">
                  <c:v>111.2312</c:v>
                </c:pt>
                <c:pt idx="157">
                  <c:v>132.65459999999999</c:v>
                </c:pt>
                <c:pt idx="158">
                  <c:v>104.49850000000001</c:v>
                </c:pt>
                <c:pt idx="159">
                  <c:v>203.04310000000001</c:v>
                </c:pt>
                <c:pt idx="160">
                  <c:v>114.5885</c:v>
                </c:pt>
                <c:pt idx="161">
                  <c:v>73.527000000000001</c:v>
                </c:pt>
                <c:pt idx="162">
                  <c:v>137.99119999999999</c:v>
                </c:pt>
                <c:pt idx="163">
                  <c:v>89.696399999999997</c:v>
                </c:pt>
                <c:pt idx="164">
                  <c:v>92.159000000000006</c:v>
                </c:pt>
                <c:pt idx="165">
                  <c:v>78.563999999999993</c:v>
                </c:pt>
                <c:pt idx="166">
                  <c:v>127.8389</c:v>
                </c:pt>
                <c:pt idx="167">
                  <c:v>139.07660000000001</c:v>
                </c:pt>
                <c:pt idx="168">
                  <c:v>64.952399999999997</c:v>
                </c:pt>
                <c:pt idx="169">
                  <c:v>122.35339999999999</c:v>
                </c:pt>
                <c:pt idx="170">
                  <c:v>170.214</c:v>
                </c:pt>
                <c:pt idx="171">
                  <c:v>84.122900000000001</c:v>
                </c:pt>
                <c:pt idx="172">
                  <c:v>161.02510000000001</c:v>
                </c:pt>
                <c:pt idx="173">
                  <c:v>104.2503</c:v>
                </c:pt>
                <c:pt idx="174">
                  <c:v>97.303100000000001</c:v>
                </c:pt>
                <c:pt idx="175">
                  <c:v>156.3432</c:v>
                </c:pt>
                <c:pt idx="176">
                  <c:v>99.543800000000005</c:v>
                </c:pt>
                <c:pt idx="177">
                  <c:v>85.568100000000001</c:v>
                </c:pt>
                <c:pt idx="178">
                  <c:v>133.5609</c:v>
                </c:pt>
                <c:pt idx="179">
                  <c:v>127.03870000000001</c:v>
                </c:pt>
                <c:pt idx="180">
                  <c:v>131.11680000000001</c:v>
                </c:pt>
                <c:pt idx="181">
                  <c:v>81.295299999999997</c:v>
                </c:pt>
                <c:pt idx="182">
                  <c:v>193.38740000000001</c:v>
                </c:pt>
                <c:pt idx="183">
                  <c:v>103.3837</c:v>
                </c:pt>
                <c:pt idx="184">
                  <c:v>75.068899999999999</c:v>
                </c:pt>
                <c:pt idx="185">
                  <c:v>52.078200000000002</c:v>
                </c:pt>
                <c:pt idx="186">
                  <c:v>109.434</c:v>
                </c:pt>
                <c:pt idx="187">
                  <c:v>102.6942</c:v>
                </c:pt>
                <c:pt idx="188">
                  <c:v>108.807</c:v>
                </c:pt>
                <c:pt idx="189">
                  <c:v>85.391800000000003</c:v>
                </c:pt>
                <c:pt idx="190">
                  <c:v>111.0856</c:v>
                </c:pt>
                <c:pt idx="191">
                  <c:v>111.17449999999999</c:v>
                </c:pt>
                <c:pt idx="192">
                  <c:v>124.6782</c:v>
                </c:pt>
                <c:pt idx="193">
                  <c:v>78.808000000000007</c:v>
                </c:pt>
                <c:pt idx="194">
                  <c:v>51.475900000000003</c:v>
                </c:pt>
                <c:pt idx="195">
                  <c:v>68.768600000000006</c:v>
                </c:pt>
                <c:pt idx="196">
                  <c:v>139.07550000000001</c:v>
                </c:pt>
                <c:pt idx="197">
                  <c:v>138.56909999999999</c:v>
                </c:pt>
                <c:pt idx="198">
                  <c:v>102.46550000000001</c:v>
                </c:pt>
                <c:pt idx="199">
                  <c:v>108.6131</c:v>
                </c:pt>
                <c:pt idx="200">
                  <c:v>126.34780000000001</c:v>
                </c:pt>
                <c:pt idx="201">
                  <c:v>91.974400000000003</c:v>
                </c:pt>
                <c:pt idx="202">
                  <c:v>194.904</c:v>
                </c:pt>
                <c:pt idx="203">
                  <c:v>71.448700000000002</c:v>
                </c:pt>
                <c:pt idx="204">
                  <c:v>58.972099999999998</c:v>
                </c:pt>
                <c:pt idx="205">
                  <c:v>92.134299999999996</c:v>
                </c:pt>
                <c:pt idx="206">
                  <c:v>137.76140000000001</c:v>
                </c:pt>
                <c:pt idx="207">
                  <c:v>60.580599999999997</c:v>
                </c:pt>
                <c:pt idx="208">
                  <c:v>87.760999999999996</c:v>
                </c:pt>
                <c:pt idx="209">
                  <c:v>96.780299999999997</c:v>
                </c:pt>
                <c:pt idx="210">
                  <c:v>77.459299999999999</c:v>
                </c:pt>
                <c:pt idx="211">
                  <c:v>115.7697</c:v>
                </c:pt>
                <c:pt idx="212">
                  <c:v>74.376800000000003</c:v>
                </c:pt>
                <c:pt idx="213">
                  <c:v>117.73</c:v>
                </c:pt>
                <c:pt idx="214">
                  <c:v>93.859200000000001</c:v>
                </c:pt>
                <c:pt idx="215">
                  <c:v>105.9879</c:v>
                </c:pt>
                <c:pt idx="216">
                  <c:v>109.0604</c:v>
                </c:pt>
                <c:pt idx="217">
                  <c:v>119.4903</c:v>
                </c:pt>
                <c:pt idx="218">
                  <c:v>119.16930000000001</c:v>
                </c:pt>
                <c:pt idx="219">
                  <c:v>82.304699999999997</c:v>
                </c:pt>
                <c:pt idx="220">
                  <c:v>63.418999999999997</c:v>
                </c:pt>
                <c:pt idx="221">
                  <c:v>73.655799999999999</c:v>
                </c:pt>
                <c:pt idx="222">
                  <c:v>94.203699999999998</c:v>
                </c:pt>
                <c:pt idx="223">
                  <c:v>80.3279</c:v>
                </c:pt>
                <c:pt idx="224">
                  <c:v>116.9554</c:v>
                </c:pt>
                <c:pt idx="225">
                  <c:v>83.4191</c:v>
                </c:pt>
                <c:pt idx="226">
                  <c:v>140.15700000000001</c:v>
                </c:pt>
                <c:pt idx="227">
                  <c:v>74.386200000000002</c:v>
                </c:pt>
                <c:pt idx="228">
                  <c:v>105.239</c:v>
                </c:pt>
                <c:pt idx="229">
                  <c:v>131.13480000000001</c:v>
                </c:pt>
                <c:pt idx="230">
                  <c:v>82.123000000000005</c:v>
                </c:pt>
                <c:pt idx="231">
                  <c:v>90.119500000000002</c:v>
                </c:pt>
                <c:pt idx="232">
                  <c:v>106.0334</c:v>
                </c:pt>
                <c:pt idx="233">
                  <c:v>88.245599999999996</c:v>
                </c:pt>
                <c:pt idx="234">
                  <c:v>77.665300000000002</c:v>
                </c:pt>
                <c:pt idx="235">
                  <c:v>142.96019999999999</c:v>
                </c:pt>
                <c:pt idx="236">
                  <c:v>210.91650000000001</c:v>
                </c:pt>
                <c:pt idx="237">
                  <c:v>109.83710000000001</c:v>
                </c:pt>
                <c:pt idx="238">
                  <c:v>121.325</c:v>
                </c:pt>
                <c:pt idx="239">
                  <c:v>90.750200000000007</c:v>
                </c:pt>
                <c:pt idx="240">
                  <c:v>59.087400000000002</c:v>
                </c:pt>
                <c:pt idx="241">
                  <c:v>96.326599999999999</c:v>
                </c:pt>
                <c:pt idx="242">
                  <c:v>102.2491</c:v>
                </c:pt>
                <c:pt idx="243">
                  <c:v>92.872900000000001</c:v>
                </c:pt>
                <c:pt idx="244">
                  <c:v>119.64790000000001</c:v>
                </c:pt>
                <c:pt idx="245">
                  <c:v>100.84229999999999</c:v>
                </c:pt>
                <c:pt idx="246">
                  <c:v>160.94450000000001</c:v>
                </c:pt>
                <c:pt idx="247">
                  <c:v>110.95869999999999</c:v>
                </c:pt>
                <c:pt idx="248">
                  <c:v>89.349599999999995</c:v>
                </c:pt>
                <c:pt idx="249">
                  <c:v>83.181399999999996</c:v>
                </c:pt>
                <c:pt idx="250">
                  <c:v>96.808400000000006</c:v>
                </c:pt>
                <c:pt idx="251">
                  <c:v>89.380899999999997</c:v>
                </c:pt>
                <c:pt idx="252">
                  <c:v>82.295599999999993</c:v>
                </c:pt>
                <c:pt idx="253">
                  <c:v>130.06370000000001</c:v>
                </c:pt>
                <c:pt idx="254">
                  <c:v>84.410799999999995</c:v>
                </c:pt>
                <c:pt idx="255">
                  <c:v>104.3934</c:v>
                </c:pt>
                <c:pt idx="256">
                  <c:v>106.53749999999999</c:v>
                </c:pt>
                <c:pt idx="257">
                  <c:v>134.51159999999999</c:v>
                </c:pt>
                <c:pt idx="258">
                  <c:v>66.101900000000001</c:v>
                </c:pt>
                <c:pt idx="259">
                  <c:v>91.479299999999995</c:v>
                </c:pt>
                <c:pt idx="260">
                  <c:v>103.7089</c:v>
                </c:pt>
                <c:pt idx="261">
                  <c:v>165.02850000000001</c:v>
                </c:pt>
                <c:pt idx="262">
                  <c:v>51.879199999999997</c:v>
                </c:pt>
                <c:pt idx="263">
                  <c:v>121.0759</c:v>
                </c:pt>
                <c:pt idx="264">
                  <c:v>73.4773</c:v>
                </c:pt>
                <c:pt idx="265">
                  <c:v>140.22149999999999</c:v>
                </c:pt>
                <c:pt idx="266">
                  <c:v>97.342100000000002</c:v>
                </c:pt>
                <c:pt idx="267">
                  <c:v>80.761799999999994</c:v>
                </c:pt>
                <c:pt idx="268">
                  <c:v>102.80889999999999</c:v>
                </c:pt>
                <c:pt idx="269">
                  <c:v>149.30940000000001</c:v>
                </c:pt>
                <c:pt idx="270">
                  <c:v>113.3424</c:v>
                </c:pt>
                <c:pt idx="271">
                  <c:v>127.59520000000001</c:v>
                </c:pt>
                <c:pt idx="272">
                  <c:v>99.310400000000001</c:v>
                </c:pt>
                <c:pt idx="273">
                  <c:v>167.93289999999999</c:v>
                </c:pt>
                <c:pt idx="274">
                  <c:v>94.100800000000007</c:v>
                </c:pt>
                <c:pt idx="275">
                  <c:v>64.903400000000005</c:v>
                </c:pt>
                <c:pt idx="276">
                  <c:v>124.581</c:v>
                </c:pt>
                <c:pt idx="277">
                  <c:v>105.98480000000001</c:v>
                </c:pt>
                <c:pt idx="278">
                  <c:v>110.0942</c:v>
                </c:pt>
                <c:pt idx="279">
                  <c:v>87.648300000000006</c:v>
                </c:pt>
                <c:pt idx="280">
                  <c:v>93.835899999999995</c:v>
                </c:pt>
                <c:pt idx="281">
                  <c:v>174.88810000000001</c:v>
                </c:pt>
                <c:pt idx="282">
                  <c:v>165.5574</c:v>
                </c:pt>
                <c:pt idx="283">
                  <c:v>73.192300000000003</c:v>
                </c:pt>
                <c:pt idx="284">
                  <c:v>100.99290000000001</c:v>
                </c:pt>
                <c:pt idx="285">
                  <c:v>113.4699</c:v>
                </c:pt>
                <c:pt idx="286">
                  <c:v>83.251000000000005</c:v>
                </c:pt>
                <c:pt idx="287">
                  <c:v>107.6866</c:v>
                </c:pt>
                <c:pt idx="288">
                  <c:v>126.2577</c:v>
                </c:pt>
                <c:pt idx="289">
                  <c:v>85.665099999999995</c:v>
                </c:pt>
                <c:pt idx="290">
                  <c:v>100.1344</c:v>
                </c:pt>
                <c:pt idx="291">
                  <c:v>80.534400000000005</c:v>
                </c:pt>
                <c:pt idx="292">
                  <c:v>97.045400000000001</c:v>
                </c:pt>
                <c:pt idx="293">
                  <c:v>142.30600000000001</c:v>
                </c:pt>
                <c:pt idx="294">
                  <c:v>77.087400000000002</c:v>
                </c:pt>
                <c:pt idx="295">
                  <c:v>107.35639999999999</c:v>
                </c:pt>
                <c:pt idx="296">
                  <c:v>117.5402</c:v>
                </c:pt>
                <c:pt idx="297">
                  <c:v>98.608900000000006</c:v>
                </c:pt>
                <c:pt idx="298">
                  <c:v>82.524799999999999</c:v>
                </c:pt>
                <c:pt idx="299">
                  <c:v>131.53809999999999</c:v>
                </c:pt>
                <c:pt idx="300">
                  <c:v>141.34639999999999</c:v>
                </c:pt>
                <c:pt idx="301">
                  <c:v>158.12</c:v>
                </c:pt>
                <c:pt idx="302">
                  <c:v>159.6311</c:v>
                </c:pt>
                <c:pt idx="303">
                  <c:v>167.34620000000001</c:v>
                </c:pt>
                <c:pt idx="304">
                  <c:v>141.0642</c:v>
                </c:pt>
                <c:pt idx="305">
                  <c:v>117.2183</c:v>
                </c:pt>
                <c:pt idx="306">
                  <c:v>94.975700000000003</c:v>
                </c:pt>
                <c:pt idx="307">
                  <c:v>104.7028</c:v>
                </c:pt>
                <c:pt idx="308">
                  <c:v>123.5997</c:v>
                </c:pt>
                <c:pt idx="309">
                  <c:v>126.6251</c:v>
                </c:pt>
                <c:pt idx="310">
                  <c:v>89.536900000000003</c:v>
                </c:pt>
                <c:pt idx="311">
                  <c:v>67.293199999999999</c:v>
                </c:pt>
                <c:pt idx="312">
                  <c:v>111.4365</c:v>
                </c:pt>
                <c:pt idx="313">
                  <c:v>85.771299999999997</c:v>
                </c:pt>
                <c:pt idx="314">
                  <c:v>85.4696</c:v>
                </c:pt>
                <c:pt idx="315">
                  <c:v>143.71010000000001</c:v>
                </c:pt>
                <c:pt idx="316">
                  <c:v>105.9474</c:v>
                </c:pt>
                <c:pt idx="317">
                  <c:v>59.717799999999997</c:v>
                </c:pt>
                <c:pt idx="318">
                  <c:v>145.23220000000001</c:v>
                </c:pt>
                <c:pt idx="319">
                  <c:v>104.0117</c:v>
                </c:pt>
                <c:pt idx="320">
                  <c:v>119.44629999999999</c:v>
                </c:pt>
                <c:pt idx="321">
                  <c:v>121.545</c:v>
                </c:pt>
                <c:pt idx="322">
                  <c:v>107.5829</c:v>
                </c:pt>
                <c:pt idx="323">
                  <c:v>84.578999999999994</c:v>
                </c:pt>
                <c:pt idx="324">
                  <c:v>105.7754</c:v>
                </c:pt>
                <c:pt idx="325">
                  <c:v>67.771500000000003</c:v>
                </c:pt>
                <c:pt idx="326">
                  <c:v>92.323400000000007</c:v>
                </c:pt>
                <c:pt idx="327">
                  <c:v>91.281700000000001</c:v>
                </c:pt>
                <c:pt idx="328">
                  <c:v>92.558899999999994</c:v>
                </c:pt>
                <c:pt idx="329">
                  <c:v>106.3486</c:v>
                </c:pt>
                <c:pt idx="330">
                  <c:v>163.28870000000001</c:v>
                </c:pt>
                <c:pt idx="331">
                  <c:v>67.290199999999999</c:v>
                </c:pt>
                <c:pt idx="332">
                  <c:v>121.32510000000001</c:v>
                </c:pt>
                <c:pt idx="333">
                  <c:v>92.2149</c:v>
                </c:pt>
                <c:pt idx="334">
                  <c:v>107.5896</c:v>
                </c:pt>
                <c:pt idx="335">
                  <c:v>72.857900000000001</c:v>
                </c:pt>
                <c:pt idx="336">
                  <c:v>69.496200000000002</c:v>
                </c:pt>
                <c:pt idx="337">
                  <c:v>100.6985</c:v>
                </c:pt>
                <c:pt idx="338">
                  <c:v>104.4943</c:v>
                </c:pt>
                <c:pt idx="339">
                  <c:v>179.9957</c:v>
                </c:pt>
                <c:pt idx="340">
                  <c:v>122.8245</c:v>
                </c:pt>
                <c:pt idx="341">
                  <c:v>154.22579999999999</c:v>
                </c:pt>
                <c:pt idx="342">
                  <c:v>77.460999999999999</c:v>
                </c:pt>
                <c:pt idx="343">
                  <c:v>79.753799999999998</c:v>
                </c:pt>
                <c:pt idx="344">
                  <c:v>138.43049999999999</c:v>
                </c:pt>
                <c:pt idx="345">
                  <c:v>74.874099999999999</c:v>
                </c:pt>
                <c:pt idx="346">
                  <c:v>98.537899999999993</c:v>
                </c:pt>
                <c:pt idx="347">
                  <c:v>128.79259999999999</c:v>
                </c:pt>
                <c:pt idx="348">
                  <c:v>92.190600000000003</c:v>
                </c:pt>
                <c:pt idx="349">
                  <c:v>108.87520000000001</c:v>
                </c:pt>
                <c:pt idx="350">
                  <c:v>74.971400000000003</c:v>
                </c:pt>
                <c:pt idx="351">
                  <c:v>104.1129</c:v>
                </c:pt>
                <c:pt idx="352">
                  <c:v>84.8005</c:v>
                </c:pt>
                <c:pt idx="353">
                  <c:v>124.569</c:v>
                </c:pt>
                <c:pt idx="354">
                  <c:v>68.194299999999998</c:v>
                </c:pt>
                <c:pt idx="355">
                  <c:v>110.5326</c:v>
                </c:pt>
                <c:pt idx="356">
                  <c:v>142.23779999999999</c:v>
                </c:pt>
                <c:pt idx="357">
                  <c:v>89.740300000000005</c:v>
                </c:pt>
                <c:pt idx="358">
                  <c:v>66.211500000000001</c:v>
                </c:pt>
                <c:pt idx="359">
                  <c:v>122.4134</c:v>
                </c:pt>
                <c:pt idx="360">
                  <c:v>101.6228</c:v>
                </c:pt>
                <c:pt idx="361">
                  <c:v>125.8176</c:v>
                </c:pt>
                <c:pt idx="362">
                  <c:v>69.909499999999994</c:v>
                </c:pt>
                <c:pt idx="363">
                  <c:v>154.9941</c:v>
                </c:pt>
                <c:pt idx="364">
                  <c:v>111.6041</c:v>
                </c:pt>
                <c:pt idx="365">
                  <c:v>118.339</c:v>
                </c:pt>
                <c:pt idx="366">
                  <c:v>89.710300000000004</c:v>
                </c:pt>
                <c:pt idx="367">
                  <c:v>108.0399</c:v>
                </c:pt>
                <c:pt idx="368">
                  <c:v>69.666399999999996</c:v>
                </c:pt>
                <c:pt idx="369">
                  <c:v>87.653700000000001</c:v>
                </c:pt>
                <c:pt idx="370">
                  <c:v>181.17769999999999</c:v>
                </c:pt>
                <c:pt idx="371">
                  <c:v>56.478700000000003</c:v>
                </c:pt>
                <c:pt idx="372">
                  <c:v>103.29600000000001</c:v>
                </c:pt>
                <c:pt idx="373">
                  <c:v>62.179499999999997</c:v>
                </c:pt>
                <c:pt idx="374">
                  <c:v>99.078000000000003</c:v>
                </c:pt>
                <c:pt idx="375">
                  <c:v>66.717500000000001</c:v>
                </c:pt>
                <c:pt idx="376">
                  <c:v>123.2957</c:v>
                </c:pt>
                <c:pt idx="377">
                  <c:v>106.3853</c:v>
                </c:pt>
                <c:pt idx="378">
                  <c:v>103.6602</c:v>
                </c:pt>
                <c:pt idx="379">
                  <c:v>102.76600000000001</c:v>
                </c:pt>
                <c:pt idx="380">
                  <c:v>71.724299999999999</c:v>
                </c:pt>
                <c:pt idx="381">
                  <c:v>88.866</c:v>
                </c:pt>
                <c:pt idx="382">
                  <c:v>80.610900000000001</c:v>
                </c:pt>
                <c:pt idx="383">
                  <c:v>123.7116</c:v>
                </c:pt>
                <c:pt idx="384">
                  <c:v>107.98950000000001</c:v>
                </c:pt>
                <c:pt idx="385">
                  <c:v>108.4849</c:v>
                </c:pt>
                <c:pt idx="386">
                  <c:v>96.173000000000002</c:v>
                </c:pt>
                <c:pt idx="387">
                  <c:v>110.0467</c:v>
                </c:pt>
                <c:pt idx="388">
                  <c:v>81.110399999999998</c:v>
                </c:pt>
                <c:pt idx="389">
                  <c:v>94.171199999999999</c:v>
                </c:pt>
                <c:pt idx="390">
                  <c:v>126.4487</c:v>
                </c:pt>
                <c:pt idx="391">
                  <c:v>126.9567</c:v>
                </c:pt>
                <c:pt idx="392">
                  <c:v>128.12860000000001</c:v>
                </c:pt>
                <c:pt idx="393">
                  <c:v>127.4521</c:v>
                </c:pt>
                <c:pt idx="394">
                  <c:v>114.68680000000001</c:v>
                </c:pt>
                <c:pt idx="395">
                  <c:v>145.81630000000001</c:v>
                </c:pt>
                <c:pt idx="396">
                  <c:v>146.96180000000001</c:v>
                </c:pt>
                <c:pt idx="397">
                  <c:v>90.582499999999996</c:v>
                </c:pt>
                <c:pt idx="398">
                  <c:v>86.333100000000002</c:v>
                </c:pt>
                <c:pt idx="399">
                  <c:v>83.865700000000004</c:v>
                </c:pt>
                <c:pt idx="400">
                  <c:v>175.76220000000001</c:v>
                </c:pt>
                <c:pt idx="401">
                  <c:v>100.7818</c:v>
                </c:pt>
                <c:pt idx="402">
                  <c:v>67.727000000000004</c:v>
                </c:pt>
                <c:pt idx="403">
                  <c:v>77.984700000000004</c:v>
                </c:pt>
                <c:pt idx="404">
                  <c:v>142.66139999999999</c:v>
                </c:pt>
                <c:pt idx="405">
                  <c:v>117.4515</c:v>
                </c:pt>
                <c:pt idx="406">
                  <c:v>104.6035</c:v>
                </c:pt>
                <c:pt idx="407">
                  <c:v>112.7997</c:v>
                </c:pt>
                <c:pt idx="408">
                  <c:v>59.991100000000003</c:v>
                </c:pt>
                <c:pt idx="409">
                  <c:v>93.960700000000003</c:v>
                </c:pt>
                <c:pt idx="410">
                  <c:v>111.65130000000001</c:v>
                </c:pt>
                <c:pt idx="411">
                  <c:v>115.5484</c:v>
                </c:pt>
                <c:pt idx="412">
                  <c:v>64.505899999999997</c:v>
                </c:pt>
                <c:pt idx="413">
                  <c:v>78.864099999999993</c:v>
                </c:pt>
                <c:pt idx="414">
                  <c:v>80.3142</c:v>
                </c:pt>
                <c:pt idx="415">
                  <c:v>97.111599999999996</c:v>
                </c:pt>
                <c:pt idx="416">
                  <c:v>93.964100000000002</c:v>
                </c:pt>
                <c:pt idx="417">
                  <c:v>122.0886</c:v>
                </c:pt>
                <c:pt idx="418">
                  <c:v>137.31890000000001</c:v>
                </c:pt>
                <c:pt idx="419">
                  <c:v>60.229900000000001</c:v>
                </c:pt>
                <c:pt idx="420">
                  <c:v>82.587999999999994</c:v>
                </c:pt>
                <c:pt idx="421">
                  <c:v>96.416499999999999</c:v>
                </c:pt>
                <c:pt idx="422">
                  <c:v>114.65779999999999</c:v>
                </c:pt>
                <c:pt idx="423">
                  <c:v>78.027299999999997</c:v>
                </c:pt>
                <c:pt idx="424">
                  <c:v>113.52809999999999</c:v>
                </c:pt>
                <c:pt idx="425">
                  <c:v>141.12860000000001</c:v>
                </c:pt>
                <c:pt idx="426">
                  <c:v>121.8762</c:v>
                </c:pt>
                <c:pt idx="427">
                  <c:v>105.22320000000001</c:v>
                </c:pt>
                <c:pt idx="428">
                  <c:v>105.3784</c:v>
                </c:pt>
                <c:pt idx="429">
                  <c:v>122.9956</c:v>
                </c:pt>
                <c:pt idx="430">
                  <c:v>100.6324</c:v>
                </c:pt>
                <c:pt idx="431">
                  <c:v>86.001099999999994</c:v>
                </c:pt>
                <c:pt idx="432">
                  <c:v>103.67700000000001</c:v>
                </c:pt>
                <c:pt idx="433">
                  <c:v>84.448999999999998</c:v>
                </c:pt>
                <c:pt idx="434">
                  <c:v>74.795100000000005</c:v>
                </c:pt>
                <c:pt idx="435">
                  <c:v>146.8477</c:v>
                </c:pt>
                <c:pt idx="436">
                  <c:v>94.899600000000007</c:v>
                </c:pt>
                <c:pt idx="437">
                  <c:v>112.116</c:v>
                </c:pt>
                <c:pt idx="438">
                  <c:v>71.853700000000003</c:v>
                </c:pt>
                <c:pt idx="439">
                  <c:v>74.479299999999995</c:v>
                </c:pt>
                <c:pt idx="440">
                  <c:v>126.0052</c:v>
                </c:pt>
                <c:pt idx="441">
                  <c:v>55.4236</c:v>
                </c:pt>
                <c:pt idx="442">
                  <c:v>168.7407</c:v>
                </c:pt>
                <c:pt idx="443">
                  <c:v>108.6088</c:v>
                </c:pt>
                <c:pt idx="444">
                  <c:v>81.807299999999998</c:v>
                </c:pt>
                <c:pt idx="445">
                  <c:v>93.590599999999995</c:v>
                </c:pt>
                <c:pt idx="446">
                  <c:v>130.15889999999999</c:v>
                </c:pt>
                <c:pt idx="447">
                  <c:v>163.52780000000001</c:v>
                </c:pt>
                <c:pt idx="448">
                  <c:v>109.26609999999999</c:v>
                </c:pt>
                <c:pt idx="449">
                  <c:v>114.8279</c:v>
                </c:pt>
                <c:pt idx="450">
                  <c:v>96.806899999999999</c:v>
                </c:pt>
                <c:pt idx="451">
                  <c:v>82.529899999999998</c:v>
                </c:pt>
                <c:pt idx="452">
                  <c:v>81.147900000000007</c:v>
                </c:pt>
                <c:pt idx="453">
                  <c:v>142.3201</c:v>
                </c:pt>
                <c:pt idx="454">
                  <c:v>70.882999999999996</c:v>
                </c:pt>
                <c:pt idx="455">
                  <c:v>105.9307</c:v>
                </c:pt>
                <c:pt idx="456">
                  <c:v>67.551900000000003</c:v>
                </c:pt>
                <c:pt idx="457">
                  <c:v>92.550700000000006</c:v>
                </c:pt>
                <c:pt idx="458">
                  <c:v>73.659199999999998</c:v>
                </c:pt>
                <c:pt idx="459">
                  <c:v>139.85910000000001</c:v>
                </c:pt>
                <c:pt idx="460">
                  <c:v>61.722099999999998</c:v>
                </c:pt>
                <c:pt idx="461">
                  <c:v>51.741700000000002</c:v>
                </c:pt>
                <c:pt idx="462">
                  <c:v>96.836799999999997</c:v>
                </c:pt>
                <c:pt idx="463">
                  <c:v>103.9436</c:v>
                </c:pt>
                <c:pt idx="464">
                  <c:v>86.691699999999997</c:v>
                </c:pt>
                <c:pt idx="465">
                  <c:v>145.53749999999999</c:v>
                </c:pt>
                <c:pt idx="466">
                  <c:v>125.7054</c:v>
                </c:pt>
                <c:pt idx="467">
                  <c:v>124.5329</c:v>
                </c:pt>
                <c:pt idx="468">
                  <c:v>90.915300000000002</c:v>
                </c:pt>
                <c:pt idx="469">
                  <c:v>114.5591</c:v>
                </c:pt>
                <c:pt idx="470">
                  <c:v>134.11199999999999</c:v>
                </c:pt>
                <c:pt idx="471">
                  <c:v>145.78450000000001</c:v>
                </c:pt>
                <c:pt idx="472">
                  <c:v>114.1605</c:v>
                </c:pt>
                <c:pt idx="473">
                  <c:v>76.790999999999997</c:v>
                </c:pt>
                <c:pt idx="474">
                  <c:v>102.63460000000001</c:v>
                </c:pt>
                <c:pt idx="475">
                  <c:v>71.357600000000005</c:v>
                </c:pt>
                <c:pt idx="476">
                  <c:v>145.12139999999999</c:v>
                </c:pt>
                <c:pt idx="477">
                  <c:v>143.12430000000001</c:v>
                </c:pt>
                <c:pt idx="478">
                  <c:v>89.185900000000004</c:v>
                </c:pt>
                <c:pt idx="479">
                  <c:v>93.056799999999996</c:v>
                </c:pt>
                <c:pt idx="480">
                  <c:v>155.58539999999999</c:v>
                </c:pt>
                <c:pt idx="481">
                  <c:v>124.6956</c:v>
                </c:pt>
                <c:pt idx="482">
                  <c:v>76.912300000000002</c:v>
                </c:pt>
                <c:pt idx="483">
                  <c:v>119.8891</c:v>
                </c:pt>
                <c:pt idx="484">
                  <c:v>88.032399999999996</c:v>
                </c:pt>
                <c:pt idx="485">
                  <c:v>135.55000000000001</c:v>
                </c:pt>
                <c:pt idx="486">
                  <c:v>127.6537</c:v>
                </c:pt>
                <c:pt idx="487">
                  <c:v>125.1675</c:v>
                </c:pt>
                <c:pt idx="488">
                  <c:v>103.2765</c:v>
                </c:pt>
                <c:pt idx="489">
                  <c:v>84.834699999999998</c:v>
                </c:pt>
                <c:pt idx="490">
                  <c:v>141.52449999999999</c:v>
                </c:pt>
                <c:pt idx="491">
                  <c:v>108.5942</c:v>
                </c:pt>
                <c:pt idx="492">
                  <c:v>76.477500000000006</c:v>
                </c:pt>
                <c:pt idx="493">
                  <c:v>152.64609999999999</c:v>
                </c:pt>
                <c:pt idx="494">
                  <c:v>63.7791</c:v>
                </c:pt>
                <c:pt idx="495">
                  <c:v>64.318100000000001</c:v>
                </c:pt>
                <c:pt idx="496">
                  <c:v>79.949600000000004</c:v>
                </c:pt>
                <c:pt idx="497">
                  <c:v>94.557500000000005</c:v>
                </c:pt>
                <c:pt idx="498">
                  <c:v>118.6845</c:v>
                </c:pt>
                <c:pt idx="499">
                  <c:v>99.478099999999998</c:v>
                </c:pt>
                <c:pt idx="500">
                  <c:v>85.048599999999993</c:v>
                </c:pt>
                <c:pt idx="501">
                  <c:v>120.6695</c:v>
                </c:pt>
                <c:pt idx="502">
                  <c:v>86.238500000000002</c:v>
                </c:pt>
                <c:pt idx="503">
                  <c:v>83.249899999999997</c:v>
                </c:pt>
                <c:pt idx="504">
                  <c:v>89.078599999999994</c:v>
                </c:pt>
                <c:pt idx="505">
                  <c:v>155.28739999999999</c:v>
                </c:pt>
                <c:pt idx="506">
                  <c:v>99.544700000000006</c:v>
                </c:pt>
                <c:pt idx="507">
                  <c:v>86.289199999999994</c:v>
                </c:pt>
                <c:pt idx="508">
                  <c:v>76.781300000000002</c:v>
                </c:pt>
                <c:pt idx="509">
                  <c:v>135.33359999999999</c:v>
                </c:pt>
                <c:pt idx="510">
                  <c:v>80.550799999999995</c:v>
                </c:pt>
                <c:pt idx="511">
                  <c:v>134.74760000000001</c:v>
                </c:pt>
                <c:pt idx="512">
                  <c:v>90.365899999999996</c:v>
                </c:pt>
                <c:pt idx="513">
                  <c:v>80.272400000000005</c:v>
                </c:pt>
                <c:pt idx="514">
                  <c:v>59.859299999999998</c:v>
                </c:pt>
                <c:pt idx="515">
                  <c:v>104.4059</c:v>
                </c:pt>
                <c:pt idx="516">
                  <c:v>111.0012</c:v>
                </c:pt>
                <c:pt idx="517">
                  <c:v>97.4148</c:v>
                </c:pt>
                <c:pt idx="518">
                  <c:v>128.90539999999999</c:v>
                </c:pt>
                <c:pt idx="519">
                  <c:v>61.532499999999999</c:v>
                </c:pt>
                <c:pt idx="520">
                  <c:v>107.5822</c:v>
                </c:pt>
                <c:pt idx="521">
                  <c:v>111.6084</c:v>
                </c:pt>
                <c:pt idx="522">
                  <c:v>100.7732</c:v>
                </c:pt>
                <c:pt idx="523">
                  <c:v>92.325900000000004</c:v>
                </c:pt>
                <c:pt idx="524">
                  <c:v>59.908799999999999</c:v>
                </c:pt>
                <c:pt idx="525">
                  <c:v>129.91990000000001</c:v>
                </c:pt>
                <c:pt idx="526">
                  <c:v>77.485699999999994</c:v>
                </c:pt>
                <c:pt idx="527">
                  <c:v>84.322199999999995</c:v>
                </c:pt>
                <c:pt idx="528">
                  <c:v>106.92319999999999</c:v>
                </c:pt>
                <c:pt idx="529">
                  <c:v>101.50320000000001</c:v>
                </c:pt>
                <c:pt idx="530">
                  <c:v>66.804100000000005</c:v>
                </c:pt>
                <c:pt idx="531">
                  <c:v>55.606999999999999</c:v>
                </c:pt>
                <c:pt idx="532">
                  <c:v>91.195300000000003</c:v>
                </c:pt>
                <c:pt idx="533">
                  <c:v>144.26419999999999</c:v>
                </c:pt>
                <c:pt idx="534">
                  <c:v>95.461299999999994</c:v>
                </c:pt>
                <c:pt idx="535">
                  <c:v>132.0026</c:v>
                </c:pt>
                <c:pt idx="536">
                  <c:v>153.48570000000001</c:v>
                </c:pt>
                <c:pt idx="537">
                  <c:v>115.9864</c:v>
                </c:pt>
                <c:pt idx="538">
                  <c:v>156.416</c:v>
                </c:pt>
                <c:pt idx="539">
                  <c:v>89.092500000000001</c:v>
                </c:pt>
                <c:pt idx="540">
                  <c:v>117.61660000000001</c:v>
                </c:pt>
                <c:pt idx="541">
                  <c:v>163.0342</c:v>
                </c:pt>
                <c:pt idx="542">
                  <c:v>115.89790000000001</c:v>
                </c:pt>
                <c:pt idx="543">
                  <c:v>83.5869</c:v>
                </c:pt>
                <c:pt idx="544">
                  <c:v>89.664199999999994</c:v>
                </c:pt>
                <c:pt idx="545">
                  <c:v>112.0612</c:v>
                </c:pt>
                <c:pt idx="546">
                  <c:v>63.475000000000001</c:v>
                </c:pt>
                <c:pt idx="547">
                  <c:v>127.524</c:v>
                </c:pt>
                <c:pt idx="548">
                  <c:v>75.292100000000005</c:v>
                </c:pt>
                <c:pt idx="549">
                  <c:v>105.64749999999999</c:v>
                </c:pt>
                <c:pt idx="550">
                  <c:v>83.419799999999995</c:v>
                </c:pt>
                <c:pt idx="551">
                  <c:v>112.512</c:v>
                </c:pt>
                <c:pt idx="552">
                  <c:v>92.089600000000004</c:v>
                </c:pt>
                <c:pt idx="553">
                  <c:v>141.6849</c:v>
                </c:pt>
                <c:pt idx="554">
                  <c:v>74.605800000000002</c:v>
                </c:pt>
                <c:pt idx="555">
                  <c:v>133.40969999999999</c:v>
                </c:pt>
                <c:pt idx="556">
                  <c:v>123.0916</c:v>
                </c:pt>
                <c:pt idx="557">
                  <c:v>67.572199999999995</c:v>
                </c:pt>
                <c:pt idx="558">
                  <c:v>99.440600000000003</c:v>
                </c:pt>
                <c:pt idx="559">
                  <c:v>182.5668</c:v>
                </c:pt>
                <c:pt idx="560">
                  <c:v>102.3644</c:v>
                </c:pt>
                <c:pt idx="561">
                  <c:v>116.0908</c:v>
                </c:pt>
                <c:pt idx="562">
                  <c:v>64.205100000000002</c:v>
                </c:pt>
                <c:pt idx="563">
                  <c:v>82.159199999999998</c:v>
                </c:pt>
                <c:pt idx="564">
                  <c:v>95.7136</c:v>
                </c:pt>
                <c:pt idx="565">
                  <c:v>138.73419999999999</c:v>
                </c:pt>
                <c:pt idx="566">
                  <c:v>82.811599999999999</c:v>
                </c:pt>
                <c:pt idx="567">
                  <c:v>94.025999999999996</c:v>
                </c:pt>
                <c:pt idx="568">
                  <c:v>96.676900000000003</c:v>
                </c:pt>
                <c:pt idx="569">
                  <c:v>93.6387</c:v>
                </c:pt>
                <c:pt idx="570">
                  <c:v>94.846699999999998</c:v>
                </c:pt>
                <c:pt idx="571">
                  <c:v>110.4579</c:v>
                </c:pt>
                <c:pt idx="572">
                  <c:v>160.30510000000001</c:v>
                </c:pt>
                <c:pt idx="573">
                  <c:v>105.9978</c:v>
                </c:pt>
                <c:pt idx="574">
                  <c:v>93.557299999999998</c:v>
                </c:pt>
                <c:pt idx="575">
                  <c:v>111.12990000000001</c:v>
                </c:pt>
                <c:pt idx="576">
                  <c:v>75.058499999999995</c:v>
                </c:pt>
                <c:pt idx="577">
                  <c:v>81.566800000000001</c:v>
                </c:pt>
                <c:pt idx="578">
                  <c:v>91.1066</c:v>
                </c:pt>
                <c:pt idx="579">
                  <c:v>78.621300000000005</c:v>
                </c:pt>
                <c:pt idx="580">
                  <c:v>152.58009999999999</c:v>
                </c:pt>
                <c:pt idx="581">
                  <c:v>66.629599999999996</c:v>
                </c:pt>
                <c:pt idx="582">
                  <c:v>93.524199999999993</c:v>
                </c:pt>
                <c:pt idx="583">
                  <c:v>77.205200000000005</c:v>
                </c:pt>
                <c:pt idx="584">
                  <c:v>151.9325</c:v>
                </c:pt>
                <c:pt idx="585">
                  <c:v>172.49979999999999</c:v>
                </c:pt>
                <c:pt idx="586">
                  <c:v>99.817300000000003</c:v>
                </c:pt>
                <c:pt idx="587">
                  <c:v>118.6782</c:v>
                </c:pt>
                <c:pt idx="588">
                  <c:v>135.96129999999999</c:v>
                </c:pt>
                <c:pt idx="589">
                  <c:v>79.215699999999998</c:v>
                </c:pt>
                <c:pt idx="590">
                  <c:v>80.497699999999995</c:v>
                </c:pt>
                <c:pt idx="591">
                  <c:v>126.89919999999999</c:v>
                </c:pt>
                <c:pt idx="592">
                  <c:v>75.461699999999993</c:v>
                </c:pt>
                <c:pt idx="593">
                  <c:v>101.0021</c:v>
                </c:pt>
                <c:pt idx="594">
                  <c:v>97.237399999999994</c:v>
                </c:pt>
                <c:pt idx="595">
                  <c:v>110.0742</c:v>
                </c:pt>
                <c:pt idx="596">
                  <c:v>62.4101</c:v>
                </c:pt>
                <c:pt idx="597">
                  <c:v>108.4053</c:v>
                </c:pt>
                <c:pt idx="598">
                  <c:v>94.747</c:v>
                </c:pt>
                <c:pt idx="599">
                  <c:v>78.766400000000004</c:v>
                </c:pt>
                <c:pt idx="600">
                  <c:v>120.4406</c:v>
                </c:pt>
                <c:pt idx="601">
                  <c:v>120.196</c:v>
                </c:pt>
                <c:pt idx="602">
                  <c:v>78.373900000000006</c:v>
                </c:pt>
                <c:pt idx="603">
                  <c:v>208.66810000000001</c:v>
                </c:pt>
                <c:pt idx="604">
                  <c:v>130.33019999999999</c:v>
                </c:pt>
                <c:pt idx="605">
                  <c:v>78.375299999999996</c:v>
                </c:pt>
                <c:pt idx="606">
                  <c:v>154.83539999999999</c:v>
                </c:pt>
                <c:pt idx="607">
                  <c:v>145.64879999999999</c:v>
                </c:pt>
                <c:pt idx="608">
                  <c:v>80.001300000000001</c:v>
                </c:pt>
                <c:pt idx="609">
                  <c:v>145.93209999999999</c:v>
                </c:pt>
                <c:pt idx="610">
                  <c:v>163.3321</c:v>
                </c:pt>
                <c:pt idx="611">
                  <c:v>75.388900000000007</c:v>
                </c:pt>
                <c:pt idx="612">
                  <c:v>100.86660000000001</c:v>
                </c:pt>
                <c:pt idx="613">
                  <c:v>125.8321</c:v>
                </c:pt>
                <c:pt idx="614">
                  <c:v>75.745500000000007</c:v>
                </c:pt>
                <c:pt idx="615">
                  <c:v>68.122900000000001</c:v>
                </c:pt>
                <c:pt idx="616">
                  <c:v>79.443600000000004</c:v>
                </c:pt>
                <c:pt idx="617">
                  <c:v>79.459299999999999</c:v>
                </c:pt>
                <c:pt idx="618">
                  <c:v>53.857199999999999</c:v>
                </c:pt>
                <c:pt idx="619">
                  <c:v>97.756799999999998</c:v>
                </c:pt>
                <c:pt idx="620">
                  <c:v>130.60470000000001</c:v>
                </c:pt>
                <c:pt idx="621">
                  <c:v>113.721</c:v>
                </c:pt>
                <c:pt idx="622">
                  <c:v>77.802400000000006</c:v>
                </c:pt>
                <c:pt idx="623">
                  <c:v>83.223799999999997</c:v>
                </c:pt>
                <c:pt idx="624">
                  <c:v>104.0106</c:v>
                </c:pt>
                <c:pt idx="625">
                  <c:v>68.279200000000003</c:v>
                </c:pt>
                <c:pt idx="626">
                  <c:v>99.109700000000004</c:v>
                </c:pt>
                <c:pt idx="627">
                  <c:v>65.479600000000005</c:v>
                </c:pt>
                <c:pt idx="628">
                  <c:v>125.7106</c:v>
                </c:pt>
                <c:pt idx="629">
                  <c:v>87.940399999999997</c:v>
                </c:pt>
                <c:pt idx="630">
                  <c:v>64.918199999999999</c:v>
                </c:pt>
                <c:pt idx="631">
                  <c:v>128.19300000000001</c:v>
                </c:pt>
                <c:pt idx="632">
                  <c:v>55.036000000000001</c:v>
                </c:pt>
                <c:pt idx="633">
                  <c:v>62.975900000000003</c:v>
                </c:pt>
                <c:pt idx="634">
                  <c:v>140.1249</c:v>
                </c:pt>
                <c:pt idx="635">
                  <c:v>164.35929999999999</c:v>
                </c:pt>
                <c:pt idx="636">
                  <c:v>93.7483</c:v>
                </c:pt>
                <c:pt idx="637">
                  <c:v>96.143199999999993</c:v>
                </c:pt>
                <c:pt idx="638">
                  <c:v>83.608199999999997</c:v>
                </c:pt>
                <c:pt idx="639">
                  <c:v>114.99550000000001</c:v>
                </c:pt>
                <c:pt idx="640">
                  <c:v>107.7805</c:v>
                </c:pt>
                <c:pt idx="641">
                  <c:v>110.5377</c:v>
                </c:pt>
                <c:pt idx="642">
                  <c:v>70.711399999999998</c:v>
                </c:pt>
                <c:pt idx="643">
                  <c:v>65.549599999999998</c:v>
                </c:pt>
                <c:pt idx="644">
                  <c:v>154.744</c:v>
                </c:pt>
                <c:pt idx="645">
                  <c:v>107.4477</c:v>
                </c:pt>
                <c:pt idx="646">
                  <c:v>102.3276</c:v>
                </c:pt>
                <c:pt idx="647">
                  <c:v>68.287800000000004</c:v>
                </c:pt>
                <c:pt idx="648">
                  <c:v>128.94720000000001</c:v>
                </c:pt>
                <c:pt idx="649">
                  <c:v>95.550700000000006</c:v>
                </c:pt>
                <c:pt idx="650">
                  <c:v>117.1477</c:v>
                </c:pt>
                <c:pt idx="651">
                  <c:v>115.8878</c:v>
                </c:pt>
                <c:pt idx="652">
                  <c:v>95.725099999999998</c:v>
                </c:pt>
                <c:pt idx="653">
                  <c:v>86.264399999999995</c:v>
                </c:pt>
                <c:pt idx="654">
                  <c:v>112.2227</c:v>
                </c:pt>
                <c:pt idx="655">
                  <c:v>79.864199999999997</c:v>
                </c:pt>
                <c:pt idx="656">
                  <c:v>74.034700000000001</c:v>
                </c:pt>
                <c:pt idx="657">
                  <c:v>69.289900000000003</c:v>
                </c:pt>
                <c:pt idx="658">
                  <c:v>122.4308</c:v>
                </c:pt>
                <c:pt idx="659">
                  <c:v>103.4905</c:v>
                </c:pt>
                <c:pt idx="660">
                  <c:v>113.3169</c:v>
                </c:pt>
                <c:pt idx="661">
                  <c:v>74.267799999999994</c:v>
                </c:pt>
                <c:pt idx="662">
                  <c:v>68.001099999999994</c:v>
                </c:pt>
                <c:pt idx="663">
                  <c:v>81.977500000000006</c:v>
                </c:pt>
                <c:pt idx="664">
                  <c:v>108.7478</c:v>
                </c:pt>
                <c:pt idx="665">
                  <c:v>130.0008</c:v>
                </c:pt>
                <c:pt idx="666">
                  <c:v>114.2122</c:v>
                </c:pt>
                <c:pt idx="667">
                  <c:v>80.045000000000002</c:v>
                </c:pt>
                <c:pt idx="668">
                  <c:v>54.670900000000003</c:v>
                </c:pt>
                <c:pt idx="669">
                  <c:v>174.53100000000001</c:v>
                </c:pt>
                <c:pt idx="670">
                  <c:v>114.62139999999999</c:v>
                </c:pt>
                <c:pt idx="671">
                  <c:v>93.930199999999999</c:v>
                </c:pt>
                <c:pt idx="672">
                  <c:v>133.35480000000001</c:v>
                </c:pt>
                <c:pt idx="673">
                  <c:v>123.4238</c:v>
                </c:pt>
                <c:pt idx="674">
                  <c:v>133.50110000000001</c:v>
                </c:pt>
                <c:pt idx="675">
                  <c:v>69.295900000000003</c:v>
                </c:pt>
                <c:pt idx="676">
                  <c:v>70.432500000000005</c:v>
                </c:pt>
                <c:pt idx="677">
                  <c:v>136.4111</c:v>
                </c:pt>
                <c:pt idx="678">
                  <c:v>67.3279</c:v>
                </c:pt>
                <c:pt idx="679">
                  <c:v>83.78</c:v>
                </c:pt>
                <c:pt idx="680">
                  <c:v>88.161799999999999</c:v>
                </c:pt>
                <c:pt idx="681">
                  <c:v>94.944999999999993</c:v>
                </c:pt>
                <c:pt idx="682">
                  <c:v>83.635199999999998</c:v>
                </c:pt>
                <c:pt idx="683">
                  <c:v>78.712000000000003</c:v>
                </c:pt>
                <c:pt idx="684">
                  <c:v>182.79179999999999</c:v>
                </c:pt>
                <c:pt idx="685">
                  <c:v>127.66249999999999</c:v>
                </c:pt>
                <c:pt idx="686">
                  <c:v>123.1225</c:v>
                </c:pt>
                <c:pt idx="687">
                  <c:v>89.242699999999999</c:v>
                </c:pt>
                <c:pt idx="688">
                  <c:v>70.661799999999999</c:v>
                </c:pt>
                <c:pt idx="689">
                  <c:v>79.4602</c:v>
                </c:pt>
                <c:pt idx="690">
                  <c:v>190.73609999999999</c:v>
                </c:pt>
                <c:pt idx="691">
                  <c:v>67.573300000000003</c:v>
                </c:pt>
                <c:pt idx="692">
                  <c:v>125.5727</c:v>
                </c:pt>
                <c:pt idx="693">
                  <c:v>181.31180000000001</c:v>
                </c:pt>
                <c:pt idx="694">
                  <c:v>91.374099999999999</c:v>
                </c:pt>
                <c:pt idx="695">
                  <c:v>136.9238</c:v>
                </c:pt>
                <c:pt idx="696">
                  <c:v>129.524</c:v>
                </c:pt>
                <c:pt idx="697">
                  <c:v>124.47110000000001</c:v>
                </c:pt>
                <c:pt idx="698">
                  <c:v>72.586200000000005</c:v>
                </c:pt>
                <c:pt idx="699">
                  <c:v>98.742599999999996</c:v>
                </c:pt>
                <c:pt idx="700">
                  <c:v>87.363900000000001</c:v>
                </c:pt>
                <c:pt idx="701">
                  <c:v>173.39359999999999</c:v>
                </c:pt>
                <c:pt idx="702">
                  <c:v>84.441699999999997</c:v>
                </c:pt>
                <c:pt idx="703">
                  <c:v>68.800200000000004</c:v>
                </c:pt>
                <c:pt idx="704">
                  <c:v>60.809199999999997</c:v>
                </c:pt>
                <c:pt idx="705">
                  <c:v>285.97129999999999</c:v>
                </c:pt>
                <c:pt idx="706">
                  <c:v>126.3359</c:v>
                </c:pt>
                <c:pt idx="707">
                  <c:v>140.79820000000001</c:v>
                </c:pt>
                <c:pt idx="708">
                  <c:v>149.41730000000001</c:v>
                </c:pt>
                <c:pt idx="709">
                  <c:v>96.762500000000003</c:v>
                </c:pt>
                <c:pt idx="710">
                  <c:v>110.7602</c:v>
                </c:pt>
                <c:pt idx="711">
                  <c:v>94.167000000000002</c:v>
                </c:pt>
                <c:pt idx="712">
                  <c:v>185.7955</c:v>
                </c:pt>
                <c:pt idx="713">
                  <c:v>86.428899999999999</c:v>
                </c:pt>
                <c:pt idx="714">
                  <c:v>78.132000000000005</c:v>
                </c:pt>
                <c:pt idx="715">
                  <c:v>109.98269999999999</c:v>
                </c:pt>
                <c:pt idx="716">
                  <c:v>81.392899999999997</c:v>
                </c:pt>
                <c:pt idx="717">
                  <c:v>64.744299999999996</c:v>
                </c:pt>
                <c:pt idx="718">
                  <c:v>66.628399999999999</c:v>
                </c:pt>
                <c:pt idx="719">
                  <c:v>77.355400000000003</c:v>
                </c:pt>
                <c:pt idx="720">
                  <c:v>102.0665</c:v>
                </c:pt>
                <c:pt idx="721">
                  <c:v>165.47499999999999</c:v>
                </c:pt>
                <c:pt idx="722">
                  <c:v>115.8747</c:v>
                </c:pt>
                <c:pt idx="723">
                  <c:v>81.171899999999994</c:v>
                </c:pt>
                <c:pt idx="724">
                  <c:v>91.630799999999994</c:v>
                </c:pt>
                <c:pt idx="725">
                  <c:v>64.328900000000004</c:v>
                </c:pt>
                <c:pt idx="726">
                  <c:v>89.633099999999999</c:v>
                </c:pt>
                <c:pt idx="727">
                  <c:v>141.50280000000001</c:v>
                </c:pt>
                <c:pt idx="728">
                  <c:v>76.572900000000004</c:v>
                </c:pt>
                <c:pt idx="729">
                  <c:v>60.366500000000002</c:v>
                </c:pt>
                <c:pt idx="730">
                  <c:v>82.795400000000001</c:v>
                </c:pt>
                <c:pt idx="731">
                  <c:v>91.035600000000002</c:v>
                </c:pt>
                <c:pt idx="732">
                  <c:v>218.1874</c:v>
                </c:pt>
                <c:pt idx="733">
                  <c:v>92.427300000000002</c:v>
                </c:pt>
                <c:pt idx="734">
                  <c:v>182.6046</c:v>
                </c:pt>
                <c:pt idx="735">
                  <c:v>125.0913</c:v>
                </c:pt>
                <c:pt idx="736">
                  <c:v>73.229399999999998</c:v>
                </c:pt>
                <c:pt idx="737">
                  <c:v>72.490600000000001</c:v>
                </c:pt>
                <c:pt idx="738">
                  <c:v>113.6961</c:v>
                </c:pt>
                <c:pt idx="739">
                  <c:v>95.373800000000003</c:v>
                </c:pt>
                <c:pt idx="740">
                  <c:v>138.31440000000001</c:v>
                </c:pt>
                <c:pt idx="741">
                  <c:v>96.376199999999997</c:v>
                </c:pt>
                <c:pt idx="742">
                  <c:v>104.49039999999999</c:v>
                </c:pt>
                <c:pt idx="743">
                  <c:v>182.17949999999999</c:v>
                </c:pt>
                <c:pt idx="744">
                  <c:v>75.320300000000003</c:v>
                </c:pt>
                <c:pt idx="745">
                  <c:v>82.3994</c:v>
                </c:pt>
                <c:pt idx="746">
                  <c:v>115.37</c:v>
                </c:pt>
                <c:pt idx="747">
                  <c:v>119.3481</c:v>
                </c:pt>
                <c:pt idx="748">
                  <c:v>91.340500000000006</c:v>
                </c:pt>
                <c:pt idx="749">
                  <c:v>77.352900000000005</c:v>
                </c:pt>
                <c:pt idx="750">
                  <c:v>101.61279999999999</c:v>
                </c:pt>
                <c:pt idx="751">
                  <c:v>180.76400000000001</c:v>
                </c:pt>
                <c:pt idx="752">
                  <c:v>150.62799999999999</c:v>
                </c:pt>
                <c:pt idx="753">
                  <c:v>81.308599999999998</c:v>
                </c:pt>
                <c:pt idx="754">
                  <c:v>134.09710000000001</c:v>
                </c:pt>
                <c:pt idx="755">
                  <c:v>114.25920000000001</c:v>
                </c:pt>
                <c:pt idx="756">
                  <c:v>102.7197</c:v>
                </c:pt>
                <c:pt idx="757">
                  <c:v>141.0445</c:v>
                </c:pt>
                <c:pt idx="758">
                  <c:v>151.4949</c:v>
                </c:pt>
                <c:pt idx="759">
                  <c:v>111.1277</c:v>
                </c:pt>
                <c:pt idx="760">
                  <c:v>86.307500000000005</c:v>
                </c:pt>
                <c:pt idx="761">
                  <c:v>149.37110000000001</c:v>
                </c:pt>
                <c:pt idx="762">
                  <c:v>112.986</c:v>
                </c:pt>
                <c:pt idx="763">
                  <c:v>54.948599999999999</c:v>
                </c:pt>
                <c:pt idx="764">
                  <c:v>89.903000000000006</c:v>
                </c:pt>
                <c:pt idx="765">
                  <c:v>130.8099</c:v>
                </c:pt>
                <c:pt idx="766">
                  <c:v>87.259299999999996</c:v>
                </c:pt>
                <c:pt idx="767">
                  <c:v>126.6251</c:v>
                </c:pt>
                <c:pt idx="768">
                  <c:v>67.637900000000002</c:v>
                </c:pt>
                <c:pt idx="769">
                  <c:v>78.302999999999997</c:v>
                </c:pt>
                <c:pt idx="770">
                  <c:v>140.32149999999999</c:v>
                </c:pt>
                <c:pt idx="771">
                  <c:v>57.9482</c:v>
                </c:pt>
                <c:pt idx="772">
                  <c:v>192.66900000000001</c:v>
                </c:pt>
                <c:pt idx="773">
                  <c:v>61.469200000000001</c:v>
                </c:pt>
                <c:pt idx="774">
                  <c:v>76.479799999999997</c:v>
                </c:pt>
                <c:pt idx="775">
                  <c:v>101.1674</c:v>
                </c:pt>
                <c:pt idx="776">
                  <c:v>123.316</c:v>
                </c:pt>
                <c:pt idx="777">
                  <c:v>98.538899999999998</c:v>
                </c:pt>
                <c:pt idx="778">
                  <c:v>88.859200000000001</c:v>
                </c:pt>
                <c:pt idx="779">
                  <c:v>93.444800000000001</c:v>
                </c:pt>
                <c:pt idx="780">
                  <c:v>70.580699999999993</c:v>
                </c:pt>
                <c:pt idx="781">
                  <c:v>123.6985</c:v>
                </c:pt>
                <c:pt idx="782">
                  <c:v>130.39330000000001</c:v>
                </c:pt>
                <c:pt idx="783">
                  <c:v>79.435299999999998</c:v>
                </c:pt>
                <c:pt idx="784">
                  <c:v>68.745099999999994</c:v>
                </c:pt>
                <c:pt idx="785">
                  <c:v>100.45010000000001</c:v>
                </c:pt>
                <c:pt idx="786">
                  <c:v>133.01429999999999</c:v>
                </c:pt>
                <c:pt idx="787">
                  <c:v>106.7619</c:v>
                </c:pt>
                <c:pt idx="788">
                  <c:v>151.5051</c:v>
                </c:pt>
                <c:pt idx="789">
                  <c:v>62.786900000000003</c:v>
                </c:pt>
                <c:pt idx="790">
                  <c:v>81.196899999999999</c:v>
                </c:pt>
                <c:pt idx="791">
                  <c:v>137.3544</c:v>
                </c:pt>
                <c:pt idx="792">
                  <c:v>96.638599999999997</c:v>
                </c:pt>
                <c:pt idx="793">
                  <c:v>75.644800000000004</c:v>
                </c:pt>
                <c:pt idx="794">
                  <c:v>108.5659</c:v>
                </c:pt>
                <c:pt idx="795">
                  <c:v>77.695099999999996</c:v>
                </c:pt>
                <c:pt idx="796">
                  <c:v>93.965199999999996</c:v>
                </c:pt>
                <c:pt idx="797">
                  <c:v>81.143699999999995</c:v>
                </c:pt>
                <c:pt idx="798">
                  <c:v>82.702299999999994</c:v>
                </c:pt>
                <c:pt idx="799">
                  <c:v>92.238</c:v>
                </c:pt>
                <c:pt idx="800">
                  <c:v>123.28270000000001</c:v>
                </c:pt>
                <c:pt idx="801">
                  <c:v>113.99379999999999</c:v>
                </c:pt>
                <c:pt idx="802">
                  <c:v>54.337499999999999</c:v>
                </c:pt>
                <c:pt idx="803">
                  <c:v>119.154</c:v>
                </c:pt>
                <c:pt idx="804">
                  <c:v>104.5218</c:v>
                </c:pt>
                <c:pt idx="805">
                  <c:v>103.5129</c:v>
                </c:pt>
                <c:pt idx="806">
                  <c:v>124.5624</c:v>
                </c:pt>
                <c:pt idx="807">
                  <c:v>83.147300000000001</c:v>
                </c:pt>
                <c:pt idx="808">
                  <c:v>108.3694</c:v>
                </c:pt>
                <c:pt idx="809">
                  <c:v>70.4392</c:v>
                </c:pt>
                <c:pt idx="810">
                  <c:v>92.055199999999999</c:v>
                </c:pt>
                <c:pt idx="811">
                  <c:v>71.434299999999993</c:v>
                </c:pt>
                <c:pt idx="812">
                  <c:v>98.857200000000006</c:v>
                </c:pt>
                <c:pt idx="813">
                  <c:v>114.0356</c:v>
                </c:pt>
                <c:pt idx="814">
                  <c:v>140.47730000000001</c:v>
                </c:pt>
                <c:pt idx="815">
                  <c:v>152.5427</c:v>
                </c:pt>
                <c:pt idx="816">
                  <c:v>121.5472</c:v>
                </c:pt>
                <c:pt idx="817">
                  <c:v>106.28570000000001</c:v>
                </c:pt>
                <c:pt idx="818">
                  <c:v>101.8398</c:v>
                </c:pt>
                <c:pt idx="819">
                  <c:v>58.582799999999999</c:v>
                </c:pt>
                <c:pt idx="820">
                  <c:v>97.147999999999996</c:v>
                </c:pt>
                <c:pt idx="821">
                  <c:v>73.418700000000001</c:v>
                </c:pt>
                <c:pt idx="822">
                  <c:v>108.9849</c:v>
                </c:pt>
                <c:pt idx="823">
                  <c:v>103.59439999999999</c:v>
                </c:pt>
                <c:pt idx="824">
                  <c:v>142.8528</c:v>
                </c:pt>
                <c:pt idx="825">
                  <c:v>81.164000000000001</c:v>
                </c:pt>
                <c:pt idx="826">
                  <c:v>97.125799999999998</c:v>
                </c:pt>
                <c:pt idx="827">
                  <c:v>91.966300000000004</c:v>
                </c:pt>
                <c:pt idx="828">
                  <c:v>102.998</c:v>
                </c:pt>
                <c:pt idx="829">
                  <c:v>204.3845</c:v>
                </c:pt>
                <c:pt idx="830">
                  <c:v>73.658799999999999</c:v>
                </c:pt>
                <c:pt idx="831">
                  <c:v>169.62029999999999</c:v>
                </c:pt>
                <c:pt idx="832">
                  <c:v>176.7628</c:v>
                </c:pt>
                <c:pt idx="833">
                  <c:v>97.944999999999993</c:v>
                </c:pt>
                <c:pt idx="834">
                  <c:v>94.3566</c:v>
                </c:pt>
                <c:pt idx="835">
                  <c:v>85.464600000000004</c:v>
                </c:pt>
                <c:pt idx="836">
                  <c:v>81.018900000000002</c:v>
                </c:pt>
                <c:pt idx="837">
                  <c:v>107.0354</c:v>
                </c:pt>
                <c:pt idx="838">
                  <c:v>78.886799999999994</c:v>
                </c:pt>
                <c:pt idx="839">
                  <c:v>95.276799999999994</c:v>
                </c:pt>
                <c:pt idx="840">
                  <c:v>112.3935</c:v>
                </c:pt>
                <c:pt idx="841">
                  <c:v>122.68259999999999</c:v>
                </c:pt>
                <c:pt idx="842">
                  <c:v>95.937200000000004</c:v>
                </c:pt>
                <c:pt idx="843">
                  <c:v>120.4029</c:v>
                </c:pt>
                <c:pt idx="844">
                  <c:v>82.969200000000001</c:v>
                </c:pt>
                <c:pt idx="845">
                  <c:v>74.102000000000004</c:v>
                </c:pt>
                <c:pt idx="846">
                  <c:v>123.93980000000001</c:v>
                </c:pt>
                <c:pt idx="847">
                  <c:v>116.0527</c:v>
                </c:pt>
                <c:pt idx="848">
                  <c:v>58.822400000000002</c:v>
                </c:pt>
                <c:pt idx="849">
                  <c:v>92.771799999999999</c:v>
                </c:pt>
                <c:pt idx="850">
                  <c:v>66.9221</c:v>
                </c:pt>
                <c:pt idx="851">
                  <c:v>100</c:v>
                </c:pt>
                <c:pt idx="852">
                  <c:v>85.5822</c:v>
                </c:pt>
                <c:pt idx="853">
                  <c:v>56.1877</c:v>
                </c:pt>
                <c:pt idx="854">
                  <c:v>48.196599999999997</c:v>
                </c:pt>
                <c:pt idx="855">
                  <c:v>68.049099999999996</c:v>
                </c:pt>
                <c:pt idx="856">
                  <c:v>89.599199999999996</c:v>
                </c:pt>
                <c:pt idx="857">
                  <c:v>83.862099999999998</c:v>
                </c:pt>
                <c:pt idx="858">
                  <c:v>154.74469999999999</c:v>
                </c:pt>
                <c:pt idx="859">
                  <c:v>110.1499</c:v>
                </c:pt>
                <c:pt idx="860">
                  <c:v>107.1632</c:v>
                </c:pt>
                <c:pt idx="861">
                  <c:v>115.2371</c:v>
                </c:pt>
                <c:pt idx="862">
                  <c:v>130.46190000000001</c:v>
                </c:pt>
                <c:pt idx="863">
                  <c:v>105.2608</c:v>
                </c:pt>
                <c:pt idx="864">
                  <c:v>191.26949999999999</c:v>
                </c:pt>
                <c:pt idx="865">
                  <c:v>62.829300000000003</c:v>
                </c:pt>
                <c:pt idx="866">
                  <c:v>135.16079999999999</c:v>
                </c:pt>
                <c:pt idx="867">
                  <c:v>92.262100000000004</c:v>
                </c:pt>
                <c:pt idx="868">
                  <c:v>89.727400000000003</c:v>
                </c:pt>
                <c:pt idx="869">
                  <c:v>107.01600000000001</c:v>
                </c:pt>
                <c:pt idx="870">
                  <c:v>116.2482</c:v>
                </c:pt>
                <c:pt idx="871">
                  <c:v>79.006200000000007</c:v>
                </c:pt>
                <c:pt idx="872">
                  <c:v>106.6885</c:v>
                </c:pt>
                <c:pt idx="873">
                  <c:v>132.3013</c:v>
                </c:pt>
                <c:pt idx="874">
                  <c:v>116.3762</c:v>
                </c:pt>
                <c:pt idx="875">
                  <c:v>135.99250000000001</c:v>
                </c:pt>
                <c:pt idx="876">
                  <c:v>76.914199999999994</c:v>
                </c:pt>
                <c:pt idx="877">
                  <c:v>146.19569999999999</c:v>
                </c:pt>
                <c:pt idx="878">
                  <c:v>110.93770000000001</c:v>
                </c:pt>
                <c:pt idx="879">
                  <c:v>70.700800000000001</c:v>
                </c:pt>
                <c:pt idx="880">
                  <c:v>83.3977</c:v>
                </c:pt>
                <c:pt idx="881">
                  <c:v>72.366299999999995</c:v>
                </c:pt>
                <c:pt idx="882">
                  <c:v>92.963200000000001</c:v>
                </c:pt>
                <c:pt idx="883">
                  <c:v>168.1337</c:v>
                </c:pt>
                <c:pt idx="884">
                  <c:v>57.143300000000004</c:v>
                </c:pt>
                <c:pt idx="885">
                  <c:v>111.23520000000001</c:v>
                </c:pt>
                <c:pt idx="886">
                  <c:v>237.44409999999999</c:v>
                </c:pt>
                <c:pt idx="887">
                  <c:v>160.12610000000001</c:v>
                </c:pt>
                <c:pt idx="888">
                  <c:v>179.7269</c:v>
                </c:pt>
                <c:pt idx="889">
                  <c:v>115.50790000000001</c:v>
                </c:pt>
                <c:pt idx="890">
                  <c:v>77.578900000000004</c:v>
                </c:pt>
                <c:pt idx="891">
                  <c:v>76.293899999999994</c:v>
                </c:pt>
                <c:pt idx="892">
                  <c:v>106.56310000000001</c:v>
                </c:pt>
                <c:pt idx="893">
                  <c:v>66.233900000000006</c:v>
                </c:pt>
                <c:pt idx="894">
                  <c:v>102.2762</c:v>
                </c:pt>
                <c:pt idx="895">
                  <c:v>94.101699999999994</c:v>
                </c:pt>
                <c:pt idx="896">
                  <c:v>137.72479999999999</c:v>
                </c:pt>
                <c:pt idx="897">
                  <c:v>71.518600000000006</c:v>
                </c:pt>
                <c:pt idx="898">
                  <c:v>100.6378</c:v>
                </c:pt>
                <c:pt idx="899">
                  <c:v>107.80500000000001</c:v>
                </c:pt>
                <c:pt idx="900">
                  <c:v>110.9854</c:v>
                </c:pt>
                <c:pt idx="901">
                  <c:v>135.64330000000001</c:v>
                </c:pt>
                <c:pt idx="902">
                  <c:v>105.08159999999999</c:v>
                </c:pt>
                <c:pt idx="903">
                  <c:v>136.17869999999999</c:v>
                </c:pt>
                <c:pt idx="904">
                  <c:v>94.173599999999993</c:v>
                </c:pt>
                <c:pt idx="905">
                  <c:v>83.378299999999996</c:v>
                </c:pt>
                <c:pt idx="906">
                  <c:v>106.88849999999999</c:v>
                </c:pt>
                <c:pt idx="907">
                  <c:v>175.8109</c:v>
                </c:pt>
                <c:pt idx="908">
                  <c:v>114.21720000000001</c:v>
                </c:pt>
                <c:pt idx="909">
                  <c:v>150.036</c:v>
                </c:pt>
                <c:pt idx="910">
                  <c:v>158.2928</c:v>
                </c:pt>
                <c:pt idx="911">
                  <c:v>143.44710000000001</c:v>
                </c:pt>
                <c:pt idx="912">
                  <c:v>78.638099999999994</c:v>
                </c:pt>
                <c:pt idx="913">
                  <c:v>79.434399999999997</c:v>
                </c:pt>
                <c:pt idx="914">
                  <c:v>112.369</c:v>
                </c:pt>
                <c:pt idx="915">
                  <c:v>63.477499999999999</c:v>
                </c:pt>
                <c:pt idx="916">
                  <c:v>92.623999999999995</c:v>
                </c:pt>
                <c:pt idx="917">
                  <c:v>89.8018</c:v>
                </c:pt>
                <c:pt idx="918">
                  <c:v>86.378900000000002</c:v>
                </c:pt>
                <c:pt idx="919">
                  <c:v>65.038600000000002</c:v>
                </c:pt>
                <c:pt idx="920">
                  <c:v>101.6314</c:v>
                </c:pt>
                <c:pt idx="921">
                  <c:v>82.236099999999993</c:v>
                </c:pt>
                <c:pt idx="922">
                  <c:v>114.8439</c:v>
                </c:pt>
                <c:pt idx="923">
                  <c:v>99.065600000000003</c:v>
                </c:pt>
                <c:pt idx="924">
                  <c:v>135.7133</c:v>
                </c:pt>
                <c:pt idx="925">
                  <c:v>118.3493</c:v>
                </c:pt>
                <c:pt idx="926">
                  <c:v>105.44670000000001</c:v>
                </c:pt>
                <c:pt idx="927">
                  <c:v>120.11969999999999</c:v>
                </c:pt>
                <c:pt idx="928">
                  <c:v>102.69929999999999</c:v>
                </c:pt>
                <c:pt idx="929">
                  <c:v>85.697500000000005</c:v>
                </c:pt>
                <c:pt idx="930">
                  <c:v>99.593800000000002</c:v>
                </c:pt>
                <c:pt idx="931">
                  <c:v>94.554900000000004</c:v>
                </c:pt>
                <c:pt idx="932">
                  <c:v>61.163699999999999</c:v>
                </c:pt>
                <c:pt idx="933">
                  <c:v>160.2679</c:v>
                </c:pt>
                <c:pt idx="934">
                  <c:v>151.0239</c:v>
                </c:pt>
                <c:pt idx="935">
                  <c:v>66.457700000000003</c:v>
                </c:pt>
                <c:pt idx="936">
                  <c:v>123.7101</c:v>
                </c:pt>
                <c:pt idx="937">
                  <c:v>83.286199999999994</c:v>
                </c:pt>
                <c:pt idx="938">
                  <c:v>104.44670000000001</c:v>
                </c:pt>
                <c:pt idx="939">
                  <c:v>164.4905</c:v>
                </c:pt>
                <c:pt idx="940">
                  <c:v>96.780100000000004</c:v>
                </c:pt>
                <c:pt idx="941">
                  <c:v>156.5291</c:v>
                </c:pt>
                <c:pt idx="942">
                  <c:v>89.3249</c:v>
                </c:pt>
                <c:pt idx="943">
                  <c:v>47.529800000000002</c:v>
                </c:pt>
                <c:pt idx="944">
                  <c:v>93.266199999999998</c:v>
                </c:pt>
                <c:pt idx="945">
                  <c:v>79.239400000000003</c:v>
                </c:pt>
                <c:pt idx="946">
                  <c:v>82.897499999999994</c:v>
                </c:pt>
                <c:pt idx="947">
                  <c:v>118.22450000000001</c:v>
                </c:pt>
                <c:pt idx="948">
                  <c:v>104.95010000000001</c:v>
                </c:pt>
                <c:pt idx="949">
                  <c:v>96.508200000000002</c:v>
                </c:pt>
                <c:pt idx="950">
                  <c:v>107.3954</c:v>
                </c:pt>
                <c:pt idx="951">
                  <c:v>148.46199999999999</c:v>
                </c:pt>
                <c:pt idx="952">
                  <c:v>103.0715</c:v>
                </c:pt>
                <c:pt idx="953">
                  <c:v>136.43039999999999</c:v>
                </c:pt>
                <c:pt idx="954">
                  <c:v>100.3518</c:v>
                </c:pt>
                <c:pt idx="955">
                  <c:v>154.4547</c:v>
                </c:pt>
                <c:pt idx="956">
                  <c:v>71.591200000000001</c:v>
                </c:pt>
                <c:pt idx="957">
                  <c:v>85.851699999999994</c:v>
                </c:pt>
                <c:pt idx="958">
                  <c:v>70.032399999999996</c:v>
                </c:pt>
                <c:pt idx="959">
                  <c:v>60.887799999999999</c:v>
                </c:pt>
                <c:pt idx="960">
                  <c:v>116.0356</c:v>
                </c:pt>
                <c:pt idx="961">
                  <c:v>62.7333</c:v>
                </c:pt>
                <c:pt idx="962">
                  <c:v>140.4186</c:v>
                </c:pt>
                <c:pt idx="963">
                  <c:v>124.29</c:v>
                </c:pt>
                <c:pt idx="964">
                  <c:v>73.290300000000002</c:v>
                </c:pt>
                <c:pt idx="965">
                  <c:v>64.860299999999995</c:v>
                </c:pt>
                <c:pt idx="966">
                  <c:v>114.366</c:v>
                </c:pt>
                <c:pt idx="967">
                  <c:v>80.323300000000003</c:v>
                </c:pt>
                <c:pt idx="968">
                  <c:v>90.78</c:v>
                </c:pt>
                <c:pt idx="969">
                  <c:v>63.116999999999997</c:v>
                </c:pt>
                <c:pt idx="970">
                  <c:v>75.563500000000005</c:v>
                </c:pt>
                <c:pt idx="971">
                  <c:v>209.72030000000001</c:v>
                </c:pt>
                <c:pt idx="972">
                  <c:v>200.17349999999999</c:v>
                </c:pt>
                <c:pt idx="973">
                  <c:v>77.892200000000003</c:v>
                </c:pt>
                <c:pt idx="974">
                  <c:v>66.138400000000004</c:v>
                </c:pt>
                <c:pt idx="975">
                  <c:v>119.7816</c:v>
                </c:pt>
                <c:pt idx="976">
                  <c:v>80.746399999999994</c:v>
                </c:pt>
                <c:pt idx="977">
                  <c:v>91.835499999999996</c:v>
                </c:pt>
                <c:pt idx="978">
                  <c:v>99.014499999999998</c:v>
                </c:pt>
                <c:pt idx="979">
                  <c:v>70.245800000000003</c:v>
                </c:pt>
                <c:pt idx="980">
                  <c:v>101.06740000000001</c:v>
                </c:pt>
                <c:pt idx="981">
                  <c:v>162.77010000000001</c:v>
                </c:pt>
                <c:pt idx="982">
                  <c:v>83.949100000000001</c:v>
                </c:pt>
                <c:pt idx="983">
                  <c:v>87.882599999999996</c:v>
                </c:pt>
                <c:pt idx="984">
                  <c:v>74.248099999999994</c:v>
                </c:pt>
                <c:pt idx="985">
                  <c:v>88.096800000000002</c:v>
                </c:pt>
                <c:pt idx="986">
                  <c:v>121.6383</c:v>
                </c:pt>
                <c:pt idx="987">
                  <c:v>94.7346</c:v>
                </c:pt>
                <c:pt idx="988">
                  <c:v>105.1741</c:v>
                </c:pt>
                <c:pt idx="989">
                  <c:v>110.82550000000001</c:v>
                </c:pt>
                <c:pt idx="990">
                  <c:v>72.889499999999998</c:v>
                </c:pt>
                <c:pt idx="991">
                  <c:v>120.238</c:v>
                </c:pt>
                <c:pt idx="992">
                  <c:v>112.5415</c:v>
                </c:pt>
                <c:pt idx="993">
                  <c:v>97.208200000000005</c:v>
                </c:pt>
                <c:pt idx="994">
                  <c:v>91.183099999999996</c:v>
                </c:pt>
                <c:pt idx="995">
                  <c:v>93.304900000000004</c:v>
                </c:pt>
                <c:pt idx="996">
                  <c:v>78.270099999999999</c:v>
                </c:pt>
                <c:pt idx="997">
                  <c:v>53.053400000000003</c:v>
                </c:pt>
                <c:pt idx="998">
                  <c:v>99.516000000000005</c:v>
                </c:pt>
                <c:pt idx="999">
                  <c:v>110.1938</c:v>
                </c:pt>
              </c:numCache>
            </c:numRef>
          </c:xVal>
          <c:yVal>
            <c:numRef>
              <c:f>'Cash or Nothing Call Option'!$S$2:$S$1001</c:f>
              <c:numCache>
                <c:formatCode>0.00</c:formatCode>
                <c:ptCount val="1000"/>
                <c:pt idx="0">
                  <c:v>-15.348699999999999</c:v>
                </c:pt>
                <c:pt idx="1">
                  <c:v>-13.4732</c:v>
                </c:pt>
                <c:pt idx="2">
                  <c:v>-14.318300000000001</c:v>
                </c:pt>
                <c:pt idx="3">
                  <c:v>-14.804399999999999</c:v>
                </c:pt>
                <c:pt idx="4">
                  <c:v>-14.238</c:v>
                </c:pt>
                <c:pt idx="5">
                  <c:v>-13.6813</c:v>
                </c:pt>
                <c:pt idx="6">
                  <c:v>-22.8141</c:v>
                </c:pt>
                <c:pt idx="7">
                  <c:v>-0.40749999999999997</c:v>
                </c:pt>
                <c:pt idx="8">
                  <c:v>-11.7532</c:v>
                </c:pt>
                <c:pt idx="9">
                  <c:v>-12.857799999999999</c:v>
                </c:pt>
                <c:pt idx="10">
                  <c:v>0.2601</c:v>
                </c:pt>
                <c:pt idx="11">
                  <c:v>-12.352</c:v>
                </c:pt>
                <c:pt idx="12">
                  <c:v>-7.0987999999999998</c:v>
                </c:pt>
                <c:pt idx="13">
                  <c:v>-10.1859</c:v>
                </c:pt>
                <c:pt idx="14">
                  <c:v>-14.8283</c:v>
                </c:pt>
                <c:pt idx="15">
                  <c:v>-12.3292</c:v>
                </c:pt>
                <c:pt idx="16">
                  <c:v>-17.0884</c:v>
                </c:pt>
                <c:pt idx="17">
                  <c:v>-16.883800000000001</c:v>
                </c:pt>
                <c:pt idx="18">
                  <c:v>-14.5055</c:v>
                </c:pt>
                <c:pt idx="19">
                  <c:v>15.414400000000001</c:v>
                </c:pt>
                <c:pt idx="20">
                  <c:v>-17.421299999999999</c:v>
                </c:pt>
                <c:pt idx="21">
                  <c:v>26.659600000000001</c:v>
                </c:pt>
                <c:pt idx="22">
                  <c:v>-14.916399999999999</c:v>
                </c:pt>
                <c:pt idx="23">
                  <c:v>-13.363899999999999</c:v>
                </c:pt>
                <c:pt idx="24">
                  <c:v>-13.2814</c:v>
                </c:pt>
                <c:pt idx="25">
                  <c:v>-2.2389000000000001</c:v>
                </c:pt>
                <c:pt idx="26">
                  <c:v>18.302299999999999</c:v>
                </c:pt>
                <c:pt idx="27">
                  <c:v>-15.4025</c:v>
                </c:pt>
                <c:pt idx="28">
                  <c:v>30.097100000000001</c:v>
                </c:pt>
                <c:pt idx="29">
                  <c:v>-3.4283000000000001</c:v>
                </c:pt>
                <c:pt idx="30">
                  <c:v>-13.3363</c:v>
                </c:pt>
                <c:pt idx="31">
                  <c:v>3.6816</c:v>
                </c:pt>
                <c:pt idx="32">
                  <c:v>13.025499999999999</c:v>
                </c:pt>
                <c:pt idx="33">
                  <c:v>-15.969900000000001</c:v>
                </c:pt>
                <c:pt idx="34">
                  <c:v>-9.6244999999999994</c:v>
                </c:pt>
                <c:pt idx="35">
                  <c:v>-15.3155</c:v>
                </c:pt>
                <c:pt idx="36">
                  <c:v>-15.3292</c:v>
                </c:pt>
                <c:pt idx="37">
                  <c:v>-13.515700000000001</c:v>
                </c:pt>
                <c:pt idx="38">
                  <c:v>3.5131000000000001</c:v>
                </c:pt>
                <c:pt idx="39">
                  <c:v>57.5319</c:v>
                </c:pt>
                <c:pt idx="40">
                  <c:v>-8.9388000000000005</c:v>
                </c:pt>
                <c:pt idx="41">
                  <c:v>-11.7011</c:v>
                </c:pt>
                <c:pt idx="42">
                  <c:v>-11.998100000000001</c:v>
                </c:pt>
                <c:pt idx="43">
                  <c:v>-17.7014</c:v>
                </c:pt>
                <c:pt idx="44">
                  <c:v>16.05</c:v>
                </c:pt>
                <c:pt idx="45">
                  <c:v>10.159000000000001</c:v>
                </c:pt>
                <c:pt idx="46">
                  <c:v>-13.427099999999999</c:v>
                </c:pt>
                <c:pt idx="47">
                  <c:v>10.2606</c:v>
                </c:pt>
                <c:pt idx="48">
                  <c:v>53.264000000000003</c:v>
                </c:pt>
                <c:pt idx="49">
                  <c:v>-12.5967</c:v>
                </c:pt>
                <c:pt idx="50">
                  <c:v>41.600299999999997</c:v>
                </c:pt>
                <c:pt idx="51">
                  <c:v>-13.358599999999999</c:v>
                </c:pt>
                <c:pt idx="52">
                  <c:v>-13.4902</c:v>
                </c:pt>
                <c:pt idx="53">
                  <c:v>47.305199999999999</c:v>
                </c:pt>
                <c:pt idx="54">
                  <c:v>-12.430300000000001</c:v>
                </c:pt>
                <c:pt idx="55">
                  <c:v>-10.726699999999999</c:v>
                </c:pt>
                <c:pt idx="56">
                  <c:v>-8.9130000000000003</c:v>
                </c:pt>
                <c:pt idx="57">
                  <c:v>0.60719999999999996</c:v>
                </c:pt>
                <c:pt idx="58">
                  <c:v>-10.216699999999999</c:v>
                </c:pt>
                <c:pt idx="59">
                  <c:v>14.9725</c:v>
                </c:pt>
                <c:pt idx="60">
                  <c:v>-19.113299999999999</c:v>
                </c:pt>
                <c:pt idx="61">
                  <c:v>-14.455299999999999</c:v>
                </c:pt>
                <c:pt idx="62">
                  <c:v>19.479099999999999</c:v>
                </c:pt>
                <c:pt idx="63">
                  <c:v>-11.8062</c:v>
                </c:pt>
                <c:pt idx="64">
                  <c:v>-12.1731</c:v>
                </c:pt>
                <c:pt idx="65">
                  <c:v>-16.273299999999999</c:v>
                </c:pt>
                <c:pt idx="66">
                  <c:v>-16.4849</c:v>
                </c:pt>
                <c:pt idx="67">
                  <c:v>-16.2422</c:v>
                </c:pt>
                <c:pt idx="68">
                  <c:v>-10.930300000000001</c:v>
                </c:pt>
                <c:pt idx="69">
                  <c:v>-0.58799999999999997</c:v>
                </c:pt>
                <c:pt idx="70">
                  <c:v>-13.3919</c:v>
                </c:pt>
                <c:pt idx="71">
                  <c:v>21.502199999999998</c:v>
                </c:pt>
                <c:pt idx="72">
                  <c:v>-16.789300000000001</c:v>
                </c:pt>
                <c:pt idx="73">
                  <c:v>-18.914999999999999</c:v>
                </c:pt>
                <c:pt idx="74">
                  <c:v>-16.183700000000002</c:v>
                </c:pt>
                <c:pt idx="75">
                  <c:v>-7.0305999999999997</c:v>
                </c:pt>
                <c:pt idx="76">
                  <c:v>-14.7637</c:v>
                </c:pt>
                <c:pt idx="77">
                  <c:v>-13.545500000000001</c:v>
                </c:pt>
                <c:pt idx="78">
                  <c:v>-6.4180000000000001</c:v>
                </c:pt>
                <c:pt idx="79">
                  <c:v>-0.31879999999999997</c:v>
                </c:pt>
                <c:pt idx="80">
                  <c:v>-14.1668</c:v>
                </c:pt>
                <c:pt idx="81">
                  <c:v>-12.322800000000001</c:v>
                </c:pt>
                <c:pt idx="82">
                  <c:v>-11.7315</c:v>
                </c:pt>
                <c:pt idx="83">
                  <c:v>-18.636600000000001</c:v>
                </c:pt>
                <c:pt idx="84">
                  <c:v>-9.3969000000000005</c:v>
                </c:pt>
                <c:pt idx="85">
                  <c:v>-10.2683</c:v>
                </c:pt>
                <c:pt idx="86">
                  <c:v>-7.5603999999999996</c:v>
                </c:pt>
                <c:pt idx="87">
                  <c:v>-15.9741</c:v>
                </c:pt>
                <c:pt idx="88">
                  <c:v>-10.8565</c:v>
                </c:pt>
                <c:pt idx="89">
                  <c:v>-13.7074</c:v>
                </c:pt>
                <c:pt idx="90">
                  <c:v>-14.7529</c:v>
                </c:pt>
                <c:pt idx="91">
                  <c:v>-3.2052999999999998</c:v>
                </c:pt>
                <c:pt idx="92">
                  <c:v>-7.6448</c:v>
                </c:pt>
                <c:pt idx="93">
                  <c:v>2.5390999999999999</c:v>
                </c:pt>
                <c:pt idx="94">
                  <c:v>-15.941599999999999</c:v>
                </c:pt>
                <c:pt idx="95">
                  <c:v>0.31340000000000001</c:v>
                </c:pt>
                <c:pt idx="96">
                  <c:v>-13.8637</c:v>
                </c:pt>
                <c:pt idx="97">
                  <c:v>-13.6074</c:v>
                </c:pt>
                <c:pt idx="98">
                  <c:v>9.7417999999999996</c:v>
                </c:pt>
                <c:pt idx="99">
                  <c:v>41.343699999999998</c:v>
                </c:pt>
                <c:pt idx="100">
                  <c:v>31.807500000000001</c:v>
                </c:pt>
                <c:pt idx="101">
                  <c:v>-15.558400000000001</c:v>
                </c:pt>
                <c:pt idx="102">
                  <c:v>-12.352399999999999</c:v>
                </c:pt>
                <c:pt idx="103">
                  <c:v>13.7302</c:v>
                </c:pt>
                <c:pt idx="104">
                  <c:v>21.412600000000001</c:v>
                </c:pt>
                <c:pt idx="105">
                  <c:v>2.827</c:v>
                </c:pt>
                <c:pt idx="106">
                  <c:v>-3.6240999999999999</c:v>
                </c:pt>
                <c:pt idx="107">
                  <c:v>130.95480000000001</c:v>
                </c:pt>
                <c:pt idx="108">
                  <c:v>62.053699999999999</c:v>
                </c:pt>
                <c:pt idx="109">
                  <c:v>7.282</c:v>
                </c:pt>
                <c:pt idx="110">
                  <c:v>-14.1937</c:v>
                </c:pt>
                <c:pt idx="111">
                  <c:v>-16.555</c:v>
                </c:pt>
                <c:pt idx="112">
                  <c:v>-3.0977000000000001</c:v>
                </c:pt>
                <c:pt idx="113">
                  <c:v>1.6509</c:v>
                </c:pt>
                <c:pt idx="114">
                  <c:v>-13.791700000000001</c:v>
                </c:pt>
                <c:pt idx="115">
                  <c:v>-1.8447</c:v>
                </c:pt>
                <c:pt idx="116">
                  <c:v>-18.675999999999998</c:v>
                </c:pt>
                <c:pt idx="117">
                  <c:v>29.003399999999999</c:v>
                </c:pt>
                <c:pt idx="118">
                  <c:v>15.826700000000001</c:v>
                </c:pt>
                <c:pt idx="119">
                  <c:v>-10.615399999999999</c:v>
                </c:pt>
                <c:pt idx="120">
                  <c:v>-13.382999999999999</c:v>
                </c:pt>
                <c:pt idx="121">
                  <c:v>-15.6457</c:v>
                </c:pt>
                <c:pt idx="122">
                  <c:v>-12.8812</c:v>
                </c:pt>
                <c:pt idx="123">
                  <c:v>-13.180300000000001</c:v>
                </c:pt>
                <c:pt idx="124">
                  <c:v>-14.6752</c:v>
                </c:pt>
                <c:pt idx="125">
                  <c:v>-13.887700000000001</c:v>
                </c:pt>
                <c:pt idx="126">
                  <c:v>-13.287000000000001</c:v>
                </c:pt>
                <c:pt idx="127">
                  <c:v>31.521899999999999</c:v>
                </c:pt>
                <c:pt idx="128">
                  <c:v>-11.598800000000001</c:v>
                </c:pt>
                <c:pt idx="129">
                  <c:v>3.6278000000000001</c:v>
                </c:pt>
                <c:pt idx="130">
                  <c:v>-14.0274</c:v>
                </c:pt>
                <c:pt idx="131">
                  <c:v>-5.2839</c:v>
                </c:pt>
                <c:pt idx="132">
                  <c:v>-13.627800000000001</c:v>
                </c:pt>
                <c:pt idx="133">
                  <c:v>40.9681</c:v>
                </c:pt>
                <c:pt idx="134">
                  <c:v>36.423200000000001</c:v>
                </c:pt>
                <c:pt idx="135">
                  <c:v>-3.7248999999999999</c:v>
                </c:pt>
                <c:pt idx="136">
                  <c:v>-13.5745</c:v>
                </c:pt>
                <c:pt idx="137">
                  <c:v>-13.4407</c:v>
                </c:pt>
                <c:pt idx="138">
                  <c:v>3.14</c:v>
                </c:pt>
                <c:pt idx="139">
                  <c:v>-5.0963000000000003</c:v>
                </c:pt>
                <c:pt idx="140">
                  <c:v>29.495899999999999</c:v>
                </c:pt>
                <c:pt idx="141">
                  <c:v>42.953600000000002</c:v>
                </c:pt>
                <c:pt idx="142">
                  <c:v>-15.0984</c:v>
                </c:pt>
                <c:pt idx="143">
                  <c:v>-14.2218</c:v>
                </c:pt>
                <c:pt idx="144">
                  <c:v>-18.255299999999998</c:v>
                </c:pt>
                <c:pt idx="145">
                  <c:v>-3.2134</c:v>
                </c:pt>
                <c:pt idx="146">
                  <c:v>-1.476</c:v>
                </c:pt>
                <c:pt idx="147">
                  <c:v>-9.0395000000000003</c:v>
                </c:pt>
                <c:pt idx="148">
                  <c:v>-14.182399999999999</c:v>
                </c:pt>
                <c:pt idx="149">
                  <c:v>-9.3352000000000004</c:v>
                </c:pt>
                <c:pt idx="150">
                  <c:v>-14.9041</c:v>
                </c:pt>
                <c:pt idx="151">
                  <c:v>-14.105700000000001</c:v>
                </c:pt>
                <c:pt idx="152">
                  <c:v>-15.5687</c:v>
                </c:pt>
                <c:pt idx="153">
                  <c:v>-5.5632999999999999</c:v>
                </c:pt>
                <c:pt idx="154">
                  <c:v>-9.9947999999999997</c:v>
                </c:pt>
                <c:pt idx="155">
                  <c:v>-14.432499999999999</c:v>
                </c:pt>
                <c:pt idx="156">
                  <c:v>-3.8990999999999998</c:v>
                </c:pt>
                <c:pt idx="157">
                  <c:v>15.244400000000001</c:v>
                </c:pt>
                <c:pt idx="158">
                  <c:v>-9.2637999999999998</c:v>
                </c:pt>
                <c:pt idx="159">
                  <c:v>85.844999999999999</c:v>
                </c:pt>
                <c:pt idx="160">
                  <c:v>1.3527</c:v>
                </c:pt>
                <c:pt idx="161">
                  <c:v>-12.7395</c:v>
                </c:pt>
                <c:pt idx="162">
                  <c:v>25.432200000000002</c:v>
                </c:pt>
                <c:pt idx="163">
                  <c:v>-15.3508</c:v>
                </c:pt>
                <c:pt idx="164">
                  <c:v>-9.8421000000000003</c:v>
                </c:pt>
                <c:pt idx="165">
                  <c:v>-11.709899999999999</c:v>
                </c:pt>
                <c:pt idx="166">
                  <c:v>9.3747000000000007</c:v>
                </c:pt>
                <c:pt idx="167">
                  <c:v>27.171500000000002</c:v>
                </c:pt>
                <c:pt idx="168">
                  <c:v>-13.8146</c:v>
                </c:pt>
                <c:pt idx="169">
                  <c:v>6.9419000000000004</c:v>
                </c:pt>
                <c:pt idx="170">
                  <c:v>56.692799999999998</c:v>
                </c:pt>
                <c:pt idx="171">
                  <c:v>-12.2242</c:v>
                </c:pt>
                <c:pt idx="172">
                  <c:v>47.4681</c:v>
                </c:pt>
                <c:pt idx="173">
                  <c:v>-5.4789000000000003</c:v>
                </c:pt>
                <c:pt idx="174">
                  <c:v>-11.2089</c:v>
                </c:pt>
                <c:pt idx="175">
                  <c:v>42.501600000000003</c:v>
                </c:pt>
                <c:pt idx="176">
                  <c:v>-9.8773999999999997</c:v>
                </c:pt>
                <c:pt idx="177">
                  <c:v>-10.838699999999999</c:v>
                </c:pt>
                <c:pt idx="178">
                  <c:v>19.2164</c:v>
                </c:pt>
                <c:pt idx="179">
                  <c:v>12.157500000000001</c:v>
                </c:pt>
                <c:pt idx="180">
                  <c:v>18.0151</c:v>
                </c:pt>
                <c:pt idx="181">
                  <c:v>-14.6006</c:v>
                </c:pt>
                <c:pt idx="182">
                  <c:v>78.569800000000001</c:v>
                </c:pt>
                <c:pt idx="183">
                  <c:v>-6.5358999999999998</c:v>
                </c:pt>
                <c:pt idx="184">
                  <c:v>-12.5885</c:v>
                </c:pt>
                <c:pt idx="185">
                  <c:v>-14.635999999999999</c:v>
                </c:pt>
                <c:pt idx="186">
                  <c:v>-3.0274000000000001</c:v>
                </c:pt>
                <c:pt idx="187">
                  <c:v>-10.0307</c:v>
                </c:pt>
                <c:pt idx="188">
                  <c:v>-4.0472000000000001</c:v>
                </c:pt>
                <c:pt idx="189">
                  <c:v>-11.5238</c:v>
                </c:pt>
                <c:pt idx="190">
                  <c:v>-3.1000999999999999</c:v>
                </c:pt>
                <c:pt idx="191">
                  <c:v>1.2632000000000001</c:v>
                </c:pt>
                <c:pt idx="192">
                  <c:v>10.341900000000001</c:v>
                </c:pt>
                <c:pt idx="193">
                  <c:v>-12.7075</c:v>
                </c:pt>
                <c:pt idx="194">
                  <c:v>-14.151</c:v>
                </c:pt>
                <c:pt idx="195">
                  <c:v>-15.4407</c:v>
                </c:pt>
                <c:pt idx="196">
                  <c:v>25.932600000000001</c:v>
                </c:pt>
                <c:pt idx="197">
                  <c:v>24.648</c:v>
                </c:pt>
                <c:pt idx="198">
                  <c:v>-10.7072</c:v>
                </c:pt>
                <c:pt idx="199">
                  <c:v>-2.7492000000000001</c:v>
                </c:pt>
                <c:pt idx="200">
                  <c:v>12.585699999999999</c:v>
                </c:pt>
                <c:pt idx="201">
                  <c:v>-14.0441</c:v>
                </c:pt>
                <c:pt idx="202">
                  <c:v>78.505300000000005</c:v>
                </c:pt>
                <c:pt idx="203">
                  <c:v>-16.653300000000002</c:v>
                </c:pt>
                <c:pt idx="204">
                  <c:v>-14.0031</c:v>
                </c:pt>
                <c:pt idx="205">
                  <c:v>-10.5863</c:v>
                </c:pt>
                <c:pt idx="206">
                  <c:v>22.442699999999999</c:v>
                </c:pt>
                <c:pt idx="207">
                  <c:v>-16.282599999999999</c:v>
                </c:pt>
                <c:pt idx="208">
                  <c:v>-9.9974000000000007</c:v>
                </c:pt>
                <c:pt idx="209">
                  <c:v>-13.5893</c:v>
                </c:pt>
                <c:pt idx="210">
                  <c:v>-16.467400000000001</c:v>
                </c:pt>
                <c:pt idx="211">
                  <c:v>-0.55600000000000005</c:v>
                </c:pt>
                <c:pt idx="212">
                  <c:v>-13.005000000000001</c:v>
                </c:pt>
                <c:pt idx="213">
                  <c:v>2.9426999999999999</c:v>
                </c:pt>
                <c:pt idx="214">
                  <c:v>-10.3087</c:v>
                </c:pt>
                <c:pt idx="215">
                  <c:v>-4.8878000000000004</c:v>
                </c:pt>
                <c:pt idx="216">
                  <c:v>-1.5013000000000001</c:v>
                </c:pt>
                <c:pt idx="217">
                  <c:v>1.7593000000000001</c:v>
                </c:pt>
                <c:pt idx="218">
                  <c:v>3.2141000000000002</c:v>
                </c:pt>
                <c:pt idx="219">
                  <c:v>-13.635300000000001</c:v>
                </c:pt>
                <c:pt idx="220">
                  <c:v>-14.1965</c:v>
                </c:pt>
                <c:pt idx="221">
                  <c:v>-11.5183</c:v>
                </c:pt>
                <c:pt idx="222">
                  <c:v>-10.5565</c:v>
                </c:pt>
                <c:pt idx="223">
                  <c:v>-11.793900000000001</c:v>
                </c:pt>
                <c:pt idx="224">
                  <c:v>0.58440000000000003</c:v>
                </c:pt>
                <c:pt idx="225">
                  <c:v>-14.224399999999999</c:v>
                </c:pt>
                <c:pt idx="226">
                  <c:v>27.917000000000002</c:v>
                </c:pt>
                <c:pt idx="227">
                  <c:v>-14.634399999999999</c:v>
                </c:pt>
                <c:pt idx="228">
                  <c:v>-5.1414999999999997</c:v>
                </c:pt>
                <c:pt idx="229">
                  <c:v>19.505700000000001</c:v>
                </c:pt>
                <c:pt idx="230">
                  <c:v>-14.0709</c:v>
                </c:pt>
                <c:pt idx="231">
                  <c:v>-12.8256</c:v>
                </c:pt>
                <c:pt idx="232">
                  <c:v>-6.0172999999999996</c:v>
                </c:pt>
                <c:pt idx="233">
                  <c:v>-13.690899999999999</c:v>
                </c:pt>
                <c:pt idx="234">
                  <c:v>-14.563499999999999</c:v>
                </c:pt>
                <c:pt idx="235">
                  <c:v>30.950800000000001</c:v>
                </c:pt>
                <c:pt idx="236">
                  <c:v>94.983199999999997</c:v>
                </c:pt>
                <c:pt idx="237">
                  <c:v>-2.6850000000000001</c:v>
                </c:pt>
                <c:pt idx="238">
                  <c:v>5.2367999999999997</c:v>
                </c:pt>
                <c:pt idx="239">
                  <c:v>-11.2087</c:v>
                </c:pt>
                <c:pt idx="240">
                  <c:v>-17.689900000000002</c:v>
                </c:pt>
                <c:pt idx="241">
                  <c:v>-10.988099999999999</c:v>
                </c:pt>
                <c:pt idx="242">
                  <c:v>-10.2593</c:v>
                </c:pt>
                <c:pt idx="243">
                  <c:v>-13.0044</c:v>
                </c:pt>
                <c:pt idx="244">
                  <c:v>3.0453999999999999</c:v>
                </c:pt>
                <c:pt idx="245">
                  <c:v>-8.1003000000000007</c:v>
                </c:pt>
                <c:pt idx="246">
                  <c:v>47.106099999999998</c:v>
                </c:pt>
                <c:pt idx="247">
                  <c:v>-3.3376000000000001</c:v>
                </c:pt>
                <c:pt idx="248">
                  <c:v>-18.636700000000001</c:v>
                </c:pt>
                <c:pt idx="249">
                  <c:v>-11.1797</c:v>
                </c:pt>
                <c:pt idx="250">
                  <c:v>-10.885300000000001</c:v>
                </c:pt>
                <c:pt idx="251">
                  <c:v>-16.038499999999999</c:v>
                </c:pt>
                <c:pt idx="252">
                  <c:v>-15.390700000000001</c:v>
                </c:pt>
                <c:pt idx="253">
                  <c:v>16.523800000000001</c:v>
                </c:pt>
                <c:pt idx="254">
                  <c:v>-15.216799999999999</c:v>
                </c:pt>
                <c:pt idx="255">
                  <c:v>-8.5904000000000007</c:v>
                </c:pt>
                <c:pt idx="256">
                  <c:v>-10.442</c:v>
                </c:pt>
                <c:pt idx="257">
                  <c:v>22.009699999999999</c:v>
                </c:pt>
                <c:pt idx="258">
                  <c:v>-16.796399999999998</c:v>
                </c:pt>
                <c:pt idx="259">
                  <c:v>-16.745999999999999</c:v>
                </c:pt>
                <c:pt idx="260">
                  <c:v>-5.2839</c:v>
                </c:pt>
                <c:pt idx="261">
                  <c:v>52.1327</c:v>
                </c:pt>
                <c:pt idx="262">
                  <c:v>-16.122499999999999</c:v>
                </c:pt>
                <c:pt idx="263">
                  <c:v>9.3047000000000004</c:v>
                </c:pt>
                <c:pt idx="264">
                  <c:v>-15.1122</c:v>
                </c:pt>
                <c:pt idx="265">
                  <c:v>21.814800000000002</c:v>
                </c:pt>
                <c:pt idx="266">
                  <c:v>-13.4201</c:v>
                </c:pt>
                <c:pt idx="267">
                  <c:v>-13.5756</c:v>
                </c:pt>
                <c:pt idx="268">
                  <c:v>-8.5401000000000007</c:v>
                </c:pt>
                <c:pt idx="269">
                  <c:v>34.1584</c:v>
                </c:pt>
                <c:pt idx="270">
                  <c:v>2.4914000000000001</c:v>
                </c:pt>
                <c:pt idx="271">
                  <c:v>11.5129</c:v>
                </c:pt>
                <c:pt idx="272">
                  <c:v>-11.293699999999999</c:v>
                </c:pt>
                <c:pt idx="273">
                  <c:v>51.8705</c:v>
                </c:pt>
                <c:pt idx="274">
                  <c:v>-11.3604</c:v>
                </c:pt>
                <c:pt idx="275">
                  <c:v>-14.8994</c:v>
                </c:pt>
                <c:pt idx="276">
                  <c:v>11.955</c:v>
                </c:pt>
                <c:pt idx="277">
                  <c:v>-6.4626999999999999</c:v>
                </c:pt>
                <c:pt idx="278">
                  <c:v>-0.64670000000000005</c:v>
                </c:pt>
                <c:pt idx="279">
                  <c:v>-11.691000000000001</c:v>
                </c:pt>
                <c:pt idx="280">
                  <c:v>-12.202500000000001</c:v>
                </c:pt>
                <c:pt idx="281">
                  <c:v>59.237200000000001</c:v>
                </c:pt>
                <c:pt idx="282">
                  <c:v>48.655099999999997</c:v>
                </c:pt>
                <c:pt idx="283">
                  <c:v>-15.6015</c:v>
                </c:pt>
                <c:pt idx="284">
                  <c:v>-8.9506999999999994</c:v>
                </c:pt>
                <c:pt idx="285">
                  <c:v>-2.7641</c:v>
                </c:pt>
                <c:pt idx="286">
                  <c:v>-20.727399999999999</c:v>
                </c:pt>
                <c:pt idx="287">
                  <c:v>-5.7103000000000002</c:v>
                </c:pt>
                <c:pt idx="288">
                  <c:v>12.714499999999999</c:v>
                </c:pt>
                <c:pt idx="289">
                  <c:v>-11.725199999999999</c:v>
                </c:pt>
                <c:pt idx="290">
                  <c:v>-13.109500000000001</c:v>
                </c:pt>
                <c:pt idx="291">
                  <c:v>-14.088800000000001</c:v>
                </c:pt>
                <c:pt idx="292">
                  <c:v>-9.3262</c:v>
                </c:pt>
                <c:pt idx="293">
                  <c:v>26.534300000000002</c:v>
                </c:pt>
                <c:pt idx="294">
                  <c:v>-14.634499999999999</c:v>
                </c:pt>
                <c:pt idx="295">
                  <c:v>-8.7467000000000006</c:v>
                </c:pt>
                <c:pt idx="296">
                  <c:v>3.8243999999999998</c:v>
                </c:pt>
                <c:pt idx="297">
                  <c:v>-11.750299999999999</c:v>
                </c:pt>
                <c:pt idx="298">
                  <c:v>-13.7043</c:v>
                </c:pt>
                <c:pt idx="299">
                  <c:v>18.8201</c:v>
                </c:pt>
                <c:pt idx="300">
                  <c:v>28.0107</c:v>
                </c:pt>
                <c:pt idx="301">
                  <c:v>43.101599999999998</c:v>
                </c:pt>
                <c:pt idx="302">
                  <c:v>46.288800000000002</c:v>
                </c:pt>
                <c:pt idx="303">
                  <c:v>51.8977</c:v>
                </c:pt>
                <c:pt idx="304">
                  <c:v>27.351500000000001</c:v>
                </c:pt>
                <c:pt idx="305">
                  <c:v>3.6002000000000001</c:v>
                </c:pt>
                <c:pt idx="306">
                  <c:v>-9.9825999999999997</c:v>
                </c:pt>
                <c:pt idx="307">
                  <c:v>-13.0914</c:v>
                </c:pt>
                <c:pt idx="308">
                  <c:v>8.0311000000000003</c:v>
                </c:pt>
                <c:pt idx="309">
                  <c:v>12.267300000000001</c:v>
                </c:pt>
                <c:pt idx="310">
                  <c:v>-14.9038</c:v>
                </c:pt>
                <c:pt idx="311">
                  <c:v>-15.8353</c:v>
                </c:pt>
                <c:pt idx="312">
                  <c:v>-4.0865999999999998</c:v>
                </c:pt>
                <c:pt idx="313">
                  <c:v>-12.6737</c:v>
                </c:pt>
                <c:pt idx="314">
                  <c:v>-14.5099</c:v>
                </c:pt>
                <c:pt idx="315">
                  <c:v>28.4087</c:v>
                </c:pt>
                <c:pt idx="316">
                  <c:v>-3.8946000000000001</c:v>
                </c:pt>
                <c:pt idx="317">
                  <c:v>-16.234000000000002</c:v>
                </c:pt>
                <c:pt idx="318">
                  <c:v>29.2209</c:v>
                </c:pt>
                <c:pt idx="319">
                  <c:v>-6.6673</c:v>
                </c:pt>
                <c:pt idx="320">
                  <c:v>5.2081999999999997</c:v>
                </c:pt>
                <c:pt idx="321">
                  <c:v>9.2345000000000006</c:v>
                </c:pt>
                <c:pt idx="322">
                  <c:v>-3.0070999999999999</c:v>
                </c:pt>
                <c:pt idx="323">
                  <c:v>-13.2303</c:v>
                </c:pt>
                <c:pt idx="324">
                  <c:v>-8.5516000000000005</c:v>
                </c:pt>
                <c:pt idx="325">
                  <c:v>-19.385899999999999</c:v>
                </c:pt>
                <c:pt idx="326">
                  <c:v>-11.203200000000001</c:v>
                </c:pt>
                <c:pt idx="327">
                  <c:v>-14.3866</c:v>
                </c:pt>
                <c:pt idx="328">
                  <c:v>-12.9193</c:v>
                </c:pt>
                <c:pt idx="329">
                  <c:v>-7.4120999999999997</c:v>
                </c:pt>
                <c:pt idx="330">
                  <c:v>47.962000000000003</c:v>
                </c:pt>
                <c:pt idx="331">
                  <c:v>-14.541700000000001</c:v>
                </c:pt>
                <c:pt idx="332">
                  <c:v>10.158899999999999</c:v>
                </c:pt>
                <c:pt idx="333">
                  <c:v>-14.971399999999999</c:v>
                </c:pt>
                <c:pt idx="334">
                  <c:v>-10.254099999999999</c:v>
                </c:pt>
                <c:pt idx="335">
                  <c:v>-14.4138</c:v>
                </c:pt>
                <c:pt idx="336">
                  <c:v>-14.7159</c:v>
                </c:pt>
                <c:pt idx="337">
                  <c:v>-6.3825000000000003</c:v>
                </c:pt>
                <c:pt idx="338">
                  <c:v>-12.9063</c:v>
                </c:pt>
                <c:pt idx="339">
                  <c:v>64.739000000000004</c:v>
                </c:pt>
                <c:pt idx="340">
                  <c:v>1.7895000000000001</c:v>
                </c:pt>
                <c:pt idx="341">
                  <c:v>40.124899999999997</c:v>
                </c:pt>
                <c:pt idx="342">
                  <c:v>-18.5655</c:v>
                </c:pt>
                <c:pt idx="343">
                  <c:v>-13.1927</c:v>
                </c:pt>
                <c:pt idx="344">
                  <c:v>17.305800000000001</c:v>
                </c:pt>
                <c:pt idx="345">
                  <c:v>-11.8004</c:v>
                </c:pt>
                <c:pt idx="346">
                  <c:v>-12.0717</c:v>
                </c:pt>
                <c:pt idx="347">
                  <c:v>18.453399999999998</c:v>
                </c:pt>
                <c:pt idx="348">
                  <c:v>-12.826000000000001</c:v>
                </c:pt>
                <c:pt idx="349">
                  <c:v>-8.1213999999999995</c:v>
                </c:pt>
                <c:pt idx="350">
                  <c:v>-16.269500000000001</c:v>
                </c:pt>
                <c:pt idx="351">
                  <c:v>-5.7145000000000001</c:v>
                </c:pt>
                <c:pt idx="352">
                  <c:v>-15.7247</c:v>
                </c:pt>
                <c:pt idx="353">
                  <c:v>9.8955000000000002</c:v>
                </c:pt>
                <c:pt idx="354">
                  <c:v>-13.6684</c:v>
                </c:pt>
                <c:pt idx="355">
                  <c:v>1.0194000000000001</c:v>
                </c:pt>
                <c:pt idx="356">
                  <c:v>27.931999999999999</c:v>
                </c:pt>
                <c:pt idx="357">
                  <c:v>-13.344099999999999</c:v>
                </c:pt>
                <c:pt idx="358">
                  <c:v>-14.201000000000001</c:v>
                </c:pt>
                <c:pt idx="359">
                  <c:v>6.7335000000000003</c:v>
                </c:pt>
                <c:pt idx="360">
                  <c:v>-5.8811</c:v>
                </c:pt>
                <c:pt idx="361">
                  <c:v>14.2536</c:v>
                </c:pt>
                <c:pt idx="362">
                  <c:v>-14.781700000000001</c:v>
                </c:pt>
                <c:pt idx="363">
                  <c:v>42.487099999999998</c:v>
                </c:pt>
                <c:pt idx="364">
                  <c:v>-1.5385</c:v>
                </c:pt>
                <c:pt idx="365">
                  <c:v>4.2770999999999999</c:v>
                </c:pt>
                <c:pt idx="366">
                  <c:v>-13.710699999999999</c:v>
                </c:pt>
                <c:pt idx="367">
                  <c:v>-5.9105999999999996</c:v>
                </c:pt>
                <c:pt idx="368">
                  <c:v>-13.5138</c:v>
                </c:pt>
                <c:pt idx="369">
                  <c:v>-13.545999999999999</c:v>
                </c:pt>
                <c:pt idx="370">
                  <c:v>67.086600000000004</c:v>
                </c:pt>
                <c:pt idx="371">
                  <c:v>-14.39</c:v>
                </c:pt>
                <c:pt idx="372">
                  <c:v>-9.2849000000000004</c:v>
                </c:pt>
                <c:pt idx="373">
                  <c:v>-14.848599999999999</c:v>
                </c:pt>
                <c:pt idx="374">
                  <c:v>-9.2782</c:v>
                </c:pt>
                <c:pt idx="375">
                  <c:v>-15.356</c:v>
                </c:pt>
                <c:pt idx="376">
                  <c:v>8.3161000000000005</c:v>
                </c:pt>
                <c:pt idx="377">
                  <c:v>-7.6368</c:v>
                </c:pt>
                <c:pt idx="378">
                  <c:v>-10.7462</c:v>
                </c:pt>
                <c:pt idx="379">
                  <c:v>-3.7534999999999998</c:v>
                </c:pt>
                <c:pt idx="380">
                  <c:v>-13.8432</c:v>
                </c:pt>
                <c:pt idx="381">
                  <c:v>-12.013999999999999</c:v>
                </c:pt>
                <c:pt idx="382">
                  <c:v>-14.5677</c:v>
                </c:pt>
                <c:pt idx="383">
                  <c:v>12.4809</c:v>
                </c:pt>
                <c:pt idx="384">
                  <c:v>-3.7966000000000002</c:v>
                </c:pt>
                <c:pt idx="385">
                  <c:v>-1.9593</c:v>
                </c:pt>
                <c:pt idx="386">
                  <c:v>-12.6622</c:v>
                </c:pt>
                <c:pt idx="387">
                  <c:v>-2.5552999999999999</c:v>
                </c:pt>
                <c:pt idx="388">
                  <c:v>-12.956099999999999</c:v>
                </c:pt>
                <c:pt idx="389">
                  <c:v>-16.3611</c:v>
                </c:pt>
                <c:pt idx="390">
                  <c:v>13.6287</c:v>
                </c:pt>
                <c:pt idx="391">
                  <c:v>12.3285</c:v>
                </c:pt>
                <c:pt idx="392">
                  <c:v>14.5411</c:v>
                </c:pt>
                <c:pt idx="393">
                  <c:v>15.6571</c:v>
                </c:pt>
                <c:pt idx="394">
                  <c:v>0.33329999999999999</c:v>
                </c:pt>
                <c:pt idx="395">
                  <c:v>28.587</c:v>
                </c:pt>
                <c:pt idx="396">
                  <c:v>33.390900000000002</c:v>
                </c:pt>
                <c:pt idx="397">
                  <c:v>-14.4459</c:v>
                </c:pt>
                <c:pt idx="398">
                  <c:v>-14.604900000000001</c:v>
                </c:pt>
                <c:pt idx="399">
                  <c:v>-14.375999999999999</c:v>
                </c:pt>
                <c:pt idx="400">
                  <c:v>60.686199999999999</c:v>
                </c:pt>
                <c:pt idx="401">
                  <c:v>-11.683</c:v>
                </c:pt>
                <c:pt idx="402">
                  <c:v>-12.2973</c:v>
                </c:pt>
                <c:pt idx="403">
                  <c:v>-13.8142</c:v>
                </c:pt>
                <c:pt idx="404">
                  <c:v>27.5261</c:v>
                </c:pt>
                <c:pt idx="405">
                  <c:v>5.0910000000000002</c:v>
                </c:pt>
                <c:pt idx="406">
                  <c:v>-6.4587000000000003</c:v>
                </c:pt>
                <c:pt idx="407">
                  <c:v>-5.4371999999999998</c:v>
                </c:pt>
                <c:pt idx="408">
                  <c:v>-13.206300000000001</c:v>
                </c:pt>
                <c:pt idx="409">
                  <c:v>-11.007400000000001</c:v>
                </c:pt>
                <c:pt idx="410">
                  <c:v>-1.73</c:v>
                </c:pt>
                <c:pt idx="411">
                  <c:v>-2.2479</c:v>
                </c:pt>
                <c:pt idx="412">
                  <c:v>-16.087</c:v>
                </c:pt>
                <c:pt idx="413">
                  <c:v>-15.8203</c:v>
                </c:pt>
                <c:pt idx="414">
                  <c:v>-22.721900000000002</c:v>
                </c:pt>
                <c:pt idx="415">
                  <c:v>-12.009399999999999</c:v>
                </c:pt>
                <c:pt idx="416">
                  <c:v>-9.1997</c:v>
                </c:pt>
                <c:pt idx="417">
                  <c:v>6.7041000000000004</c:v>
                </c:pt>
                <c:pt idx="418">
                  <c:v>23.366900000000001</c:v>
                </c:pt>
                <c:pt idx="419">
                  <c:v>-15.3249</c:v>
                </c:pt>
                <c:pt idx="420">
                  <c:v>-17.108899999999998</c:v>
                </c:pt>
                <c:pt idx="421">
                  <c:v>-12.5479</c:v>
                </c:pt>
                <c:pt idx="422">
                  <c:v>1.0959000000000001</c:v>
                </c:pt>
                <c:pt idx="423">
                  <c:v>-15.997299999999999</c:v>
                </c:pt>
                <c:pt idx="424">
                  <c:v>-0.12670000000000001</c:v>
                </c:pt>
                <c:pt idx="425">
                  <c:v>24.472899999999999</c:v>
                </c:pt>
                <c:pt idx="426">
                  <c:v>4.3213999999999997</c:v>
                </c:pt>
                <c:pt idx="427">
                  <c:v>-6.6173000000000002</c:v>
                </c:pt>
                <c:pt idx="428">
                  <c:v>-3.258</c:v>
                </c:pt>
                <c:pt idx="429">
                  <c:v>9.4326000000000008</c:v>
                </c:pt>
                <c:pt idx="430">
                  <c:v>-9.9047999999999998</c:v>
                </c:pt>
                <c:pt idx="431">
                  <c:v>-16.7986</c:v>
                </c:pt>
                <c:pt idx="432">
                  <c:v>-7.4884000000000004</c:v>
                </c:pt>
                <c:pt idx="433">
                  <c:v>-11.1792</c:v>
                </c:pt>
                <c:pt idx="434">
                  <c:v>-16.096800000000002</c:v>
                </c:pt>
                <c:pt idx="435">
                  <c:v>30.647600000000001</c:v>
                </c:pt>
                <c:pt idx="436">
                  <c:v>-11.900399999999999</c:v>
                </c:pt>
                <c:pt idx="437">
                  <c:v>-0.5988</c:v>
                </c:pt>
                <c:pt idx="438">
                  <c:v>-13.308299999999999</c:v>
                </c:pt>
                <c:pt idx="439">
                  <c:v>-17.3109</c:v>
                </c:pt>
                <c:pt idx="440">
                  <c:v>11.5059</c:v>
                </c:pt>
                <c:pt idx="441">
                  <c:v>-13.198600000000001</c:v>
                </c:pt>
                <c:pt idx="442">
                  <c:v>52.195900000000002</c:v>
                </c:pt>
                <c:pt idx="443">
                  <c:v>-3.5097999999999998</c:v>
                </c:pt>
                <c:pt idx="444">
                  <c:v>-14.8391</c:v>
                </c:pt>
                <c:pt idx="445">
                  <c:v>-18.192900000000002</c:v>
                </c:pt>
                <c:pt idx="446">
                  <c:v>17.732399999999998</c:v>
                </c:pt>
                <c:pt idx="447">
                  <c:v>48.058100000000003</c:v>
                </c:pt>
                <c:pt idx="448">
                  <c:v>-5.0953999999999997</c:v>
                </c:pt>
                <c:pt idx="449">
                  <c:v>0.57169999999999999</c:v>
                </c:pt>
                <c:pt idx="450">
                  <c:v>-14.782299999999999</c:v>
                </c:pt>
                <c:pt idx="451">
                  <c:v>-13.227600000000001</c:v>
                </c:pt>
                <c:pt idx="452">
                  <c:v>-17.572700000000001</c:v>
                </c:pt>
                <c:pt idx="453">
                  <c:v>29.353899999999999</c:v>
                </c:pt>
                <c:pt idx="454">
                  <c:v>-15.444100000000001</c:v>
                </c:pt>
                <c:pt idx="455">
                  <c:v>-9.31</c:v>
                </c:pt>
                <c:pt idx="456">
                  <c:v>-12.9497</c:v>
                </c:pt>
                <c:pt idx="457">
                  <c:v>-15.264799999999999</c:v>
                </c:pt>
                <c:pt idx="458">
                  <c:v>-13.732699999999999</c:v>
                </c:pt>
                <c:pt idx="459">
                  <c:v>25.0441</c:v>
                </c:pt>
                <c:pt idx="460">
                  <c:v>-15.037100000000001</c:v>
                </c:pt>
                <c:pt idx="461">
                  <c:v>-15.482799999999999</c:v>
                </c:pt>
                <c:pt idx="462">
                  <c:v>-15.585800000000001</c:v>
                </c:pt>
                <c:pt idx="463">
                  <c:v>-8.6982999999999997</c:v>
                </c:pt>
                <c:pt idx="464">
                  <c:v>-11.895300000000001</c:v>
                </c:pt>
                <c:pt idx="465">
                  <c:v>32.341299999999997</c:v>
                </c:pt>
                <c:pt idx="466">
                  <c:v>12.151899999999999</c:v>
                </c:pt>
                <c:pt idx="467">
                  <c:v>11.026</c:v>
                </c:pt>
                <c:pt idx="468">
                  <c:v>-15.7897</c:v>
                </c:pt>
                <c:pt idx="469">
                  <c:v>3.0034999999999998</c:v>
                </c:pt>
                <c:pt idx="470">
                  <c:v>18.8688</c:v>
                </c:pt>
                <c:pt idx="471">
                  <c:v>33.294899999999998</c:v>
                </c:pt>
                <c:pt idx="472">
                  <c:v>-0.218</c:v>
                </c:pt>
                <c:pt idx="473">
                  <c:v>-13.3706</c:v>
                </c:pt>
                <c:pt idx="474">
                  <c:v>-5.8044000000000002</c:v>
                </c:pt>
                <c:pt idx="475">
                  <c:v>-14.3805</c:v>
                </c:pt>
                <c:pt idx="476">
                  <c:v>26.999099999999999</c:v>
                </c:pt>
                <c:pt idx="477">
                  <c:v>28.460599999999999</c:v>
                </c:pt>
                <c:pt idx="478">
                  <c:v>-13.277900000000001</c:v>
                </c:pt>
                <c:pt idx="479">
                  <c:v>-10.5901</c:v>
                </c:pt>
                <c:pt idx="480">
                  <c:v>42.305</c:v>
                </c:pt>
                <c:pt idx="481">
                  <c:v>8.7352000000000007</c:v>
                </c:pt>
                <c:pt idx="482">
                  <c:v>-13.0152</c:v>
                </c:pt>
                <c:pt idx="483">
                  <c:v>10.0009</c:v>
                </c:pt>
                <c:pt idx="484">
                  <c:v>-13.287699999999999</c:v>
                </c:pt>
                <c:pt idx="485">
                  <c:v>21.981400000000001</c:v>
                </c:pt>
                <c:pt idx="486">
                  <c:v>5.9477000000000002</c:v>
                </c:pt>
                <c:pt idx="487">
                  <c:v>9.5578000000000003</c:v>
                </c:pt>
                <c:pt idx="488">
                  <c:v>-8.4344000000000001</c:v>
                </c:pt>
                <c:pt idx="489">
                  <c:v>-12.6564</c:v>
                </c:pt>
                <c:pt idx="490">
                  <c:v>26.6372</c:v>
                </c:pt>
                <c:pt idx="491">
                  <c:v>-5.4470999999999998</c:v>
                </c:pt>
                <c:pt idx="492">
                  <c:v>-14.0671</c:v>
                </c:pt>
                <c:pt idx="493">
                  <c:v>36.199399999999997</c:v>
                </c:pt>
                <c:pt idx="494">
                  <c:v>-14.9739</c:v>
                </c:pt>
                <c:pt idx="495">
                  <c:v>-14.192</c:v>
                </c:pt>
                <c:pt idx="496">
                  <c:v>-14.768599999999999</c:v>
                </c:pt>
                <c:pt idx="497">
                  <c:v>-12.326599999999999</c:v>
                </c:pt>
                <c:pt idx="498">
                  <c:v>-0.97950000000000004</c:v>
                </c:pt>
                <c:pt idx="499">
                  <c:v>-15.6457</c:v>
                </c:pt>
                <c:pt idx="500">
                  <c:v>-11.7318</c:v>
                </c:pt>
                <c:pt idx="501">
                  <c:v>9.0816999999999997</c:v>
                </c:pt>
                <c:pt idx="502">
                  <c:v>-11.386900000000001</c:v>
                </c:pt>
                <c:pt idx="503">
                  <c:v>-12.6556</c:v>
                </c:pt>
                <c:pt idx="504">
                  <c:v>-13.557600000000001</c:v>
                </c:pt>
                <c:pt idx="505">
                  <c:v>42.047699999999999</c:v>
                </c:pt>
                <c:pt idx="506">
                  <c:v>-12.453099999999999</c:v>
                </c:pt>
                <c:pt idx="507">
                  <c:v>-13.5244</c:v>
                </c:pt>
                <c:pt idx="508">
                  <c:v>-12.7768</c:v>
                </c:pt>
                <c:pt idx="509">
                  <c:v>17.583300000000001</c:v>
                </c:pt>
                <c:pt idx="510">
                  <c:v>-14.5716</c:v>
                </c:pt>
                <c:pt idx="511">
                  <c:v>17.265499999999999</c:v>
                </c:pt>
                <c:pt idx="512">
                  <c:v>-11.4488</c:v>
                </c:pt>
                <c:pt idx="513">
                  <c:v>-14.8134</c:v>
                </c:pt>
                <c:pt idx="514">
                  <c:v>-15.6534</c:v>
                </c:pt>
                <c:pt idx="515">
                  <c:v>-7.3555999999999999</c:v>
                </c:pt>
                <c:pt idx="516">
                  <c:v>-0.7429</c:v>
                </c:pt>
                <c:pt idx="517">
                  <c:v>-10.0014</c:v>
                </c:pt>
                <c:pt idx="518">
                  <c:v>11.0403</c:v>
                </c:pt>
                <c:pt idx="519">
                  <c:v>-17.3292</c:v>
                </c:pt>
                <c:pt idx="520">
                  <c:v>-7.0025000000000004</c:v>
                </c:pt>
                <c:pt idx="521">
                  <c:v>2.0160999999999998</c:v>
                </c:pt>
                <c:pt idx="522">
                  <c:v>-10.732900000000001</c:v>
                </c:pt>
                <c:pt idx="523">
                  <c:v>-10.6509</c:v>
                </c:pt>
                <c:pt idx="524">
                  <c:v>-13.985300000000001</c:v>
                </c:pt>
                <c:pt idx="525">
                  <c:v>16.447199999999999</c:v>
                </c:pt>
                <c:pt idx="526">
                  <c:v>-14.8896</c:v>
                </c:pt>
                <c:pt idx="527">
                  <c:v>-13.2378</c:v>
                </c:pt>
                <c:pt idx="528">
                  <c:v>-4.7613000000000003</c:v>
                </c:pt>
                <c:pt idx="529">
                  <c:v>-9.5066000000000006</c:v>
                </c:pt>
                <c:pt idx="530">
                  <c:v>-16.811</c:v>
                </c:pt>
                <c:pt idx="531">
                  <c:v>-15.2667</c:v>
                </c:pt>
                <c:pt idx="532">
                  <c:v>-11.3104</c:v>
                </c:pt>
                <c:pt idx="533">
                  <c:v>28.484400000000001</c:v>
                </c:pt>
                <c:pt idx="534">
                  <c:v>-15.078200000000001</c:v>
                </c:pt>
                <c:pt idx="535">
                  <c:v>18.120200000000001</c:v>
                </c:pt>
                <c:pt idx="536">
                  <c:v>35.356499999999997</c:v>
                </c:pt>
                <c:pt idx="537">
                  <c:v>3.0358999999999998</c:v>
                </c:pt>
                <c:pt idx="538">
                  <c:v>44.163600000000002</c:v>
                </c:pt>
                <c:pt idx="539">
                  <c:v>-12.957100000000001</c:v>
                </c:pt>
                <c:pt idx="540">
                  <c:v>6.5072000000000001</c:v>
                </c:pt>
                <c:pt idx="541">
                  <c:v>50.771700000000003</c:v>
                </c:pt>
                <c:pt idx="542">
                  <c:v>-2.7416999999999998</c:v>
                </c:pt>
                <c:pt idx="543">
                  <c:v>-14.008900000000001</c:v>
                </c:pt>
                <c:pt idx="544">
                  <c:v>-15.543200000000001</c:v>
                </c:pt>
                <c:pt idx="545">
                  <c:v>-0.77600000000000002</c:v>
                </c:pt>
                <c:pt idx="546">
                  <c:v>-14.1905</c:v>
                </c:pt>
                <c:pt idx="547">
                  <c:v>12.5358</c:v>
                </c:pt>
                <c:pt idx="548">
                  <c:v>-16.146000000000001</c:v>
                </c:pt>
                <c:pt idx="549">
                  <c:v>-8.6159999999999997</c:v>
                </c:pt>
                <c:pt idx="550">
                  <c:v>-14.742900000000001</c:v>
                </c:pt>
                <c:pt idx="551">
                  <c:v>-2.0478999999999998</c:v>
                </c:pt>
                <c:pt idx="552">
                  <c:v>-20.029299999999999</c:v>
                </c:pt>
                <c:pt idx="553">
                  <c:v>26.563099999999999</c:v>
                </c:pt>
                <c:pt idx="554">
                  <c:v>-14.6181</c:v>
                </c:pt>
                <c:pt idx="555">
                  <c:v>17.8248</c:v>
                </c:pt>
                <c:pt idx="556">
                  <c:v>8.3031000000000006</c:v>
                </c:pt>
                <c:pt idx="557">
                  <c:v>-13.600099999999999</c:v>
                </c:pt>
                <c:pt idx="558">
                  <c:v>-8.2388999999999992</c:v>
                </c:pt>
                <c:pt idx="559">
                  <c:v>67.294799999999995</c:v>
                </c:pt>
                <c:pt idx="560">
                  <c:v>-14.244</c:v>
                </c:pt>
                <c:pt idx="561">
                  <c:v>3.7915000000000001</c:v>
                </c:pt>
                <c:pt idx="562">
                  <c:v>-15.0449</c:v>
                </c:pt>
                <c:pt idx="563">
                  <c:v>-12.151199999999999</c:v>
                </c:pt>
                <c:pt idx="564">
                  <c:v>-10.8621</c:v>
                </c:pt>
                <c:pt idx="565">
                  <c:v>22.773800000000001</c:v>
                </c:pt>
                <c:pt idx="566">
                  <c:v>-13.948499999999999</c:v>
                </c:pt>
                <c:pt idx="567">
                  <c:v>-16.157</c:v>
                </c:pt>
                <c:pt idx="568">
                  <c:v>-10.752700000000001</c:v>
                </c:pt>
                <c:pt idx="569">
                  <c:v>-12.5421</c:v>
                </c:pt>
                <c:pt idx="570">
                  <c:v>-10.8079</c:v>
                </c:pt>
                <c:pt idx="571">
                  <c:v>0.13950000000000001</c:v>
                </c:pt>
                <c:pt idx="572">
                  <c:v>45.6751</c:v>
                </c:pt>
                <c:pt idx="573">
                  <c:v>-7.9954999999999998</c:v>
                </c:pt>
                <c:pt idx="574">
                  <c:v>-12.167199999999999</c:v>
                </c:pt>
                <c:pt idx="575">
                  <c:v>-0.49309999999999998</c:v>
                </c:pt>
                <c:pt idx="576">
                  <c:v>-14.5916</c:v>
                </c:pt>
                <c:pt idx="577">
                  <c:v>-13.495100000000001</c:v>
                </c:pt>
                <c:pt idx="578">
                  <c:v>-14.7</c:v>
                </c:pt>
                <c:pt idx="579">
                  <c:v>-14.172800000000001</c:v>
                </c:pt>
                <c:pt idx="580">
                  <c:v>37.878399999999999</c:v>
                </c:pt>
                <c:pt idx="581">
                  <c:v>-13.9612</c:v>
                </c:pt>
                <c:pt idx="582">
                  <c:v>-13.029500000000001</c:v>
                </c:pt>
                <c:pt idx="583">
                  <c:v>-16.3064</c:v>
                </c:pt>
                <c:pt idx="584">
                  <c:v>38.326999999999998</c:v>
                </c:pt>
                <c:pt idx="585">
                  <c:v>57.720399999999998</c:v>
                </c:pt>
                <c:pt idx="586">
                  <c:v>-10.4658</c:v>
                </c:pt>
                <c:pt idx="587">
                  <c:v>6.1021000000000001</c:v>
                </c:pt>
                <c:pt idx="588">
                  <c:v>19.882200000000001</c:v>
                </c:pt>
                <c:pt idx="589">
                  <c:v>-13.4739</c:v>
                </c:pt>
                <c:pt idx="590">
                  <c:v>-13.958399999999999</c:v>
                </c:pt>
                <c:pt idx="591">
                  <c:v>13.3635</c:v>
                </c:pt>
                <c:pt idx="592">
                  <c:v>-14.5526</c:v>
                </c:pt>
                <c:pt idx="593">
                  <c:v>-10.423299999999999</c:v>
                </c:pt>
                <c:pt idx="594">
                  <c:v>-13.053599999999999</c:v>
                </c:pt>
                <c:pt idx="595">
                  <c:v>-3.0034999999999998</c:v>
                </c:pt>
                <c:pt idx="596">
                  <c:v>-14.5379</c:v>
                </c:pt>
                <c:pt idx="597">
                  <c:v>-1.7154</c:v>
                </c:pt>
                <c:pt idx="598">
                  <c:v>-9.9635999999999996</c:v>
                </c:pt>
                <c:pt idx="599">
                  <c:v>-11.941800000000001</c:v>
                </c:pt>
                <c:pt idx="600">
                  <c:v>6.6863000000000001</c:v>
                </c:pt>
                <c:pt idx="601">
                  <c:v>4.2923</c:v>
                </c:pt>
                <c:pt idx="602">
                  <c:v>-14.4321</c:v>
                </c:pt>
                <c:pt idx="603">
                  <c:v>93.557500000000005</c:v>
                </c:pt>
                <c:pt idx="604">
                  <c:v>13.965</c:v>
                </c:pt>
                <c:pt idx="605">
                  <c:v>-13.4262</c:v>
                </c:pt>
                <c:pt idx="606">
                  <c:v>41.521999999999998</c:v>
                </c:pt>
                <c:pt idx="607">
                  <c:v>27.515000000000001</c:v>
                </c:pt>
                <c:pt idx="608">
                  <c:v>-13.787599999999999</c:v>
                </c:pt>
                <c:pt idx="609">
                  <c:v>29.441500000000001</c:v>
                </c:pt>
                <c:pt idx="610">
                  <c:v>49.8812</c:v>
                </c:pt>
                <c:pt idx="611">
                  <c:v>-15.121499999999999</c:v>
                </c:pt>
                <c:pt idx="612">
                  <c:v>-13.4682</c:v>
                </c:pt>
                <c:pt idx="613">
                  <c:v>12.368</c:v>
                </c:pt>
                <c:pt idx="614">
                  <c:v>-12.978400000000001</c:v>
                </c:pt>
                <c:pt idx="615">
                  <c:v>-14.6128</c:v>
                </c:pt>
                <c:pt idx="616">
                  <c:v>-18.379300000000001</c:v>
                </c:pt>
                <c:pt idx="617">
                  <c:v>-14.3233</c:v>
                </c:pt>
                <c:pt idx="618">
                  <c:v>-14.5593</c:v>
                </c:pt>
                <c:pt idx="619">
                  <c:v>-10.7044</c:v>
                </c:pt>
                <c:pt idx="620">
                  <c:v>16.9877</c:v>
                </c:pt>
                <c:pt idx="621">
                  <c:v>-0.57320000000000004</c:v>
                </c:pt>
                <c:pt idx="622">
                  <c:v>-14.0122</c:v>
                </c:pt>
                <c:pt idx="623">
                  <c:v>-12.6495</c:v>
                </c:pt>
                <c:pt idx="624">
                  <c:v>-11.8909</c:v>
                </c:pt>
                <c:pt idx="625">
                  <c:v>-17.570499999999999</c:v>
                </c:pt>
                <c:pt idx="626">
                  <c:v>-10.0871</c:v>
                </c:pt>
                <c:pt idx="627">
                  <c:v>-12.984</c:v>
                </c:pt>
                <c:pt idx="628">
                  <c:v>12.941700000000001</c:v>
                </c:pt>
                <c:pt idx="629">
                  <c:v>-12.5038</c:v>
                </c:pt>
                <c:pt idx="630">
                  <c:v>-16.530999999999999</c:v>
                </c:pt>
                <c:pt idx="631">
                  <c:v>15.873200000000001</c:v>
                </c:pt>
                <c:pt idx="632">
                  <c:v>-14.966100000000001</c:v>
                </c:pt>
                <c:pt idx="633">
                  <c:v>-16.210799999999999</c:v>
                </c:pt>
                <c:pt idx="634">
                  <c:v>24.494800000000001</c:v>
                </c:pt>
                <c:pt idx="635">
                  <c:v>50.6006</c:v>
                </c:pt>
                <c:pt idx="636">
                  <c:v>-12.1043</c:v>
                </c:pt>
                <c:pt idx="637">
                  <c:v>-10.795400000000001</c:v>
                </c:pt>
                <c:pt idx="638">
                  <c:v>-17.084499999999998</c:v>
                </c:pt>
                <c:pt idx="639">
                  <c:v>-0.63580000000000003</c:v>
                </c:pt>
                <c:pt idx="640">
                  <c:v>-5.2443999999999997</c:v>
                </c:pt>
                <c:pt idx="641">
                  <c:v>-0.93779999999999997</c:v>
                </c:pt>
                <c:pt idx="642">
                  <c:v>-12.4697</c:v>
                </c:pt>
                <c:pt idx="643">
                  <c:v>-12.838100000000001</c:v>
                </c:pt>
                <c:pt idx="644">
                  <c:v>40.7652</c:v>
                </c:pt>
                <c:pt idx="645">
                  <c:v>-6.7220000000000004</c:v>
                </c:pt>
                <c:pt idx="646">
                  <c:v>-11.1464</c:v>
                </c:pt>
                <c:pt idx="647">
                  <c:v>-14.8078</c:v>
                </c:pt>
                <c:pt idx="648">
                  <c:v>15.3687</c:v>
                </c:pt>
                <c:pt idx="649">
                  <c:v>-12.5059</c:v>
                </c:pt>
                <c:pt idx="650">
                  <c:v>3.2884000000000002</c:v>
                </c:pt>
                <c:pt idx="651">
                  <c:v>1.6583000000000001</c:v>
                </c:pt>
                <c:pt idx="652">
                  <c:v>-10.1694</c:v>
                </c:pt>
                <c:pt idx="653">
                  <c:v>-14.5556</c:v>
                </c:pt>
                <c:pt idx="654">
                  <c:v>-0.44209999999999999</c:v>
                </c:pt>
                <c:pt idx="655">
                  <c:v>-15.4003</c:v>
                </c:pt>
                <c:pt idx="656">
                  <c:v>-15.184100000000001</c:v>
                </c:pt>
                <c:pt idx="657">
                  <c:v>-17.098800000000001</c:v>
                </c:pt>
                <c:pt idx="658">
                  <c:v>7.7397999999999998</c:v>
                </c:pt>
                <c:pt idx="659">
                  <c:v>-11.059699999999999</c:v>
                </c:pt>
                <c:pt idx="660">
                  <c:v>-5.7793999999999999</c:v>
                </c:pt>
                <c:pt idx="661">
                  <c:v>-15.407999999999999</c:v>
                </c:pt>
                <c:pt idx="662">
                  <c:v>-12.996600000000001</c:v>
                </c:pt>
                <c:pt idx="663">
                  <c:v>-11.9765</c:v>
                </c:pt>
                <c:pt idx="664">
                  <c:v>-3.2646000000000002</c:v>
                </c:pt>
                <c:pt idx="665">
                  <c:v>16.771799999999999</c:v>
                </c:pt>
                <c:pt idx="666">
                  <c:v>2.3944000000000001</c:v>
                </c:pt>
                <c:pt idx="667">
                  <c:v>-13.3537</c:v>
                </c:pt>
                <c:pt idx="668">
                  <c:v>-13.765599999999999</c:v>
                </c:pt>
                <c:pt idx="669">
                  <c:v>59.476300000000002</c:v>
                </c:pt>
                <c:pt idx="670">
                  <c:v>1.4518</c:v>
                </c:pt>
                <c:pt idx="671">
                  <c:v>-11.298</c:v>
                </c:pt>
                <c:pt idx="672">
                  <c:v>20.714099999999998</c:v>
                </c:pt>
                <c:pt idx="673">
                  <c:v>6.9741</c:v>
                </c:pt>
                <c:pt idx="674">
                  <c:v>19.083400000000001</c:v>
                </c:pt>
                <c:pt idx="675">
                  <c:v>-14.809100000000001</c:v>
                </c:pt>
                <c:pt idx="676">
                  <c:v>-16.317499999999999</c:v>
                </c:pt>
                <c:pt idx="677">
                  <c:v>21.070599999999999</c:v>
                </c:pt>
                <c:pt idx="678">
                  <c:v>-12.785</c:v>
                </c:pt>
                <c:pt idx="679">
                  <c:v>-13.238899999999999</c:v>
                </c:pt>
                <c:pt idx="680">
                  <c:v>-16.942900000000002</c:v>
                </c:pt>
                <c:pt idx="681">
                  <c:v>-10.828099999999999</c:v>
                </c:pt>
                <c:pt idx="682">
                  <c:v>-11.6623</c:v>
                </c:pt>
                <c:pt idx="683">
                  <c:v>-15.4534</c:v>
                </c:pt>
                <c:pt idx="684">
                  <c:v>66.221599999999995</c:v>
                </c:pt>
                <c:pt idx="685">
                  <c:v>12.8932</c:v>
                </c:pt>
                <c:pt idx="686">
                  <c:v>7.0963000000000003</c:v>
                </c:pt>
                <c:pt idx="687">
                  <c:v>-15.646699999999999</c:v>
                </c:pt>
                <c:pt idx="688">
                  <c:v>-18.468399999999999</c:v>
                </c:pt>
                <c:pt idx="689">
                  <c:v>-14.0214</c:v>
                </c:pt>
                <c:pt idx="690">
                  <c:v>75.436700000000002</c:v>
                </c:pt>
                <c:pt idx="691">
                  <c:v>-14.2342</c:v>
                </c:pt>
                <c:pt idx="692">
                  <c:v>13.3736</c:v>
                </c:pt>
                <c:pt idx="693">
                  <c:v>64.058499999999995</c:v>
                </c:pt>
                <c:pt idx="694">
                  <c:v>-16.486799999999999</c:v>
                </c:pt>
                <c:pt idx="695">
                  <c:v>23.6053</c:v>
                </c:pt>
                <c:pt idx="696">
                  <c:v>15.1919</c:v>
                </c:pt>
                <c:pt idx="697">
                  <c:v>7.64</c:v>
                </c:pt>
                <c:pt idx="698">
                  <c:v>-13.6317</c:v>
                </c:pt>
                <c:pt idx="699">
                  <c:v>-12.650700000000001</c:v>
                </c:pt>
                <c:pt idx="700">
                  <c:v>-15.686999999999999</c:v>
                </c:pt>
                <c:pt idx="701">
                  <c:v>55.561900000000001</c:v>
                </c:pt>
                <c:pt idx="702">
                  <c:v>-13.761699999999999</c:v>
                </c:pt>
                <c:pt idx="703">
                  <c:v>-17.826799999999999</c:v>
                </c:pt>
                <c:pt idx="704">
                  <c:v>-13.782400000000001</c:v>
                </c:pt>
                <c:pt idx="705">
                  <c:v>169.74340000000001</c:v>
                </c:pt>
                <c:pt idx="706">
                  <c:v>10.7056</c:v>
                </c:pt>
                <c:pt idx="707">
                  <c:v>29.627099999999999</c:v>
                </c:pt>
                <c:pt idx="708">
                  <c:v>31.358000000000001</c:v>
                </c:pt>
                <c:pt idx="709">
                  <c:v>-12.1157</c:v>
                </c:pt>
                <c:pt idx="710">
                  <c:v>-2.7092999999999998</c:v>
                </c:pt>
                <c:pt idx="711">
                  <c:v>-12.3086</c:v>
                </c:pt>
                <c:pt idx="712">
                  <c:v>70.228399999999993</c:v>
                </c:pt>
                <c:pt idx="713">
                  <c:v>-17.7837</c:v>
                </c:pt>
                <c:pt idx="714">
                  <c:v>-15.7319</c:v>
                </c:pt>
                <c:pt idx="715">
                  <c:v>-3.4426999999999999</c:v>
                </c:pt>
                <c:pt idx="716">
                  <c:v>-18.940799999999999</c:v>
                </c:pt>
                <c:pt idx="717">
                  <c:v>-15.676299999999999</c:v>
                </c:pt>
                <c:pt idx="718">
                  <c:v>-14.752599999999999</c:v>
                </c:pt>
                <c:pt idx="719">
                  <c:v>-12.168900000000001</c:v>
                </c:pt>
                <c:pt idx="720">
                  <c:v>-9.6516000000000002</c:v>
                </c:pt>
                <c:pt idx="721">
                  <c:v>51.9998</c:v>
                </c:pt>
                <c:pt idx="722">
                  <c:v>2.3395000000000001</c:v>
                </c:pt>
                <c:pt idx="723">
                  <c:v>-14.416600000000001</c:v>
                </c:pt>
                <c:pt idx="724">
                  <c:v>-10.385400000000001</c:v>
                </c:pt>
                <c:pt idx="725">
                  <c:v>-14.6157</c:v>
                </c:pt>
                <c:pt idx="726">
                  <c:v>-15.4316</c:v>
                </c:pt>
                <c:pt idx="727">
                  <c:v>27.592300000000002</c:v>
                </c:pt>
                <c:pt idx="728">
                  <c:v>-11.2432</c:v>
                </c:pt>
                <c:pt idx="729">
                  <c:v>-13.1114</c:v>
                </c:pt>
                <c:pt idx="730">
                  <c:v>-16.6965</c:v>
                </c:pt>
                <c:pt idx="731">
                  <c:v>-14.5776</c:v>
                </c:pt>
                <c:pt idx="732">
                  <c:v>103.4158</c:v>
                </c:pt>
                <c:pt idx="733">
                  <c:v>-15.2468</c:v>
                </c:pt>
                <c:pt idx="734">
                  <c:v>67.013300000000001</c:v>
                </c:pt>
                <c:pt idx="735">
                  <c:v>9.5237999999999996</c:v>
                </c:pt>
                <c:pt idx="736">
                  <c:v>-15.197100000000001</c:v>
                </c:pt>
                <c:pt idx="737">
                  <c:v>-11.979699999999999</c:v>
                </c:pt>
                <c:pt idx="738">
                  <c:v>-3.3513999999999999</c:v>
                </c:pt>
                <c:pt idx="739">
                  <c:v>-8.8246000000000002</c:v>
                </c:pt>
                <c:pt idx="740">
                  <c:v>25.103200000000001</c:v>
                </c:pt>
                <c:pt idx="741">
                  <c:v>-16.242699999999999</c:v>
                </c:pt>
                <c:pt idx="742">
                  <c:v>-11.1576</c:v>
                </c:pt>
                <c:pt idx="743">
                  <c:v>67.373099999999994</c:v>
                </c:pt>
                <c:pt idx="744">
                  <c:v>-13.720700000000001</c:v>
                </c:pt>
                <c:pt idx="745">
                  <c:v>-13.257400000000001</c:v>
                </c:pt>
                <c:pt idx="746">
                  <c:v>2.3654999999999999</c:v>
                </c:pt>
                <c:pt idx="747">
                  <c:v>6.3562000000000003</c:v>
                </c:pt>
                <c:pt idx="748">
                  <c:v>-12.246499999999999</c:v>
                </c:pt>
                <c:pt idx="749">
                  <c:v>-12.445399999999999</c:v>
                </c:pt>
                <c:pt idx="750">
                  <c:v>-8.8171999999999997</c:v>
                </c:pt>
                <c:pt idx="751">
                  <c:v>64.982900000000001</c:v>
                </c:pt>
                <c:pt idx="752">
                  <c:v>36.832099999999997</c:v>
                </c:pt>
                <c:pt idx="753">
                  <c:v>-15.3584</c:v>
                </c:pt>
                <c:pt idx="754">
                  <c:v>19.977499999999999</c:v>
                </c:pt>
                <c:pt idx="755">
                  <c:v>2.9990999999999999</c:v>
                </c:pt>
                <c:pt idx="756">
                  <c:v>-11.9079</c:v>
                </c:pt>
                <c:pt idx="757">
                  <c:v>23.053799999999999</c:v>
                </c:pt>
                <c:pt idx="758">
                  <c:v>39.601500000000001</c:v>
                </c:pt>
                <c:pt idx="759">
                  <c:v>-2.6789000000000001</c:v>
                </c:pt>
                <c:pt idx="760">
                  <c:v>-17.756799999999998</c:v>
                </c:pt>
                <c:pt idx="761">
                  <c:v>34.146700000000003</c:v>
                </c:pt>
                <c:pt idx="762">
                  <c:v>-1.5085</c:v>
                </c:pt>
                <c:pt idx="763">
                  <c:v>-15.265499999999999</c:v>
                </c:pt>
                <c:pt idx="764">
                  <c:v>-16.226299999999998</c:v>
                </c:pt>
                <c:pt idx="765">
                  <c:v>17.238900000000001</c:v>
                </c:pt>
                <c:pt idx="766">
                  <c:v>-14.819599999999999</c:v>
                </c:pt>
                <c:pt idx="767">
                  <c:v>10.562200000000001</c:v>
                </c:pt>
                <c:pt idx="768">
                  <c:v>-17.502300000000002</c:v>
                </c:pt>
                <c:pt idx="769">
                  <c:v>-16.075399999999998</c:v>
                </c:pt>
                <c:pt idx="770">
                  <c:v>24.473800000000001</c:v>
                </c:pt>
                <c:pt idx="771">
                  <c:v>-13.7303</c:v>
                </c:pt>
                <c:pt idx="772">
                  <c:v>77.352000000000004</c:v>
                </c:pt>
                <c:pt idx="773">
                  <c:v>-15.0098</c:v>
                </c:pt>
                <c:pt idx="774">
                  <c:v>-14.871499999999999</c:v>
                </c:pt>
                <c:pt idx="775">
                  <c:v>-9.4321999999999999</c:v>
                </c:pt>
                <c:pt idx="776">
                  <c:v>8.6325000000000003</c:v>
                </c:pt>
                <c:pt idx="777">
                  <c:v>-11.4505</c:v>
                </c:pt>
                <c:pt idx="778">
                  <c:v>-12.4282</c:v>
                </c:pt>
                <c:pt idx="779">
                  <c:v>-8.9331999999999994</c:v>
                </c:pt>
                <c:pt idx="780">
                  <c:v>-15.916600000000001</c:v>
                </c:pt>
                <c:pt idx="781">
                  <c:v>6.7983000000000002</c:v>
                </c:pt>
                <c:pt idx="782">
                  <c:v>15.9549</c:v>
                </c:pt>
                <c:pt idx="783">
                  <c:v>-15.2659</c:v>
                </c:pt>
                <c:pt idx="784">
                  <c:v>-13.870900000000001</c:v>
                </c:pt>
                <c:pt idx="785">
                  <c:v>-7.9546999999999999</c:v>
                </c:pt>
                <c:pt idx="786">
                  <c:v>16.9148</c:v>
                </c:pt>
                <c:pt idx="787">
                  <c:v>-5.9730999999999996</c:v>
                </c:pt>
                <c:pt idx="788">
                  <c:v>37.083500000000001</c:v>
                </c:pt>
                <c:pt idx="789">
                  <c:v>-12.5405</c:v>
                </c:pt>
                <c:pt idx="790">
                  <c:v>-16.516100000000002</c:v>
                </c:pt>
                <c:pt idx="791">
                  <c:v>24.328299999999999</c:v>
                </c:pt>
                <c:pt idx="792">
                  <c:v>-12.1778</c:v>
                </c:pt>
                <c:pt idx="793">
                  <c:v>-16.339600000000001</c:v>
                </c:pt>
                <c:pt idx="794">
                  <c:v>-6.0674000000000001</c:v>
                </c:pt>
                <c:pt idx="795">
                  <c:v>-14.824199999999999</c:v>
                </c:pt>
                <c:pt idx="796">
                  <c:v>-11.017099999999999</c:v>
                </c:pt>
                <c:pt idx="797">
                  <c:v>-13.379099999999999</c:v>
                </c:pt>
                <c:pt idx="798">
                  <c:v>-13.6197</c:v>
                </c:pt>
                <c:pt idx="799">
                  <c:v>-18.630299999999998</c:v>
                </c:pt>
                <c:pt idx="800">
                  <c:v>9.3507999999999996</c:v>
                </c:pt>
                <c:pt idx="801">
                  <c:v>1.2333000000000001</c:v>
                </c:pt>
                <c:pt idx="802">
                  <c:v>-13.5471</c:v>
                </c:pt>
                <c:pt idx="803">
                  <c:v>8.5884</c:v>
                </c:pt>
                <c:pt idx="804">
                  <c:v>-5.6664000000000003</c:v>
                </c:pt>
                <c:pt idx="805">
                  <c:v>-13.6395</c:v>
                </c:pt>
                <c:pt idx="806">
                  <c:v>11.751099999999999</c:v>
                </c:pt>
                <c:pt idx="807">
                  <c:v>-10.939299999999999</c:v>
                </c:pt>
                <c:pt idx="808">
                  <c:v>-10.1427</c:v>
                </c:pt>
                <c:pt idx="809">
                  <c:v>-12.7311</c:v>
                </c:pt>
                <c:pt idx="810">
                  <c:v>-13.7529</c:v>
                </c:pt>
                <c:pt idx="811">
                  <c:v>-15.3307</c:v>
                </c:pt>
                <c:pt idx="812">
                  <c:v>-10.341200000000001</c:v>
                </c:pt>
                <c:pt idx="813">
                  <c:v>-2.0607000000000002</c:v>
                </c:pt>
                <c:pt idx="814">
                  <c:v>26.081800000000001</c:v>
                </c:pt>
                <c:pt idx="815">
                  <c:v>40.072800000000001</c:v>
                </c:pt>
                <c:pt idx="816">
                  <c:v>9.6227999999999998</c:v>
                </c:pt>
                <c:pt idx="817">
                  <c:v>-5.8986000000000001</c:v>
                </c:pt>
                <c:pt idx="818">
                  <c:v>-8.5472999999999999</c:v>
                </c:pt>
                <c:pt idx="819">
                  <c:v>-15.5846</c:v>
                </c:pt>
                <c:pt idx="820">
                  <c:v>-16.360399999999998</c:v>
                </c:pt>
                <c:pt idx="821">
                  <c:v>-18.812999999999999</c:v>
                </c:pt>
                <c:pt idx="822">
                  <c:v>-4.7561999999999998</c:v>
                </c:pt>
                <c:pt idx="823">
                  <c:v>-8.3421000000000003</c:v>
                </c:pt>
                <c:pt idx="824">
                  <c:v>30.902000000000001</c:v>
                </c:pt>
                <c:pt idx="825">
                  <c:v>-16.859000000000002</c:v>
                </c:pt>
                <c:pt idx="826">
                  <c:v>-9.7977000000000007</c:v>
                </c:pt>
                <c:pt idx="827">
                  <c:v>-11.0961</c:v>
                </c:pt>
                <c:pt idx="828">
                  <c:v>-6.5373000000000001</c:v>
                </c:pt>
                <c:pt idx="829">
                  <c:v>88.882000000000005</c:v>
                </c:pt>
                <c:pt idx="830">
                  <c:v>-16.0367</c:v>
                </c:pt>
                <c:pt idx="831">
                  <c:v>56.824800000000003</c:v>
                </c:pt>
                <c:pt idx="832">
                  <c:v>58.107300000000002</c:v>
                </c:pt>
                <c:pt idx="833">
                  <c:v>-13.7279</c:v>
                </c:pt>
                <c:pt idx="834">
                  <c:v>-12.6754</c:v>
                </c:pt>
                <c:pt idx="835">
                  <c:v>-14.244</c:v>
                </c:pt>
                <c:pt idx="836">
                  <c:v>-14.3896</c:v>
                </c:pt>
                <c:pt idx="837">
                  <c:v>-10.589700000000001</c:v>
                </c:pt>
                <c:pt idx="838">
                  <c:v>-14.9133</c:v>
                </c:pt>
                <c:pt idx="839">
                  <c:v>-17.343</c:v>
                </c:pt>
                <c:pt idx="840">
                  <c:v>1.0397000000000001</c:v>
                </c:pt>
                <c:pt idx="841">
                  <c:v>8.7734000000000005</c:v>
                </c:pt>
                <c:pt idx="842">
                  <c:v>-12.414199999999999</c:v>
                </c:pt>
                <c:pt idx="843">
                  <c:v>5.9500999999999999</c:v>
                </c:pt>
                <c:pt idx="844">
                  <c:v>-13.695399999999999</c:v>
                </c:pt>
                <c:pt idx="845">
                  <c:v>-14.898199999999999</c:v>
                </c:pt>
                <c:pt idx="846">
                  <c:v>11.4841</c:v>
                </c:pt>
                <c:pt idx="847">
                  <c:v>3.5141</c:v>
                </c:pt>
                <c:pt idx="848">
                  <c:v>-14.7342</c:v>
                </c:pt>
                <c:pt idx="849">
                  <c:v>-11.297599999999999</c:v>
                </c:pt>
                <c:pt idx="850">
                  <c:v>-12.009</c:v>
                </c:pt>
                <c:pt idx="851">
                  <c:v>-6.9093999999999998</c:v>
                </c:pt>
                <c:pt idx="852">
                  <c:v>-17.255299999999998</c:v>
                </c:pt>
                <c:pt idx="853">
                  <c:v>-13.3489</c:v>
                </c:pt>
                <c:pt idx="854">
                  <c:v>-14.9152</c:v>
                </c:pt>
                <c:pt idx="855">
                  <c:v>-15.236800000000001</c:v>
                </c:pt>
                <c:pt idx="856">
                  <c:v>-14.3917</c:v>
                </c:pt>
                <c:pt idx="857">
                  <c:v>-16.6983</c:v>
                </c:pt>
                <c:pt idx="858">
                  <c:v>37.215699999999998</c:v>
                </c:pt>
                <c:pt idx="859">
                  <c:v>-5.2869999999999999</c:v>
                </c:pt>
                <c:pt idx="860">
                  <c:v>-6.8220999999999998</c:v>
                </c:pt>
                <c:pt idx="861">
                  <c:v>2.9470000000000001</c:v>
                </c:pt>
                <c:pt idx="862">
                  <c:v>17.304200000000002</c:v>
                </c:pt>
                <c:pt idx="863">
                  <c:v>-7.7685000000000004</c:v>
                </c:pt>
                <c:pt idx="864">
                  <c:v>74.545000000000002</c:v>
                </c:pt>
                <c:pt idx="865">
                  <c:v>-13.622</c:v>
                </c:pt>
                <c:pt idx="866">
                  <c:v>22.510899999999999</c:v>
                </c:pt>
                <c:pt idx="867">
                  <c:v>-15.136799999999999</c:v>
                </c:pt>
                <c:pt idx="868">
                  <c:v>-10.1557</c:v>
                </c:pt>
                <c:pt idx="869">
                  <c:v>-5.3587999999999996</c:v>
                </c:pt>
                <c:pt idx="870">
                  <c:v>3.9379</c:v>
                </c:pt>
                <c:pt idx="871">
                  <c:v>-14.187200000000001</c:v>
                </c:pt>
                <c:pt idx="872">
                  <c:v>-7.1755000000000004</c:v>
                </c:pt>
                <c:pt idx="873">
                  <c:v>20.015499999999999</c:v>
                </c:pt>
                <c:pt idx="874">
                  <c:v>-0.22889999999999999</c:v>
                </c:pt>
                <c:pt idx="875">
                  <c:v>18.5318</c:v>
                </c:pt>
                <c:pt idx="876">
                  <c:v>-15.4443</c:v>
                </c:pt>
                <c:pt idx="877">
                  <c:v>31.111499999999999</c:v>
                </c:pt>
                <c:pt idx="878">
                  <c:v>-3.4813000000000001</c:v>
                </c:pt>
                <c:pt idx="879">
                  <c:v>-15.7303</c:v>
                </c:pt>
                <c:pt idx="880">
                  <c:v>-14.6845</c:v>
                </c:pt>
                <c:pt idx="881">
                  <c:v>-14.660600000000001</c:v>
                </c:pt>
                <c:pt idx="882">
                  <c:v>-16.217500000000001</c:v>
                </c:pt>
                <c:pt idx="883">
                  <c:v>53.849899999999998</c:v>
                </c:pt>
                <c:pt idx="884">
                  <c:v>-14.089399999999999</c:v>
                </c:pt>
                <c:pt idx="885">
                  <c:v>1.0979000000000001</c:v>
                </c:pt>
                <c:pt idx="886">
                  <c:v>120.4272</c:v>
                </c:pt>
                <c:pt idx="887">
                  <c:v>44.362699999999997</c:v>
                </c:pt>
                <c:pt idx="888">
                  <c:v>63.755099999999999</c:v>
                </c:pt>
                <c:pt idx="889">
                  <c:v>1.4302999999999999</c:v>
                </c:pt>
                <c:pt idx="890">
                  <c:v>-14.7643</c:v>
                </c:pt>
                <c:pt idx="891">
                  <c:v>-22.421099999999999</c:v>
                </c:pt>
                <c:pt idx="892">
                  <c:v>-7.8540999999999999</c:v>
                </c:pt>
                <c:pt idx="893">
                  <c:v>-14.2536</c:v>
                </c:pt>
                <c:pt idx="894">
                  <c:v>-8.2116000000000007</c:v>
                </c:pt>
                <c:pt idx="895">
                  <c:v>-10.6629</c:v>
                </c:pt>
                <c:pt idx="896">
                  <c:v>21.553699999999999</c:v>
                </c:pt>
                <c:pt idx="897">
                  <c:v>-16.3139</c:v>
                </c:pt>
                <c:pt idx="898">
                  <c:v>-11.2326</c:v>
                </c:pt>
                <c:pt idx="899">
                  <c:v>-5.6215999999999999</c:v>
                </c:pt>
                <c:pt idx="900">
                  <c:v>-3.5668000000000002</c:v>
                </c:pt>
                <c:pt idx="901">
                  <c:v>21.8187</c:v>
                </c:pt>
                <c:pt idx="902">
                  <c:v>-3.9994000000000001</c:v>
                </c:pt>
                <c:pt idx="903">
                  <c:v>23.052499999999998</c:v>
                </c:pt>
                <c:pt idx="904">
                  <c:v>-16.254799999999999</c:v>
                </c:pt>
                <c:pt idx="905">
                  <c:v>-12.667299999999999</c:v>
                </c:pt>
                <c:pt idx="906">
                  <c:v>-7.6703999999999999</c:v>
                </c:pt>
                <c:pt idx="907">
                  <c:v>60.24</c:v>
                </c:pt>
                <c:pt idx="908">
                  <c:v>2.4361999999999999</c:v>
                </c:pt>
                <c:pt idx="909">
                  <c:v>36.799700000000001</c:v>
                </c:pt>
                <c:pt idx="910">
                  <c:v>44.448900000000002</c:v>
                </c:pt>
                <c:pt idx="911">
                  <c:v>25.889099999999999</c:v>
                </c:pt>
                <c:pt idx="912">
                  <c:v>-16.398</c:v>
                </c:pt>
                <c:pt idx="913">
                  <c:v>-15.173299999999999</c:v>
                </c:pt>
                <c:pt idx="914">
                  <c:v>-2.4681000000000002</c:v>
                </c:pt>
                <c:pt idx="915">
                  <c:v>-15.766500000000001</c:v>
                </c:pt>
                <c:pt idx="916">
                  <c:v>-11.781000000000001</c:v>
                </c:pt>
                <c:pt idx="917">
                  <c:v>-12.5768</c:v>
                </c:pt>
                <c:pt idx="918">
                  <c:v>-12.649800000000001</c:v>
                </c:pt>
                <c:pt idx="919">
                  <c:v>-15.0869</c:v>
                </c:pt>
                <c:pt idx="920">
                  <c:v>-10.4137</c:v>
                </c:pt>
                <c:pt idx="921">
                  <c:v>-19.197299999999998</c:v>
                </c:pt>
                <c:pt idx="922">
                  <c:v>2.7050999999999998</c:v>
                </c:pt>
                <c:pt idx="923">
                  <c:v>-12.6914</c:v>
                </c:pt>
                <c:pt idx="924">
                  <c:v>21.226800000000001</c:v>
                </c:pt>
                <c:pt idx="925">
                  <c:v>4.6311</c:v>
                </c:pt>
                <c:pt idx="926">
                  <c:v>-7.5766999999999998</c:v>
                </c:pt>
                <c:pt idx="927">
                  <c:v>7.0823999999999998</c:v>
                </c:pt>
                <c:pt idx="928">
                  <c:v>-6.6829999999999998</c:v>
                </c:pt>
                <c:pt idx="929">
                  <c:v>-10.599</c:v>
                </c:pt>
                <c:pt idx="930">
                  <c:v>-18.403700000000001</c:v>
                </c:pt>
                <c:pt idx="931">
                  <c:v>-10.6195</c:v>
                </c:pt>
                <c:pt idx="932">
                  <c:v>-13.398300000000001</c:v>
                </c:pt>
                <c:pt idx="933">
                  <c:v>44.853000000000002</c:v>
                </c:pt>
                <c:pt idx="934">
                  <c:v>35.689700000000002</c:v>
                </c:pt>
                <c:pt idx="935">
                  <c:v>-14.632999999999999</c:v>
                </c:pt>
                <c:pt idx="936">
                  <c:v>7.1254999999999997</c:v>
                </c:pt>
                <c:pt idx="937">
                  <c:v>-15.336399999999999</c:v>
                </c:pt>
                <c:pt idx="938">
                  <c:v>-8.7860999999999994</c:v>
                </c:pt>
                <c:pt idx="939">
                  <c:v>49.6751</c:v>
                </c:pt>
                <c:pt idx="940">
                  <c:v>-11.9039</c:v>
                </c:pt>
                <c:pt idx="941">
                  <c:v>39.955199999999998</c:v>
                </c:pt>
                <c:pt idx="942">
                  <c:v>-11.964399999999999</c:v>
                </c:pt>
                <c:pt idx="943">
                  <c:v>-16.685700000000001</c:v>
                </c:pt>
                <c:pt idx="944">
                  <c:v>-13.6935</c:v>
                </c:pt>
                <c:pt idx="945">
                  <c:v>-14.0632</c:v>
                </c:pt>
                <c:pt idx="946">
                  <c:v>-12.7521</c:v>
                </c:pt>
                <c:pt idx="947">
                  <c:v>5.6620999999999997</c:v>
                </c:pt>
                <c:pt idx="948">
                  <c:v>-6.0201000000000002</c:v>
                </c:pt>
                <c:pt idx="949">
                  <c:v>-17.2774</c:v>
                </c:pt>
                <c:pt idx="950">
                  <c:v>-5.7545999999999999</c:v>
                </c:pt>
                <c:pt idx="951">
                  <c:v>32.218000000000004</c:v>
                </c:pt>
                <c:pt idx="952">
                  <c:v>-7.6203000000000003</c:v>
                </c:pt>
                <c:pt idx="953">
                  <c:v>21.536899999999999</c:v>
                </c:pt>
                <c:pt idx="954">
                  <c:v>-8.2818000000000005</c:v>
                </c:pt>
                <c:pt idx="955">
                  <c:v>39.290900000000001</c:v>
                </c:pt>
                <c:pt idx="956">
                  <c:v>-13.8931</c:v>
                </c:pt>
                <c:pt idx="957">
                  <c:v>-13.2394</c:v>
                </c:pt>
                <c:pt idx="958">
                  <c:v>-13.1081</c:v>
                </c:pt>
                <c:pt idx="959">
                  <c:v>-15.517799999999999</c:v>
                </c:pt>
                <c:pt idx="960">
                  <c:v>2.1488</c:v>
                </c:pt>
                <c:pt idx="961">
                  <c:v>-17.6174</c:v>
                </c:pt>
                <c:pt idx="962">
                  <c:v>25.801200000000001</c:v>
                </c:pt>
                <c:pt idx="963">
                  <c:v>10.975099999999999</c:v>
                </c:pt>
                <c:pt idx="964">
                  <c:v>-14.0966</c:v>
                </c:pt>
                <c:pt idx="965">
                  <c:v>-18.1694</c:v>
                </c:pt>
                <c:pt idx="966">
                  <c:v>-4.1543000000000001</c:v>
                </c:pt>
                <c:pt idx="967">
                  <c:v>-14.095499999999999</c:v>
                </c:pt>
                <c:pt idx="968">
                  <c:v>-12.505100000000001</c:v>
                </c:pt>
                <c:pt idx="969">
                  <c:v>-15.0786</c:v>
                </c:pt>
                <c:pt idx="970">
                  <c:v>-18.876100000000001</c:v>
                </c:pt>
                <c:pt idx="971">
                  <c:v>94.957599999999999</c:v>
                </c:pt>
                <c:pt idx="972">
                  <c:v>83.905000000000001</c:v>
                </c:pt>
                <c:pt idx="973">
                  <c:v>-15.257400000000001</c:v>
                </c:pt>
                <c:pt idx="974">
                  <c:v>-15.1479</c:v>
                </c:pt>
                <c:pt idx="975">
                  <c:v>5.3762999999999996</c:v>
                </c:pt>
                <c:pt idx="976">
                  <c:v>-13.1279</c:v>
                </c:pt>
                <c:pt idx="977">
                  <c:v>-11.4047</c:v>
                </c:pt>
                <c:pt idx="978">
                  <c:v>-9.8983000000000008</c:v>
                </c:pt>
                <c:pt idx="979">
                  <c:v>-13.554600000000001</c:v>
                </c:pt>
                <c:pt idx="980">
                  <c:v>-11.688499999999999</c:v>
                </c:pt>
                <c:pt idx="981">
                  <c:v>48.331400000000002</c:v>
                </c:pt>
                <c:pt idx="982">
                  <c:v>-15.916600000000001</c:v>
                </c:pt>
                <c:pt idx="983">
                  <c:v>-13.174300000000001</c:v>
                </c:pt>
                <c:pt idx="984">
                  <c:v>-13.8863</c:v>
                </c:pt>
                <c:pt idx="985">
                  <c:v>-12.8767</c:v>
                </c:pt>
                <c:pt idx="986">
                  <c:v>8.4504999999999999</c:v>
                </c:pt>
                <c:pt idx="987">
                  <c:v>-8.9273000000000007</c:v>
                </c:pt>
                <c:pt idx="988">
                  <c:v>-9.2617999999999991</c:v>
                </c:pt>
                <c:pt idx="989">
                  <c:v>0.72650000000000003</c:v>
                </c:pt>
                <c:pt idx="990">
                  <c:v>-12.7979</c:v>
                </c:pt>
                <c:pt idx="991">
                  <c:v>8.0310000000000006</c:v>
                </c:pt>
                <c:pt idx="992">
                  <c:v>-0.32529999999999998</c:v>
                </c:pt>
                <c:pt idx="993">
                  <c:v>-13.77</c:v>
                </c:pt>
                <c:pt idx="994">
                  <c:v>-11.742900000000001</c:v>
                </c:pt>
                <c:pt idx="995">
                  <c:v>-12.1778</c:v>
                </c:pt>
                <c:pt idx="996">
                  <c:v>-13.641500000000001</c:v>
                </c:pt>
                <c:pt idx="997">
                  <c:v>-14.5786</c:v>
                </c:pt>
                <c:pt idx="998">
                  <c:v>-12.8894</c:v>
                </c:pt>
                <c:pt idx="999">
                  <c:v>-2.2320000000000002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EB-4BEB-A70F-6367382F9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58264"/>
        <c:axId val="11165152"/>
      </c:scatterChart>
      <c:valAx>
        <c:axId val="1115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5152"/>
        <c:crosses val="autoZero"/>
        <c:crossBetween val="midCat"/>
      </c:valAx>
      <c:valAx>
        <c:axId val="1116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'Asset or Nothing Call Option'!$R$1</c:f>
              <c:strCache>
                <c:ptCount val="1"/>
                <c:pt idx="0">
                  <c:v>cAN(t)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'Asset or Nothing Call Option'!$Q$2:$Q$1001</c:f>
              <c:numCache>
                <c:formatCode>0.00</c:formatCode>
                <c:ptCount val="1000"/>
                <c:pt idx="0">
                  <c:v>78.589399999999998</c:v>
                </c:pt>
                <c:pt idx="1">
                  <c:v>92.377200000000002</c:v>
                </c:pt>
                <c:pt idx="2">
                  <c:v>169.07560000000001</c:v>
                </c:pt>
                <c:pt idx="3">
                  <c:v>77.093999999999994</c:v>
                </c:pt>
                <c:pt idx="4">
                  <c:v>94.879099999999994</c:v>
                </c:pt>
                <c:pt idx="5">
                  <c:v>133.9563</c:v>
                </c:pt>
                <c:pt idx="6">
                  <c:v>72.2303</c:v>
                </c:pt>
                <c:pt idx="7">
                  <c:v>56.083500000000001</c:v>
                </c:pt>
                <c:pt idx="8">
                  <c:v>64.493200000000002</c:v>
                </c:pt>
                <c:pt idx="9">
                  <c:v>91.530299999999997</c:v>
                </c:pt>
                <c:pt idx="10">
                  <c:v>77.169499999999999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90.763000000000005</c:v>
                </c:pt>
                <c:pt idx="14">
                  <c:v>73.142099999999999</c:v>
                </c:pt>
                <c:pt idx="15">
                  <c:v>100.86409999999999</c:v>
                </c:pt>
                <c:pt idx="16">
                  <c:v>83.646600000000007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70.857900000000001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72.296599999999998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79.515000000000001</c:v>
                </c:pt>
                <c:pt idx="35">
                  <c:v>79.402799999999999</c:v>
                </c:pt>
                <c:pt idx="36">
                  <c:v>108.84229999999999</c:v>
                </c:pt>
                <c:pt idx="37">
                  <c:v>67.859300000000005</c:v>
                </c:pt>
                <c:pt idx="38">
                  <c:v>120.6168</c:v>
                </c:pt>
                <c:pt idx="39">
                  <c:v>51.927100000000003</c:v>
                </c:pt>
                <c:pt idx="40">
                  <c:v>90.278999999999996</c:v>
                </c:pt>
                <c:pt idx="41">
                  <c:v>143.7158</c:v>
                </c:pt>
                <c:pt idx="42">
                  <c:v>112.6417</c:v>
                </c:pt>
                <c:pt idx="43">
                  <c:v>64.528899999999993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91.094899999999996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86.885900000000007</c:v>
                </c:pt>
                <c:pt idx="51">
                  <c:v>69.339699999999993</c:v>
                </c:pt>
                <c:pt idx="52">
                  <c:v>71.402199999999993</c:v>
                </c:pt>
                <c:pt idx="53">
                  <c:v>81.929400000000001</c:v>
                </c:pt>
                <c:pt idx="54">
                  <c:v>110.2734</c:v>
                </c:pt>
                <c:pt idx="55">
                  <c:v>70.046899999999994</c:v>
                </c:pt>
                <c:pt idx="56">
                  <c:v>117.4097</c:v>
                </c:pt>
                <c:pt idx="57">
                  <c:v>82.724299999999999</c:v>
                </c:pt>
                <c:pt idx="58">
                  <c:v>90.621700000000004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86.135800000000003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73.533199999999994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70.035899999999998</c:v>
                </c:pt>
                <c:pt idx="69">
                  <c:v>145.65870000000001</c:v>
                </c:pt>
                <c:pt idx="70">
                  <c:v>79.495000000000005</c:v>
                </c:pt>
                <c:pt idx="71">
                  <c:v>89.553899999999999</c:v>
                </c:pt>
                <c:pt idx="72">
                  <c:v>101.3502</c:v>
                </c:pt>
                <c:pt idx="73">
                  <c:v>94.299300000000002</c:v>
                </c:pt>
                <c:pt idx="74">
                  <c:v>71.534400000000005</c:v>
                </c:pt>
                <c:pt idx="75">
                  <c:v>196.56819999999999</c:v>
                </c:pt>
                <c:pt idx="76">
                  <c:v>96.1785</c:v>
                </c:pt>
                <c:pt idx="77">
                  <c:v>159.8614</c:v>
                </c:pt>
                <c:pt idx="78">
                  <c:v>79.9465</c:v>
                </c:pt>
                <c:pt idx="79">
                  <c:v>110.8716</c:v>
                </c:pt>
                <c:pt idx="80">
                  <c:v>87.653300000000002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99.766599999999997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93.790300000000002</c:v>
                </c:pt>
                <c:pt idx="91">
                  <c:v>134.92910000000001</c:v>
                </c:pt>
                <c:pt idx="92">
                  <c:v>75.308800000000005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89.384699999999995</c:v>
                </c:pt>
                <c:pt idx="96">
                  <c:v>82.407799999999995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99.442599999999999</c:v>
                </c:pt>
                <c:pt idx="100">
                  <c:v>65.859399999999994</c:v>
                </c:pt>
                <c:pt idx="101">
                  <c:v>127.3869</c:v>
                </c:pt>
                <c:pt idx="102">
                  <c:v>74.643600000000006</c:v>
                </c:pt>
                <c:pt idx="103">
                  <c:v>102.2422</c:v>
                </c:pt>
                <c:pt idx="104">
                  <c:v>76.535700000000006</c:v>
                </c:pt>
                <c:pt idx="105">
                  <c:v>108.90470000000001</c:v>
                </c:pt>
                <c:pt idx="106">
                  <c:v>78.556600000000003</c:v>
                </c:pt>
                <c:pt idx="107">
                  <c:v>81.685400000000001</c:v>
                </c:pt>
                <c:pt idx="108">
                  <c:v>75.696799999999996</c:v>
                </c:pt>
                <c:pt idx="109">
                  <c:v>82.570999999999998</c:v>
                </c:pt>
                <c:pt idx="110">
                  <c:v>62.514800000000001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81.607600000000005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77.149500000000003</c:v>
                </c:pt>
                <c:pt idx="118">
                  <c:v>69.350499999999997</c:v>
                </c:pt>
                <c:pt idx="119">
                  <c:v>73.230999999999995</c:v>
                </c:pt>
                <c:pt idx="120">
                  <c:v>114.8745</c:v>
                </c:pt>
                <c:pt idx="121">
                  <c:v>114.8939</c:v>
                </c:pt>
                <c:pt idx="122">
                  <c:v>81.293499999999995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83.7303</c:v>
                </c:pt>
                <c:pt idx="127">
                  <c:v>71.985100000000003</c:v>
                </c:pt>
                <c:pt idx="128">
                  <c:v>74.073999999999998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84.021900000000002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88.171800000000005</c:v>
                </c:pt>
                <c:pt idx="139">
                  <c:v>69.460300000000004</c:v>
                </c:pt>
                <c:pt idx="140">
                  <c:v>58.509300000000003</c:v>
                </c:pt>
                <c:pt idx="141">
                  <c:v>125.2116</c:v>
                </c:pt>
                <c:pt idx="142">
                  <c:v>76.105199999999996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95.381299999999996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98.075999999999993</c:v>
                </c:pt>
                <c:pt idx="153">
                  <c:v>69.544700000000006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73.568399999999997</c:v>
                </c:pt>
                <c:pt idx="158">
                  <c:v>75.186400000000006</c:v>
                </c:pt>
                <c:pt idx="159">
                  <c:v>97.480699999999999</c:v>
                </c:pt>
                <c:pt idx="160">
                  <c:v>99.088399999999993</c:v>
                </c:pt>
                <c:pt idx="161">
                  <c:v>95.641999999999996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90.348600000000005</c:v>
                </c:pt>
                <c:pt idx="167">
                  <c:v>117.9217</c:v>
                </c:pt>
                <c:pt idx="168">
                  <c:v>97.553299999999993</c:v>
                </c:pt>
                <c:pt idx="169">
                  <c:v>90.797499999999999</c:v>
                </c:pt>
                <c:pt idx="170">
                  <c:v>122.5309</c:v>
                </c:pt>
                <c:pt idx="171">
                  <c:v>87.5321</c:v>
                </c:pt>
                <c:pt idx="172">
                  <c:v>83.827200000000005</c:v>
                </c:pt>
                <c:pt idx="173">
                  <c:v>127.3792</c:v>
                </c:pt>
                <c:pt idx="174">
                  <c:v>71.304100000000005</c:v>
                </c:pt>
                <c:pt idx="175">
                  <c:v>95.600300000000004</c:v>
                </c:pt>
                <c:pt idx="176">
                  <c:v>141.2645</c:v>
                </c:pt>
                <c:pt idx="177">
                  <c:v>81.89</c:v>
                </c:pt>
                <c:pt idx="178">
                  <c:v>95.611599999999996</c:v>
                </c:pt>
                <c:pt idx="179">
                  <c:v>99.8523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78.326899999999995</c:v>
                </c:pt>
                <c:pt idx="185">
                  <c:v>71.076999999999998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93.571100000000001</c:v>
                </c:pt>
                <c:pt idx="189">
                  <c:v>56.063200000000002</c:v>
                </c:pt>
                <c:pt idx="190">
                  <c:v>131.9862</c:v>
                </c:pt>
                <c:pt idx="191">
                  <c:v>41.500799999999998</c:v>
                </c:pt>
                <c:pt idx="192">
                  <c:v>109.4092</c:v>
                </c:pt>
                <c:pt idx="193">
                  <c:v>100.9547</c:v>
                </c:pt>
                <c:pt idx="194">
                  <c:v>98.317899999999995</c:v>
                </c:pt>
                <c:pt idx="195">
                  <c:v>116.3783</c:v>
                </c:pt>
                <c:pt idx="196">
                  <c:v>71.898700000000005</c:v>
                </c:pt>
                <c:pt idx="197">
                  <c:v>58.203499999999998</c:v>
                </c:pt>
                <c:pt idx="198">
                  <c:v>86.563999999999993</c:v>
                </c:pt>
                <c:pt idx="199">
                  <c:v>161.45359999999999</c:v>
                </c:pt>
                <c:pt idx="200">
                  <c:v>69.260400000000004</c:v>
                </c:pt>
                <c:pt idx="201">
                  <c:v>79.515699999999995</c:v>
                </c:pt>
                <c:pt idx="202">
                  <c:v>224.876</c:v>
                </c:pt>
                <c:pt idx="203">
                  <c:v>90.320099999999996</c:v>
                </c:pt>
                <c:pt idx="204">
                  <c:v>89.007800000000003</c:v>
                </c:pt>
                <c:pt idx="205">
                  <c:v>100.8552</c:v>
                </c:pt>
                <c:pt idx="206">
                  <c:v>113.9264</c:v>
                </c:pt>
                <c:pt idx="207">
                  <c:v>97.242400000000004</c:v>
                </c:pt>
                <c:pt idx="208">
                  <c:v>79.648300000000006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56.948099999999997</c:v>
                </c:pt>
                <c:pt idx="213">
                  <c:v>144.22219999999999</c:v>
                </c:pt>
                <c:pt idx="214">
                  <c:v>69.971800000000002</c:v>
                </c:pt>
                <c:pt idx="215">
                  <c:v>50.393300000000004</c:v>
                </c:pt>
                <c:pt idx="216">
                  <c:v>66.471500000000006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82.926100000000005</c:v>
                </c:pt>
                <c:pt idx="220">
                  <c:v>91.952200000000005</c:v>
                </c:pt>
                <c:pt idx="221">
                  <c:v>77.956199999999995</c:v>
                </c:pt>
                <c:pt idx="222">
                  <c:v>97.599299999999999</c:v>
                </c:pt>
                <c:pt idx="223">
                  <c:v>74.110200000000006</c:v>
                </c:pt>
                <c:pt idx="224">
                  <c:v>111.64230000000001</c:v>
                </c:pt>
                <c:pt idx="225">
                  <c:v>67.264300000000006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69.850300000000004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74.151700000000005</c:v>
                </c:pt>
                <c:pt idx="233">
                  <c:v>41.369599999999998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94.363900000000001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78.381100000000004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73.026899999999998</c:v>
                </c:pt>
                <c:pt idx="248">
                  <c:v>112.12009999999999</c:v>
                </c:pt>
                <c:pt idx="249">
                  <c:v>100.11199999999999</c:v>
                </c:pt>
                <c:pt idx="250">
                  <c:v>99.668899999999994</c:v>
                </c:pt>
                <c:pt idx="251">
                  <c:v>102.2496</c:v>
                </c:pt>
                <c:pt idx="252">
                  <c:v>81.403899999999993</c:v>
                </c:pt>
                <c:pt idx="253">
                  <c:v>207.8408</c:v>
                </c:pt>
                <c:pt idx="254">
                  <c:v>124.7543</c:v>
                </c:pt>
                <c:pt idx="255">
                  <c:v>88.122799999999998</c:v>
                </c:pt>
                <c:pt idx="256">
                  <c:v>113.6266</c:v>
                </c:pt>
                <c:pt idx="257">
                  <c:v>92.844700000000003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81.802899999999994</c:v>
                </c:pt>
                <c:pt idx="262">
                  <c:v>59.605200000000004</c:v>
                </c:pt>
                <c:pt idx="263">
                  <c:v>95.667400000000001</c:v>
                </c:pt>
                <c:pt idx="264">
                  <c:v>83.794700000000006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60.709600000000002</c:v>
                </c:pt>
                <c:pt idx="268">
                  <c:v>106.31489999999999</c:v>
                </c:pt>
                <c:pt idx="269">
                  <c:v>92.859499999999997</c:v>
                </c:pt>
                <c:pt idx="270">
                  <c:v>178.9699</c:v>
                </c:pt>
                <c:pt idx="271">
                  <c:v>138.5557</c:v>
                </c:pt>
                <c:pt idx="272">
                  <c:v>62.613900000000001</c:v>
                </c:pt>
                <c:pt idx="273">
                  <c:v>90.7393</c:v>
                </c:pt>
                <c:pt idx="274">
                  <c:v>151.1952</c:v>
                </c:pt>
                <c:pt idx="275">
                  <c:v>112.9901</c:v>
                </c:pt>
                <c:pt idx="276">
                  <c:v>87.6327</c:v>
                </c:pt>
                <c:pt idx="277">
                  <c:v>66.144599999999997</c:v>
                </c:pt>
                <c:pt idx="278">
                  <c:v>136.76609999999999</c:v>
                </c:pt>
                <c:pt idx="279">
                  <c:v>50.3108</c:v>
                </c:pt>
                <c:pt idx="280">
                  <c:v>74.007599999999996</c:v>
                </c:pt>
                <c:pt idx="281">
                  <c:v>70.3172</c:v>
                </c:pt>
                <c:pt idx="282">
                  <c:v>72.924599999999998</c:v>
                </c:pt>
                <c:pt idx="283">
                  <c:v>120.42789999999999</c:v>
                </c:pt>
                <c:pt idx="284">
                  <c:v>58.406799999999997</c:v>
                </c:pt>
                <c:pt idx="285">
                  <c:v>87.974800000000002</c:v>
                </c:pt>
                <c:pt idx="286">
                  <c:v>112.3961</c:v>
                </c:pt>
                <c:pt idx="287">
                  <c:v>78.930099999999996</c:v>
                </c:pt>
                <c:pt idx="288">
                  <c:v>64.611999999999995</c:v>
                </c:pt>
                <c:pt idx="289">
                  <c:v>107.8442</c:v>
                </c:pt>
                <c:pt idx="290">
                  <c:v>72.5672</c:v>
                </c:pt>
                <c:pt idx="291">
                  <c:v>139.69810000000001</c:v>
                </c:pt>
                <c:pt idx="292">
                  <c:v>89.284899999999993</c:v>
                </c:pt>
                <c:pt idx="293">
                  <c:v>61.329099999999997</c:v>
                </c:pt>
                <c:pt idx="294">
                  <c:v>73.720600000000005</c:v>
                </c:pt>
                <c:pt idx="295">
                  <c:v>73.860500000000002</c:v>
                </c:pt>
                <c:pt idx="296">
                  <c:v>128.10730000000001</c:v>
                </c:pt>
                <c:pt idx="297">
                  <c:v>85.417500000000004</c:v>
                </c:pt>
                <c:pt idx="298">
                  <c:v>80.427899999999994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86.362700000000004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66.807699999999997</c:v>
                </c:pt>
                <c:pt idx="306">
                  <c:v>124.0968</c:v>
                </c:pt>
                <c:pt idx="307">
                  <c:v>99.782799999999995</c:v>
                </c:pt>
                <c:pt idx="308">
                  <c:v>174.79589999999999</c:v>
                </c:pt>
                <c:pt idx="309">
                  <c:v>98.053100000000001</c:v>
                </c:pt>
                <c:pt idx="310">
                  <c:v>71.720600000000005</c:v>
                </c:pt>
                <c:pt idx="311">
                  <c:v>127.39019999999999</c:v>
                </c:pt>
                <c:pt idx="312">
                  <c:v>84.472399999999993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66.716499999999996</c:v>
                </c:pt>
                <c:pt idx="316">
                  <c:v>76.077799999999996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73.471999999999994</c:v>
                </c:pt>
                <c:pt idx="323">
                  <c:v>129.77269999999999</c:v>
                </c:pt>
                <c:pt idx="324">
                  <c:v>76.733400000000003</c:v>
                </c:pt>
                <c:pt idx="325">
                  <c:v>100.48009999999999</c:v>
                </c:pt>
                <c:pt idx="326">
                  <c:v>97.197800000000001</c:v>
                </c:pt>
                <c:pt idx="327">
                  <c:v>100.87309999999999</c:v>
                </c:pt>
                <c:pt idx="328">
                  <c:v>91.104200000000006</c:v>
                </c:pt>
                <c:pt idx="329">
                  <c:v>59.067</c:v>
                </c:pt>
                <c:pt idx="330">
                  <c:v>83.042900000000003</c:v>
                </c:pt>
                <c:pt idx="331">
                  <c:v>121.80029999999999</c:v>
                </c:pt>
                <c:pt idx="332">
                  <c:v>57.674500000000002</c:v>
                </c:pt>
                <c:pt idx="333">
                  <c:v>66.701599999999999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66.778999999999996</c:v>
                </c:pt>
                <c:pt idx="337">
                  <c:v>96.759600000000006</c:v>
                </c:pt>
                <c:pt idx="338">
                  <c:v>62.647500000000001</c:v>
                </c:pt>
                <c:pt idx="339">
                  <c:v>75.797499999999999</c:v>
                </c:pt>
                <c:pt idx="340">
                  <c:v>147.00200000000001</c:v>
                </c:pt>
                <c:pt idx="341">
                  <c:v>88.860500000000002</c:v>
                </c:pt>
                <c:pt idx="342">
                  <c:v>100.0592</c:v>
                </c:pt>
                <c:pt idx="343">
                  <c:v>96.513800000000003</c:v>
                </c:pt>
                <c:pt idx="344">
                  <c:v>93.793599999999998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81.284400000000005</c:v>
                </c:pt>
                <c:pt idx="348">
                  <c:v>86.134299999999996</c:v>
                </c:pt>
                <c:pt idx="349">
                  <c:v>100.30929999999999</c:v>
                </c:pt>
                <c:pt idx="350">
                  <c:v>75.280600000000007</c:v>
                </c:pt>
                <c:pt idx="351">
                  <c:v>83.287700000000001</c:v>
                </c:pt>
                <c:pt idx="352">
                  <c:v>137.63159999999999</c:v>
                </c:pt>
                <c:pt idx="353">
                  <c:v>91.939300000000003</c:v>
                </c:pt>
                <c:pt idx="354">
                  <c:v>73.013800000000003</c:v>
                </c:pt>
                <c:pt idx="355">
                  <c:v>98.7393</c:v>
                </c:pt>
                <c:pt idx="356">
                  <c:v>114.5966</c:v>
                </c:pt>
                <c:pt idx="357">
                  <c:v>82.987200000000001</c:v>
                </c:pt>
                <c:pt idx="358">
                  <c:v>95.836699999999993</c:v>
                </c:pt>
                <c:pt idx="359">
                  <c:v>105.3274</c:v>
                </c:pt>
                <c:pt idx="360">
                  <c:v>66.857500000000002</c:v>
                </c:pt>
                <c:pt idx="361">
                  <c:v>96.597099999999998</c:v>
                </c:pt>
                <c:pt idx="362">
                  <c:v>111.2129</c:v>
                </c:pt>
                <c:pt idx="363">
                  <c:v>49.368099999999998</c:v>
                </c:pt>
                <c:pt idx="364">
                  <c:v>155.43950000000001</c:v>
                </c:pt>
                <c:pt idx="365">
                  <c:v>87.398200000000003</c:v>
                </c:pt>
                <c:pt idx="366">
                  <c:v>60.416400000000003</c:v>
                </c:pt>
                <c:pt idx="367">
                  <c:v>109.3099</c:v>
                </c:pt>
                <c:pt idx="368">
                  <c:v>119.3515</c:v>
                </c:pt>
                <c:pt idx="369">
                  <c:v>76.900700000000001</c:v>
                </c:pt>
                <c:pt idx="370">
                  <c:v>143.77510000000001</c:v>
                </c:pt>
                <c:pt idx="371">
                  <c:v>88.800899999999999</c:v>
                </c:pt>
                <c:pt idx="372">
                  <c:v>99.890199999999993</c:v>
                </c:pt>
                <c:pt idx="373">
                  <c:v>119.1769</c:v>
                </c:pt>
                <c:pt idx="374">
                  <c:v>86.5321</c:v>
                </c:pt>
                <c:pt idx="375">
                  <c:v>99.0608</c:v>
                </c:pt>
                <c:pt idx="376">
                  <c:v>110.23820000000001</c:v>
                </c:pt>
                <c:pt idx="377">
                  <c:v>62.285800000000002</c:v>
                </c:pt>
                <c:pt idx="378">
                  <c:v>97.153099999999995</c:v>
                </c:pt>
                <c:pt idx="379">
                  <c:v>114.4449</c:v>
                </c:pt>
                <c:pt idx="380">
                  <c:v>84.066699999999997</c:v>
                </c:pt>
                <c:pt idx="381">
                  <c:v>123.8245</c:v>
                </c:pt>
                <c:pt idx="382">
                  <c:v>84.137100000000004</c:v>
                </c:pt>
                <c:pt idx="383">
                  <c:v>91.746600000000001</c:v>
                </c:pt>
                <c:pt idx="384">
                  <c:v>109.1691</c:v>
                </c:pt>
                <c:pt idx="385">
                  <c:v>77.892399999999995</c:v>
                </c:pt>
                <c:pt idx="386">
                  <c:v>87.033000000000001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71.542699999999996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72.531099999999995</c:v>
                </c:pt>
                <c:pt idx="394">
                  <c:v>155.9221</c:v>
                </c:pt>
                <c:pt idx="395">
                  <c:v>84.199700000000007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86.338399999999993</c:v>
                </c:pt>
                <c:pt idx="399">
                  <c:v>82.684600000000003</c:v>
                </c:pt>
                <c:pt idx="400">
                  <c:v>97.389200000000002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54.199800000000003</c:v>
                </c:pt>
                <c:pt idx="405">
                  <c:v>85.654700000000005</c:v>
                </c:pt>
                <c:pt idx="406">
                  <c:v>130.05770000000001</c:v>
                </c:pt>
                <c:pt idx="407">
                  <c:v>92.024199999999993</c:v>
                </c:pt>
                <c:pt idx="408">
                  <c:v>95.750500000000002</c:v>
                </c:pt>
                <c:pt idx="409">
                  <c:v>51.245199999999997</c:v>
                </c:pt>
                <c:pt idx="410">
                  <c:v>70.628699999999995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75.020099999999999</c:v>
                </c:pt>
                <c:pt idx="418">
                  <c:v>91.845200000000006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73.242699999999999</c:v>
                </c:pt>
                <c:pt idx="427">
                  <c:v>67.488699999999994</c:v>
                </c:pt>
                <c:pt idx="428">
                  <c:v>127.15260000000001</c:v>
                </c:pt>
                <c:pt idx="429">
                  <c:v>74.560699999999997</c:v>
                </c:pt>
                <c:pt idx="430">
                  <c:v>71.860299999999995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57.713000000000001</c:v>
                </c:pt>
                <c:pt idx="435">
                  <c:v>119.54689999999999</c:v>
                </c:pt>
                <c:pt idx="436">
                  <c:v>81.215000000000003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74.727999999999994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90.0702</c:v>
                </c:pt>
                <c:pt idx="445">
                  <c:v>89.968699999999998</c:v>
                </c:pt>
                <c:pt idx="446">
                  <c:v>133.5326</c:v>
                </c:pt>
                <c:pt idx="447">
                  <c:v>67.803700000000006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69.797799999999995</c:v>
                </c:pt>
                <c:pt idx="458">
                  <c:v>88.998999999999995</c:v>
                </c:pt>
                <c:pt idx="459">
                  <c:v>79.9619</c:v>
                </c:pt>
                <c:pt idx="460">
                  <c:v>55.566600000000001</c:v>
                </c:pt>
                <c:pt idx="461">
                  <c:v>98.254800000000003</c:v>
                </c:pt>
                <c:pt idx="462">
                  <c:v>97.831400000000002</c:v>
                </c:pt>
                <c:pt idx="463">
                  <c:v>116.1472</c:v>
                </c:pt>
                <c:pt idx="464">
                  <c:v>40.594499999999996</c:v>
                </c:pt>
                <c:pt idx="465">
                  <c:v>73.348699999999994</c:v>
                </c:pt>
                <c:pt idx="466">
                  <c:v>65.918599999999998</c:v>
                </c:pt>
                <c:pt idx="467">
                  <c:v>64.796199999999999</c:v>
                </c:pt>
                <c:pt idx="468">
                  <c:v>99.334400000000002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88.719300000000004</c:v>
                </c:pt>
                <c:pt idx="475">
                  <c:v>103.6763</c:v>
                </c:pt>
                <c:pt idx="476">
                  <c:v>97.650400000000005</c:v>
                </c:pt>
                <c:pt idx="477">
                  <c:v>99.313000000000002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89.633200000000002</c:v>
                </c:pt>
                <c:pt idx="484">
                  <c:v>104.8809</c:v>
                </c:pt>
                <c:pt idx="485">
                  <c:v>53.971400000000003</c:v>
                </c:pt>
                <c:pt idx="486">
                  <c:v>86.795400000000001</c:v>
                </c:pt>
                <c:pt idx="487">
                  <c:v>90.1999</c:v>
                </c:pt>
                <c:pt idx="488">
                  <c:v>43.988300000000002</c:v>
                </c:pt>
                <c:pt idx="489">
                  <c:v>60.852600000000002</c:v>
                </c:pt>
                <c:pt idx="490">
                  <c:v>132.00640000000001</c:v>
                </c:pt>
                <c:pt idx="491">
                  <c:v>86.721299999999999</c:v>
                </c:pt>
                <c:pt idx="492">
                  <c:v>76.553600000000003</c:v>
                </c:pt>
                <c:pt idx="493">
                  <c:v>113.4224</c:v>
                </c:pt>
                <c:pt idx="494">
                  <c:v>74.127099999999999</c:v>
                </c:pt>
                <c:pt idx="495">
                  <c:v>184.44749999999999</c:v>
                </c:pt>
                <c:pt idx="496">
                  <c:v>91.499799999999993</c:v>
                </c:pt>
                <c:pt idx="497">
                  <c:v>173.74619999999999</c:v>
                </c:pt>
                <c:pt idx="498">
                  <c:v>73.3262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96.659800000000004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99.910300000000007</c:v>
                </c:pt>
                <c:pt idx="506">
                  <c:v>93.293999999999997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76.4405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89.660899999999998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86.433199999999999</c:v>
                </c:pt>
                <c:pt idx="520">
                  <c:v>115.7529</c:v>
                </c:pt>
                <c:pt idx="521">
                  <c:v>60.798900000000003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80.784999999999997</c:v>
                </c:pt>
                <c:pt idx="527">
                  <c:v>99.907200000000003</c:v>
                </c:pt>
                <c:pt idx="528">
                  <c:v>97.702600000000004</c:v>
                </c:pt>
                <c:pt idx="529">
                  <c:v>112.11920000000001</c:v>
                </c:pt>
                <c:pt idx="530">
                  <c:v>77.362300000000005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65.698899999999995</c:v>
                </c:pt>
                <c:pt idx="538">
                  <c:v>110.2265</c:v>
                </c:pt>
                <c:pt idx="539">
                  <c:v>99.793300000000002</c:v>
                </c:pt>
                <c:pt idx="540">
                  <c:v>97.526600000000002</c:v>
                </c:pt>
                <c:pt idx="541">
                  <c:v>69.930499999999995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82.602000000000004</c:v>
                </c:pt>
                <c:pt idx="546">
                  <c:v>76.847899999999996</c:v>
                </c:pt>
                <c:pt idx="547">
                  <c:v>161.23740000000001</c:v>
                </c:pt>
                <c:pt idx="548">
                  <c:v>78.704999999999998</c:v>
                </c:pt>
                <c:pt idx="549">
                  <c:v>63.5871</c:v>
                </c:pt>
                <c:pt idx="550">
                  <c:v>76.729600000000005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79.790599999999998</c:v>
                </c:pt>
                <c:pt idx="555">
                  <c:v>100.282</c:v>
                </c:pt>
                <c:pt idx="556">
                  <c:v>92.678299999999993</c:v>
                </c:pt>
                <c:pt idx="557">
                  <c:v>102.6949</c:v>
                </c:pt>
                <c:pt idx="558">
                  <c:v>115.3536</c:v>
                </c:pt>
                <c:pt idx="559">
                  <c:v>79.500500000000002</c:v>
                </c:pt>
                <c:pt idx="560">
                  <c:v>124.8287</c:v>
                </c:pt>
                <c:pt idx="561">
                  <c:v>73.589100000000002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82.351600000000005</c:v>
                </c:pt>
                <c:pt idx="565">
                  <c:v>65.746499999999997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94.295699999999997</c:v>
                </c:pt>
                <c:pt idx="569">
                  <c:v>59.000799999999998</c:v>
                </c:pt>
                <c:pt idx="570">
                  <c:v>86.906000000000006</c:v>
                </c:pt>
                <c:pt idx="571">
                  <c:v>106.4387</c:v>
                </c:pt>
                <c:pt idx="572">
                  <c:v>75.315200000000004</c:v>
                </c:pt>
                <c:pt idx="573">
                  <c:v>109.91759999999999</c:v>
                </c:pt>
                <c:pt idx="574">
                  <c:v>84.245800000000003</c:v>
                </c:pt>
                <c:pt idx="575">
                  <c:v>95.355000000000004</c:v>
                </c:pt>
                <c:pt idx="576">
                  <c:v>82.143799999999999</c:v>
                </c:pt>
                <c:pt idx="577">
                  <c:v>139.9427</c:v>
                </c:pt>
                <c:pt idx="578">
                  <c:v>78.0959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96.423299999999998</c:v>
                </c:pt>
                <c:pt idx="585">
                  <c:v>93.610600000000005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95.692999999999998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85.213099999999997</c:v>
                </c:pt>
                <c:pt idx="594">
                  <c:v>94.686499999999995</c:v>
                </c:pt>
                <c:pt idx="595">
                  <c:v>112.9845</c:v>
                </c:pt>
                <c:pt idx="596">
                  <c:v>77.2376</c:v>
                </c:pt>
                <c:pt idx="597">
                  <c:v>68.248000000000005</c:v>
                </c:pt>
                <c:pt idx="598">
                  <c:v>91.6126</c:v>
                </c:pt>
                <c:pt idx="599">
                  <c:v>81.852800000000002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61.447299999999998</c:v>
                </c:pt>
                <c:pt idx="606">
                  <c:v>128.30029999999999</c:v>
                </c:pt>
                <c:pt idx="607">
                  <c:v>85.870900000000006</c:v>
                </c:pt>
                <c:pt idx="608">
                  <c:v>109.2928</c:v>
                </c:pt>
                <c:pt idx="609">
                  <c:v>91.188800000000001</c:v>
                </c:pt>
                <c:pt idx="610">
                  <c:v>80.141300000000001</c:v>
                </c:pt>
                <c:pt idx="611">
                  <c:v>127.7752</c:v>
                </c:pt>
                <c:pt idx="612">
                  <c:v>83.441900000000004</c:v>
                </c:pt>
                <c:pt idx="613">
                  <c:v>87.950599999999994</c:v>
                </c:pt>
                <c:pt idx="614">
                  <c:v>136.85769999999999</c:v>
                </c:pt>
                <c:pt idx="615">
                  <c:v>95.886499999999998</c:v>
                </c:pt>
                <c:pt idx="616">
                  <c:v>88.446200000000005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66.484399999999994</c:v>
                </c:pt>
                <c:pt idx="621">
                  <c:v>104.569</c:v>
                </c:pt>
                <c:pt idx="622">
                  <c:v>93.180099999999996</c:v>
                </c:pt>
                <c:pt idx="623">
                  <c:v>102.00839999999999</c:v>
                </c:pt>
                <c:pt idx="624">
                  <c:v>81.950100000000006</c:v>
                </c:pt>
                <c:pt idx="625">
                  <c:v>165.37440000000001</c:v>
                </c:pt>
                <c:pt idx="626">
                  <c:v>77.730699999999999</c:v>
                </c:pt>
                <c:pt idx="627">
                  <c:v>89.056299999999993</c:v>
                </c:pt>
                <c:pt idx="628">
                  <c:v>92.738799999999998</c:v>
                </c:pt>
                <c:pt idx="629">
                  <c:v>143.8964</c:v>
                </c:pt>
                <c:pt idx="630">
                  <c:v>87.296400000000006</c:v>
                </c:pt>
                <c:pt idx="631">
                  <c:v>235.17769999999999</c:v>
                </c:pt>
                <c:pt idx="632">
                  <c:v>57.021900000000002</c:v>
                </c:pt>
                <c:pt idx="633">
                  <c:v>72.390900000000002</c:v>
                </c:pt>
                <c:pt idx="634">
                  <c:v>115.4366</c:v>
                </c:pt>
                <c:pt idx="635">
                  <c:v>75.303899999999999</c:v>
                </c:pt>
                <c:pt idx="636">
                  <c:v>94.051400000000001</c:v>
                </c:pt>
                <c:pt idx="637">
                  <c:v>76.026799999999994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88.140100000000004</c:v>
                </c:pt>
                <c:pt idx="641">
                  <c:v>98.306200000000004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69.406300000000002</c:v>
                </c:pt>
                <c:pt idx="647">
                  <c:v>159.13669999999999</c:v>
                </c:pt>
                <c:pt idx="648">
                  <c:v>88.998199999999997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64.048500000000004</c:v>
                </c:pt>
                <c:pt idx="656">
                  <c:v>63.856499999999997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71.257499999999993</c:v>
                </c:pt>
                <c:pt idx="661">
                  <c:v>75.750799999999998</c:v>
                </c:pt>
                <c:pt idx="662">
                  <c:v>153.61699999999999</c:v>
                </c:pt>
                <c:pt idx="663">
                  <c:v>76.414599999999993</c:v>
                </c:pt>
                <c:pt idx="664">
                  <c:v>88.134399999999999</c:v>
                </c:pt>
                <c:pt idx="665">
                  <c:v>94.340699999999998</c:v>
                </c:pt>
                <c:pt idx="666">
                  <c:v>104.5757</c:v>
                </c:pt>
                <c:pt idx="667">
                  <c:v>86.260900000000007</c:v>
                </c:pt>
                <c:pt idx="668">
                  <c:v>173.571</c:v>
                </c:pt>
                <c:pt idx="669">
                  <c:v>80.236900000000006</c:v>
                </c:pt>
                <c:pt idx="670">
                  <c:v>161.7397</c:v>
                </c:pt>
                <c:pt idx="671">
                  <c:v>128.6121</c:v>
                </c:pt>
                <c:pt idx="672">
                  <c:v>78.811099999999996</c:v>
                </c:pt>
                <c:pt idx="673">
                  <c:v>124.4199</c:v>
                </c:pt>
                <c:pt idx="674">
                  <c:v>91.874499999999998</c:v>
                </c:pt>
                <c:pt idx="675">
                  <c:v>116.8023</c:v>
                </c:pt>
                <c:pt idx="676">
                  <c:v>97.101699999999994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85.677999999999997</c:v>
                </c:pt>
                <c:pt idx="680">
                  <c:v>103.3694</c:v>
                </c:pt>
                <c:pt idx="681">
                  <c:v>63.368099999999998</c:v>
                </c:pt>
                <c:pt idx="682">
                  <c:v>164.2148</c:v>
                </c:pt>
                <c:pt idx="683">
                  <c:v>66.032700000000006</c:v>
                </c:pt>
                <c:pt idx="684">
                  <c:v>74.786699999999996</c:v>
                </c:pt>
                <c:pt idx="685">
                  <c:v>143.31880000000001</c:v>
                </c:pt>
                <c:pt idx="686">
                  <c:v>78.0518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84.664599999999993</c:v>
                </c:pt>
                <c:pt idx="691">
                  <c:v>101.0564</c:v>
                </c:pt>
                <c:pt idx="692">
                  <c:v>92.707800000000006</c:v>
                </c:pt>
                <c:pt idx="693">
                  <c:v>162.8201</c:v>
                </c:pt>
                <c:pt idx="694">
                  <c:v>76.981899999999996</c:v>
                </c:pt>
                <c:pt idx="695">
                  <c:v>112.595</c:v>
                </c:pt>
                <c:pt idx="696">
                  <c:v>87.872</c:v>
                </c:pt>
                <c:pt idx="697">
                  <c:v>135.61959999999999</c:v>
                </c:pt>
                <c:pt idx="698">
                  <c:v>95.136700000000005</c:v>
                </c:pt>
                <c:pt idx="699">
                  <c:v>64.903499999999994</c:v>
                </c:pt>
                <c:pt idx="700">
                  <c:v>78.739699999999999</c:v>
                </c:pt>
                <c:pt idx="701">
                  <c:v>100.7</c:v>
                </c:pt>
                <c:pt idx="702">
                  <c:v>75.702100000000002</c:v>
                </c:pt>
                <c:pt idx="703">
                  <c:v>98.638999999999996</c:v>
                </c:pt>
                <c:pt idx="704">
                  <c:v>76.1126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82.183800000000005</c:v>
                </c:pt>
                <c:pt idx="708">
                  <c:v>74.089100000000002</c:v>
                </c:pt>
                <c:pt idx="709">
                  <c:v>66.576400000000007</c:v>
                </c:pt>
                <c:pt idx="710">
                  <c:v>90.19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78.629900000000006</c:v>
                </c:pt>
                <c:pt idx="716">
                  <c:v>105.07040000000001</c:v>
                </c:pt>
                <c:pt idx="717">
                  <c:v>83.644199999999998</c:v>
                </c:pt>
                <c:pt idx="718">
                  <c:v>74.377700000000004</c:v>
                </c:pt>
                <c:pt idx="719">
                  <c:v>94.951099999999997</c:v>
                </c:pt>
                <c:pt idx="720">
                  <c:v>109.2971</c:v>
                </c:pt>
                <c:pt idx="721">
                  <c:v>97.900899999999993</c:v>
                </c:pt>
                <c:pt idx="722">
                  <c:v>116.1161</c:v>
                </c:pt>
                <c:pt idx="723">
                  <c:v>92.399299999999997</c:v>
                </c:pt>
                <c:pt idx="724">
                  <c:v>75.365899999999996</c:v>
                </c:pt>
                <c:pt idx="725">
                  <c:v>76.669600000000003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70.190700000000007</c:v>
                </c:pt>
                <c:pt idx="731">
                  <c:v>71.994</c:v>
                </c:pt>
                <c:pt idx="732">
                  <c:v>75.202100000000002</c:v>
                </c:pt>
                <c:pt idx="733">
                  <c:v>70.148899999999998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56.767899999999997</c:v>
                </c:pt>
                <c:pt idx="739">
                  <c:v>75.978399999999993</c:v>
                </c:pt>
                <c:pt idx="740">
                  <c:v>119.6972</c:v>
                </c:pt>
                <c:pt idx="741">
                  <c:v>82.893500000000003</c:v>
                </c:pt>
                <c:pt idx="742">
                  <c:v>59.430199999999999</c:v>
                </c:pt>
                <c:pt idx="743">
                  <c:v>126.0103</c:v>
                </c:pt>
                <c:pt idx="744">
                  <c:v>79.687700000000007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90.098200000000006</c:v>
                </c:pt>
                <c:pt idx="748">
                  <c:v>91.4345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80.325800000000001</c:v>
                </c:pt>
                <c:pt idx="754">
                  <c:v>63.472200000000001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85.527900000000002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88.854200000000006</c:v>
                </c:pt>
                <c:pt idx="764">
                  <c:v>93.759299999999996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77.171099999999996</c:v>
                </c:pt>
                <c:pt idx="770">
                  <c:v>149.22669999999999</c:v>
                </c:pt>
                <c:pt idx="771">
                  <c:v>81.218800000000002</c:v>
                </c:pt>
                <c:pt idx="772">
                  <c:v>207.41679999999999</c:v>
                </c:pt>
                <c:pt idx="773">
                  <c:v>87.352800000000002</c:v>
                </c:pt>
                <c:pt idx="774">
                  <c:v>89.529899999999998</c:v>
                </c:pt>
                <c:pt idx="775">
                  <c:v>85.046499999999995</c:v>
                </c:pt>
                <c:pt idx="776">
                  <c:v>101.0745</c:v>
                </c:pt>
                <c:pt idx="777">
                  <c:v>79.497799999999998</c:v>
                </c:pt>
                <c:pt idx="778">
                  <c:v>101.89100000000001</c:v>
                </c:pt>
                <c:pt idx="779">
                  <c:v>93.801100000000005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73.022999999999996</c:v>
                </c:pt>
                <c:pt idx="784">
                  <c:v>111.90730000000001</c:v>
                </c:pt>
                <c:pt idx="785">
                  <c:v>71.754099999999994</c:v>
                </c:pt>
                <c:pt idx="786">
                  <c:v>127.6467</c:v>
                </c:pt>
                <c:pt idx="787">
                  <c:v>86.228300000000004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60.1631</c:v>
                </c:pt>
                <c:pt idx="791">
                  <c:v>72.136399999999995</c:v>
                </c:pt>
                <c:pt idx="792">
                  <c:v>97.886600000000001</c:v>
                </c:pt>
                <c:pt idx="793">
                  <c:v>102.37130000000001</c:v>
                </c:pt>
                <c:pt idx="794">
                  <c:v>88.432699999999997</c:v>
                </c:pt>
                <c:pt idx="795">
                  <c:v>113.4186</c:v>
                </c:pt>
                <c:pt idx="796">
                  <c:v>85.992199999999997</c:v>
                </c:pt>
                <c:pt idx="797">
                  <c:v>99.741100000000003</c:v>
                </c:pt>
                <c:pt idx="798">
                  <c:v>88.781099999999995</c:v>
                </c:pt>
                <c:pt idx="799">
                  <c:v>90.605199999999996</c:v>
                </c:pt>
                <c:pt idx="800">
                  <c:v>138.75649999999999</c:v>
                </c:pt>
                <c:pt idx="801">
                  <c:v>87.479799999999997</c:v>
                </c:pt>
                <c:pt idx="802">
                  <c:v>80.887699999999995</c:v>
                </c:pt>
                <c:pt idx="803">
                  <c:v>137.19370000000001</c:v>
                </c:pt>
                <c:pt idx="804">
                  <c:v>59.7699</c:v>
                </c:pt>
                <c:pt idx="805">
                  <c:v>115.82380000000001</c:v>
                </c:pt>
                <c:pt idx="806">
                  <c:v>98.171000000000006</c:v>
                </c:pt>
                <c:pt idx="807">
                  <c:v>76.793099999999995</c:v>
                </c:pt>
                <c:pt idx="808">
                  <c:v>112.0441</c:v>
                </c:pt>
                <c:pt idx="809">
                  <c:v>96.614400000000003</c:v>
                </c:pt>
                <c:pt idx="810">
                  <c:v>60.217599999999997</c:v>
                </c:pt>
                <c:pt idx="811">
                  <c:v>153.8939</c:v>
                </c:pt>
                <c:pt idx="812">
                  <c:v>160.4958</c:v>
                </c:pt>
                <c:pt idx="813">
                  <c:v>86.602900000000005</c:v>
                </c:pt>
                <c:pt idx="814">
                  <c:v>62.3538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81.704700000000003</c:v>
                </c:pt>
                <c:pt idx="820">
                  <c:v>80.186599999999999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80.2804</c:v>
                </c:pt>
                <c:pt idx="825">
                  <c:v>66.698999999999998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95.379199999999997</c:v>
                </c:pt>
                <c:pt idx="831">
                  <c:v>88.963200000000001</c:v>
                </c:pt>
                <c:pt idx="832">
                  <c:v>69.972700000000003</c:v>
                </c:pt>
                <c:pt idx="833">
                  <c:v>124.39100000000001</c:v>
                </c:pt>
                <c:pt idx="834">
                  <c:v>90.379300000000001</c:v>
                </c:pt>
                <c:pt idx="835">
                  <c:v>61.206400000000002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72.7791</c:v>
                </c:pt>
                <c:pt idx="839">
                  <c:v>72.011700000000005</c:v>
                </c:pt>
                <c:pt idx="840">
                  <c:v>145.9075</c:v>
                </c:pt>
                <c:pt idx="841">
                  <c:v>77.0535</c:v>
                </c:pt>
                <c:pt idx="842">
                  <c:v>93.730400000000003</c:v>
                </c:pt>
                <c:pt idx="843">
                  <c:v>162.8552</c:v>
                </c:pt>
                <c:pt idx="844">
                  <c:v>72.593000000000004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98.843400000000003</c:v>
                </c:pt>
                <c:pt idx="852">
                  <c:v>107.6875</c:v>
                </c:pt>
                <c:pt idx="853">
                  <c:v>66.6036</c:v>
                </c:pt>
                <c:pt idx="854">
                  <c:v>195.36099999999999</c:v>
                </c:pt>
                <c:pt idx="855">
                  <c:v>82.928600000000003</c:v>
                </c:pt>
                <c:pt idx="856">
                  <c:v>79.709400000000002</c:v>
                </c:pt>
                <c:pt idx="857">
                  <c:v>91.718599999999995</c:v>
                </c:pt>
                <c:pt idx="858">
                  <c:v>83.821399999999997</c:v>
                </c:pt>
                <c:pt idx="859">
                  <c:v>123.0249</c:v>
                </c:pt>
                <c:pt idx="860">
                  <c:v>118.5188</c:v>
                </c:pt>
                <c:pt idx="861">
                  <c:v>64.0578</c:v>
                </c:pt>
                <c:pt idx="862">
                  <c:v>58.859400000000001</c:v>
                </c:pt>
                <c:pt idx="863">
                  <c:v>91.711399999999998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77.653599999999997</c:v>
                </c:pt>
                <c:pt idx="869">
                  <c:v>99.212699999999998</c:v>
                </c:pt>
                <c:pt idx="870">
                  <c:v>86.038700000000006</c:v>
                </c:pt>
                <c:pt idx="871">
                  <c:v>57.8127</c:v>
                </c:pt>
                <c:pt idx="872">
                  <c:v>61.267899999999997</c:v>
                </c:pt>
                <c:pt idx="873">
                  <c:v>100.431</c:v>
                </c:pt>
                <c:pt idx="874">
                  <c:v>61.410499999999999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95.641599999999997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70.983500000000006</c:v>
                </c:pt>
                <c:pt idx="882">
                  <c:v>49.658000000000001</c:v>
                </c:pt>
                <c:pt idx="883">
                  <c:v>91.572599999999994</c:v>
                </c:pt>
                <c:pt idx="884">
                  <c:v>75.389799999999994</c:v>
                </c:pt>
                <c:pt idx="885">
                  <c:v>101.19110000000001</c:v>
                </c:pt>
                <c:pt idx="886">
                  <c:v>61.947099999999999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69.413200000000003</c:v>
                </c:pt>
                <c:pt idx="890">
                  <c:v>65.543700000000001</c:v>
                </c:pt>
                <c:pt idx="891">
                  <c:v>118.4162</c:v>
                </c:pt>
                <c:pt idx="892">
                  <c:v>103.6491</c:v>
                </c:pt>
                <c:pt idx="893">
                  <c:v>64.267200000000003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71.069999999999993</c:v>
                </c:pt>
                <c:pt idx="898">
                  <c:v>130.84399999999999</c:v>
                </c:pt>
                <c:pt idx="899">
                  <c:v>92.224999999999994</c:v>
                </c:pt>
                <c:pt idx="900">
                  <c:v>79.061599999999999</c:v>
                </c:pt>
                <c:pt idx="901">
                  <c:v>104.1075</c:v>
                </c:pt>
                <c:pt idx="902">
                  <c:v>99.425700000000006</c:v>
                </c:pt>
                <c:pt idx="903">
                  <c:v>71.199700000000007</c:v>
                </c:pt>
                <c:pt idx="904">
                  <c:v>89.467299999999994</c:v>
                </c:pt>
                <c:pt idx="905">
                  <c:v>82.000900000000001</c:v>
                </c:pt>
                <c:pt idx="906">
                  <c:v>85.997100000000003</c:v>
                </c:pt>
                <c:pt idx="907">
                  <c:v>98.722700000000003</c:v>
                </c:pt>
                <c:pt idx="908">
                  <c:v>75.162499999999994</c:v>
                </c:pt>
                <c:pt idx="909">
                  <c:v>108.997</c:v>
                </c:pt>
                <c:pt idx="910">
                  <c:v>86.066400000000002</c:v>
                </c:pt>
                <c:pt idx="911">
                  <c:v>98.756399999999999</c:v>
                </c:pt>
                <c:pt idx="912">
                  <c:v>93.554199999999994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82.9602</c:v>
                </c:pt>
                <c:pt idx="916">
                  <c:v>72.508600000000001</c:v>
                </c:pt>
                <c:pt idx="917">
                  <c:v>132.9691</c:v>
                </c:pt>
                <c:pt idx="918">
                  <c:v>68.381799999999998</c:v>
                </c:pt>
                <c:pt idx="919">
                  <c:v>73.394099999999995</c:v>
                </c:pt>
                <c:pt idx="920">
                  <c:v>92.134799999999998</c:v>
                </c:pt>
                <c:pt idx="921">
                  <c:v>89.898499999999999</c:v>
                </c:pt>
                <c:pt idx="922">
                  <c:v>130.03649999999999</c:v>
                </c:pt>
                <c:pt idx="923">
                  <c:v>87.877700000000004</c:v>
                </c:pt>
                <c:pt idx="924">
                  <c:v>82.846800000000002</c:v>
                </c:pt>
                <c:pt idx="925">
                  <c:v>88.422399999999996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75.786699999999996</c:v>
                </c:pt>
                <c:pt idx="932">
                  <c:v>67.120400000000004</c:v>
                </c:pt>
                <c:pt idx="933">
                  <c:v>60.976799999999997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81.438599999999994</c:v>
                </c:pt>
                <c:pt idx="938">
                  <c:v>88.859399999999994</c:v>
                </c:pt>
                <c:pt idx="939">
                  <c:v>73.334299999999999</c:v>
                </c:pt>
                <c:pt idx="940">
                  <c:v>88.719499999999996</c:v>
                </c:pt>
                <c:pt idx="941">
                  <c:v>163.6482</c:v>
                </c:pt>
                <c:pt idx="942">
                  <c:v>50.221400000000003</c:v>
                </c:pt>
                <c:pt idx="943">
                  <c:v>93.685900000000004</c:v>
                </c:pt>
                <c:pt idx="944">
                  <c:v>54.074100000000001</c:v>
                </c:pt>
                <c:pt idx="945">
                  <c:v>93.277199999999993</c:v>
                </c:pt>
                <c:pt idx="946">
                  <c:v>109.0628</c:v>
                </c:pt>
                <c:pt idx="947">
                  <c:v>94.174400000000006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92.683199999999999</c:v>
                </c:pt>
                <c:pt idx="951">
                  <c:v>81.709699999999998</c:v>
                </c:pt>
                <c:pt idx="952">
                  <c:v>80.438100000000006</c:v>
                </c:pt>
                <c:pt idx="953">
                  <c:v>79.499200000000002</c:v>
                </c:pt>
                <c:pt idx="954">
                  <c:v>86.261099999999999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99.282200000000003</c:v>
                </c:pt>
                <c:pt idx="958">
                  <c:v>118.218</c:v>
                </c:pt>
                <c:pt idx="959">
                  <c:v>92.959299999999999</c:v>
                </c:pt>
                <c:pt idx="960">
                  <c:v>108.9186</c:v>
                </c:pt>
                <c:pt idx="961">
                  <c:v>60.816600000000001</c:v>
                </c:pt>
                <c:pt idx="962">
                  <c:v>86.6023</c:v>
                </c:pt>
                <c:pt idx="963">
                  <c:v>91.376199999999997</c:v>
                </c:pt>
                <c:pt idx="964">
                  <c:v>89.765600000000006</c:v>
                </c:pt>
                <c:pt idx="965">
                  <c:v>111.4491</c:v>
                </c:pt>
                <c:pt idx="966">
                  <c:v>80.743099999999998</c:v>
                </c:pt>
                <c:pt idx="967">
                  <c:v>73.159400000000005</c:v>
                </c:pt>
                <c:pt idx="968">
                  <c:v>176.7784</c:v>
                </c:pt>
                <c:pt idx="969">
                  <c:v>95.773700000000005</c:v>
                </c:pt>
                <c:pt idx="970">
                  <c:v>122.7127</c:v>
                </c:pt>
                <c:pt idx="971">
                  <c:v>71.037999999999997</c:v>
                </c:pt>
                <c:pt idx="972">
                  <c:v>108.8023</c:v>
                </c:pt>
                <c:pt idx="973">
                  <c:v>106.0287</c:v>
                </c:pt>
                <c:pt idx="974">
                  <c:v>80.885599999999997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29.907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86.724599999999995</c:v>
                </c:pt>
                <c:pt idx="984">
                  <c:v>91.236000000000004</c:v>
                </c:pt>
                <c:pt idx="985">
                  <c:v>73.479900000000001</c:v>
                </c:pt>
                <c:pt idx="986">
                  <c:v>107.2128</c:v>
                </c:pt>
                <c:pt idx="987">
                  <c:v>92.698499999999996</c:v>
                </c:pt>
                <c:pt idx="988">
                  <c:v>82.496399999999994</c:v>
                </c:pt>
                <c:pt idx="989">
                  <c:v>149.32050000000001</c:v>
                </c:pt>
                <c:pt idx="990">
                  <c:v>98.299000000000007</c:v>
                </c:pt>
                <c:pt idx="991">
                  <c:v>75.260099999999994</c:v>
                </c:pt>
                <c:pt idx="992">
                  <c:v>67.332400000000007</c:v>
                </c:pt>
                <c:pt idx="993">
                  <c:v>90.301699999999997</c:v>
                </c:pt>
                <c:pt idx="994">
                  <c:v>77.787599999999998</c:v>
                </c:pt>
                <c:pt idx="995">
                  <c:v>74.455799999999996</c:v>
                </c:pt>
                <c:pt idx="996">
                  <c:v>169.77799999999999</c:v>
                </c:pt>
                <c:pt idx="997">
                  <c:v>84.463700000000003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xVal>
          <c:yVal>
            <c:numRef>
              <c:f>'Asset or Nothing Call Option'!$R$2:$R$1001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169.07560000000001</c:v>
                </c:pt>
                <c:pt idx="3">
                  <c:v>0</c:v>
                </c:pt>
                <c:pt idx="4">
                  <c:v>0</c:v>
                </c:pt>
                <c:pt idx="5">
                  <c:v>133.9563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0</c:v>
                </c:pt>
                <c:pt idx="14">
                  <c:v>0</c:v>
                </c:pt>
                <c:pt idx="15">
                  <c:v>100.86409999999999</c:v>
                </c:pt>
                <c:pt idx="16">
                  <c:v>0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0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0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0</c:v>
                </c:pt>
                <c:pt idx="35">
                  <c:v>0</c:v>
                </c:pt>
                <c:pt idx="36">
                  <c:v>108.84229999999999</c:v>
                </c:pt>
                <c:pt idx="37">
                  <c:v>0</c:v>
                </c:pt>
                <c:pt idx="38">
                  <c:v>120.6168</c:v>
                </c:pt>
                <c:pt idx="39">
                  <c:v>0</c:v>
                </c:pt>
                <c:pt idx="40">
                  <c:v>0</c:v>
                </c:pt>
                <c:pt idx="41">
                  <c:v>143.7158</c:v>
                </c:pt>
                <c:pt idx="42">
                  <c:v>112.6417</c:v>
                </c:pt>
                <c:pt idx="43">
                  <c:v>0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0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110.2734</c:v>
                </c:pt>
                <c:pt idx="55">
                  <c:v>0</c:v>
                </c:pt>
                <c:pt idx="56">
                  <c:v>117.4097</c:v>
                </c:pt>
                <c:pt idx="57">
                  <c:v>0</c:v>
                </c:pt>
                <c:pt idx="58">
                  <c:v>0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0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0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0</c:v>
                </c:pt>
                <c:pt idx="69">
                  <c:v>145.65870000000001</c:v>
                </c:pt>
                <c:pt idx="70">
                  <c:v>0</c:v>
                </c:pt>
                <c:pt idx="71">
                  <c:v>0</c:v>
                </c:pt>
                <c:pt idx="72">
                  <c:v>101.3502</c:v>
                </c:pt>
                <c:pt idx="73">
                  <c:v>0</c:v>
                </c:pt>
                <c:pt idx="74">
                  <c:v>0</c:v>
                </c:pt>
                <c:pt idx="75">
                  <c:v>196.56819999999999</c:v>
                </c:pt>
                <c:pt idx="76">
                  <c:v>0</c:v>
                </c:pt>
                <c:pt idx="77">
                  <c:v>159.8614</c:v>
                </c:pt>
                <c:pt idx="78">
                  <c:v>0</c:v>
                </c:pt>
                <c:pt idx="79">
                  <c:v>110.8716</c:v>
                </c:pt>
                <c:pt idx="80">
                  <c:v>0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0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0</c:v>
                </c:pt>
                <c:pt idx="91">
                  <c:v>134.92910000000001</c:v>
                </c:pt>
                <c:pt idx="92">
                  <c:v>0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0</c:v>
                </c:pt>
                <c:pt idx="96">
                  <c:v>0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0</c:v>
                </c:pt>
                <c:pt idx="100">
                  <c:v>0</c:v>
                </c:pt>
                <c:pt idx="101">
                  <c:v>127.3869</c:v>
                </c:pt>
                <c:pt idx="102">
                  <c:v>0</c:v>
                </c:pt>
                <c:pt idx="103">
                  <c:v>102.2422</c:v>
                </c:pt>
                <c:pt idx="104">
                  <c:v>0</c:v>
                </c:pt>
                <c:pt idx="105">
                  <c:v>108.90470000000001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0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114.8745</c:v>
                </c:pt>
                <c:pt idx="121">
                  <c:v>114.8939</c:v>
                </c:pt>
                <c:pt idx="122">
                  <c:v>0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0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125.2116</c:v>
                </c:pt>
                <c:pt idx="142">
                  <c:v>0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0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0</c:v>
                </c:pt>
                <c:pt idx="153">
                  <c:v>0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0</c:v>
                </c:pt>
                <c:pt idx="167">
                  <c:v>117.9217</c:v>
                </c:pt>
                <c:pt idx="168">
                  <c:v>0</c:v>
                </c:pt>
                <c:pt idx="169">
                  <c:v>0</c:v>
                </c:pt>
                <c:pt idx="170">
                  <c:v>122.5309</c:v>
                </c:pt>
                <c:pt idx="171">
                  <c:v>0</c:v>
                </c:pt>
                <c:pt idx="172">
                  <c:v>0</c:v>
                </c:pt>
                <c:pt idx="173">
                  <c:v>127.3792</c:v>
                </c:pt>
                <c:pt idx="174">
                  <c:v>0</c:v>
                </c:pt>
                <c:pt idx="175">
                  <c:v>0</c:v>
                </c:pt>
                <c:pt idx="176">
                  <c:v>141.2645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0</c:v>
                </c:pt>
                <c:pt idx="185">
                  <c:v>0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0</c:v>
                </c:pt>
                <c:pt idx="189">
                  <c:v>0</c:v>
                </c:pt>
                <c:pt idx="190">
                  <c:v>131.9862</c:v>
                </c:pt>
                <c:pt idx="191">
                  <c:v>0</c:v>
                </c:pt>
                <c:pt idx="192">
                  <c:v>109.4092</c:v>
                </c:pt>
                <c:pt idx="193">
                  <c:v>100.9547</c:v>
                </c:pt>
                <c:pt idx="194">
                  <c:v>0</c:v>
                </c:pt>
                <c:pt idx="195">
                  <c:v>116.3783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161.45359999999999</c:v>
                </c:pt>
                <c:pt idx="200">
                  <c:v>0</c:v>
                </c:pt>
                <c:pt idx="201">
                  <c:v>0</c:v>
                </c:pt>
                <c:pt idx="202">
                  <c:v>224.876</c:v>
                </c:pt>
                <c:pt idx="203">
                  <c:v>0</c:v>
                </c:pt>
                <c:pt idx="204">
                  <c:v>0</c:v>
                </c:pt>
                <c:pt idx="205">
                  <c:v>100.8552</c:v>
                </c:pt>
                <c:pt idx="206">
                  <c:v>113.9264</c:v>
                </c:pt>
                <c:pt idx="207">
                  <c:v>0</c:v>
                </c:pt>
                <c:pt idx="208">
                  <c:v>0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0</c:v>
                </c:pt>
                <c:pt idx="213">
                  <c:v>144.22219999999999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111.64230000000001</c:v>
                </c:pt>
                <c:pt idx="225">
                  <c:v>0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0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0</c:v>
                </c:pt>
                <c:pt idx="233">
                  <c:v>0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0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0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0</c:v>
                </c:pt>
                <c:pt idx="248">
                  <c:v>112.12009999999999</c:v>
                </c:pt>
                <c:pt idx="249">
                  <c:v>100.1026</c:v>
                </c:pt>
                <c:pt idx="250">
                  <c:v>0</c:v>
                </c:pt>
                <c:pt idx="251">
                  <c:v>102.2496</c:v>
                </c:pt>
                <c:pt idx="252">
                  <c:v>0</c:v>
                </c:pt>
                <c:pt idx="253">
                  <c:v>207.8408</c:v>
                </c:pt>
                <c:pt idx="254">
                  <c:v>124.7543</c:v>
                </c:pt>
                <c:pt idx="255">
                  <c:v>0</c:v>
                </c:pt>
                <c:pt idx="256">
                  <c:v>113.6266</c:v>
                </c:pt>
                <c:pt idx="257">
                  <c:v>0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0</c:v>
                </c:pt>
                <c:pt idx="268">
                  <c:v>106.31489999999999</c:v>
                </c:pt>
                <c:pt idx="269">
                  <c:v>0</c:v>
                </c:pt>
                <c:pt idx="270">
                  <c:v>178.9699</c:v>
                </c:pt>
                <c:pt idx="271">
                  <c:v>138.5557</c:v>
                </c:pt>
                <c:pt idx="272">
                  <c:v>0</c:v>
                </c:pt>
                <c:pt idx="273">
                  <c:v>0</c:v>
                </c:pt>
                <c:pt idx="274">
                  <c:v>151.1952</c:v>
                </c:pt>
                <c:pt idx="275">
                  <c:v>112.9901</c:v>
                </c:pt>
                <c:pt idx="276">
                  <c:v>0</c:v>
                </c:pt>
                <c:pt idx="277">
                  <c:v>0</c:v>
                </c:pt>
                <c:pt idx="278">
                  <c:v>136.76609999999999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120.42789999999999</c:v>
                </c:pt>
                <c:pt idx="284">
                  <c:v>0</c:v>
                </c:pt>
                <c:pt idx="285">
                  <c:v>0</c:v>
                </c:pt>
                <c:pt idx="286">
                  <c:v>112.3961</c:v>
                </c:pt>
                <c:pt idx="287">
                  <c:v>0</c:v>
                </c:pt>
                <c:pt idx="288">
                  <c:v>0</c:v>
                </c:pt>
                <c:pt idx="289">
                  <c:v>107.8442</c:v>
                </c:pt>
                <c:pt idx="290">
                  <c:v>0</c:v>
                </c:pt>
                <c:pt idx="291">
                  <c:v>139.69810000000001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128.10730000000001</c:v>
                </c:pt>
                <c:pt idx="297">
                  <c:v>0</c:v>
                </c:pt>
                <c:pt idx="298">
                  <c:v>0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0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0</c:v>
                </c:pt>
                <c:pt idx="306">
                  <c:v>124.0968</c:v>
                </c:pt>
                <c:pt idx="307">
                  <c:v>0</c:v>
                </c:pt>
                <c:pt idx="308">
                  <c:v>174.79589999999999</c:v>
                </c:pt>
                <c:pt idx="309">
                  <c:v>0</c:v>
                </c:pt>
                <c:pt idx="310">
                  <c:v>0</c:v>
                </c:pt>
                <c:pt idx="311">
                  <c:v>127.39019999999999</c:v>
                </c:pt>
                <c:pt idx="312">
                  <c:v>0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0</c:v>
                </c:pt>
                <c:pt idx="316">
                  <c:v>0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0</c:v>
                </c:pt>
                <c:pt idx="323">
                  <c:v>129.77269999999999</c:v>
                </c:pt>
                <c:pt idx="324">
                  <c:v>0</c:v>
                </c:pt>
                <c:pt idx="325">
                  <c:v>100.48009999999999</c:v>
                </c:pt>
                <c:pt idx="326">
                  <c:v>0</c:v>
                </c:pt>
                <c:pt idx="327">
                  <c:v>100.87309999999999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121.80029999999999</c:v>
                </c:pt>
                <c:pt idx="332">
                  <c:v>0</c:v>
                </c:pt>
                <c:pt idx="333">
                  <c:v>0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147.00200000000001</c:v>
                </c:pt>
                <c:pt idx="341">
                  <c:v>0</c:v>
                </c:pt>
                <c:pt idx="342">
                  <c:v>97.630700000000004</c:v>
                </c:pt>
                <c:pt idx="343">
                  <c:v>0</c:v>
                </c:pt>
                <c:pt idx="344">
                  <c:v>0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0</c:v>
                </c:pt>
                <c:pt idx="348">
                  <c:v>0</c:v>
                </c:pt>
                <c:pt idx="349">
                  <c:v>100.30929999999999</c:v>
                </c:pt>
                <c:pt idx="350">
                  <c:v>0</c:v>
                </c:pt>
                <c:pt idx="351">
                  <c:v>0</c:v>
                </c:pt>
                <c:pt idx="352">
                  <c:v>137.63159999999999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114.5966</c:v>
                </c:pt>
                <c:pt idx="357">
                  <c:v>0</c:v>
                </c:pt>
                <c:pt idx="358">
                  <c:v>0</c:v>
                </c:pt>
                <c:pt idx="359">
                  <c:v>105.3274</c:v>
                </c:pt>
                <c:pt idx="360">
                  <c:v>0</c:v>
                </c:pt>
                <c:pt idx="361">
                  <c:v>0</c:v>
                </c:pt>
                <c:pt idx="362">
                  <c:v>111.2129</c:v>
                </c:pt>
                <c:pt idx="363">
                  <c:v>0</c:v>
                </c:pt>
                <c:pt idx="364">
                  <c:v>155.43950000000001</c:v>
                </c:pt>
                <c:pt idx="365">
                  <c:v>0</c:v>
                </c:pt>
                <c:pt idx="366">
                  <c:v>0</c:v>
                </c:pt>
                <c:pt idx="367">
                  <c:v>109.3099</c:v>
                </c:pt>
                <c:pt idx="368">
                  <c:v>119.3515</c:v>
                </c:pt>
                <c:pt idx="369">
                  <c:v>0</c:v>
                </c:pt>
                <c:pt idx="370">
                  <c:v>143.77510000000001</c:v>
                </c:pt>
                <c:pt idx="371">
                  <c:v>0</c:v>
                </c:pt>
                <c:pt idx="372">
                  <c:v>1.2500000000000001E-2</c:v>
                </c:pt>
                <c:pt idx="373">
                  <c:v>119.1769</c:v>
                </c:pt>
                <c:pt idx="374">
                  <c:v>0</c:v>
                </c:pt>
                <c:pt idx="375">
                  <c:v>0</c:v>
                </c:pt>
                <c:pt idx="376">
                  <c:v>110.23820000000001</c:v>
                </c:pt>
                <c:pt idx="377">
                  <c:v>0</c:v>
                </c:pt>
                <c:pt idx="378">
                  <c:v>0</c:v>
                </c:pt>
                <c:pt idx="379">
                  <c:v>114.4449</c:v>
                </c:pt>
                <c:pt idx="380">
                  <c:v>0</c:v>
                </c:pt>
                <c:pt idx="381">
                  <c:v>123.8245</c:v>
                </c:pt>
                <c:pt idx="382">
                  <c:v>0</c:v>
                </c:pt>
                <c:pt idx="383">
                  <c:v>0</c:v>
                </c:pt>
                <c:pt idx="384">
                  <c:v>109.1691</c:v>
                </c:pt>
                <c:pt idx="385">
                  <c:v>0</c:v>
                </c:pt>
                <c:pt idx="386">
                  <c:v>0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0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0</c:v>
                </c:pt>
                <c:pt idx="394">
                  <c:v>155.9221</c:v>
                </c:pt>
                <c:pt idx="395">
                  <c:v>0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0</c:v>
                </c:pt>
                <c:pt idx="405">
                  <c:v>0</c:v>
                </c:pt>
                <c:pt idx="406">
                  <c:v>130.05770000000001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0</c:v>
                </c:pt>
                <c:pt idx="418">
                  <c:v>0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0</c:v>
                </c:pt>
                <c:pt idx="427">
                  <c:v>0</c:v>
                </c:pt>
                <c:pt idx="428">
                  <c:v>127.15260000000001</c:v>
                </c:pt>
                <c:pt idx="429">
                  <c:v>0</c:v>
                </c:pt>
                <c:pt idx="430">
                  <c:v>0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0</c:v>
                </c:pt>
                <c:pt idx="435">
                  <c:v>119.54689999999999</c:v>
                </c:pt>
                <c:pt idx="436">
                  <c:v>0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0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0</c:v>
                </c:pt>
                <c:pt idx="445">
                  <c:v>0</c:v>
                </c:pt>
                <c:pt idx="446">
                  <c:v>133.5326</c:v>
                </c:pt>
                <c:pt idx="447">
                  <c:v>0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116.1472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0</c:v>
                </c:pt>
                <c:pt idx="475">
                  <c:v>103.6763</c:v>
                </c:pt>
                <c:pt idx="476">
                  <c:v>0</c:v>
                </c:pt>
                <c:pt idx="477">
                  <c:v>0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0</c:v>
                </c:pt>
                <c:pt idx="484">
                  <c:v>104.8809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132.00640000000001</c:v>
                </c:pt>
                <c:pt idx="491">
                  <c:v>0</c:v>
                </c:pt>
                <c:pt idx="492">
                  <c:v>0</c:v>
                </c:pt>
                <c:pt idx="493">
                  <c:v>113.4224</c:v>
                </c:pt>
                <c:pt idx="494">
                  <c:v>0</c:v>
                </c:pt>
                <c:pt idx="495">
                  <c:v>184.44749999999999</c:v>
                </c:pt>
                <c:pt idx="496">
                  <c:v>0</c:v>
                </c:pt>
                <c:pt idx="497">
                  <c:v>173.74619999999999</c:v>
                </c:pt>
                <c:pt idx="498">
                  <c:v>0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0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0.13819999999999999</c:v>
                </c:pt>
                <c:pt idx="506">
                  <c:v>0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0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0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0</c:v>
                </c:pt>
                <c:pt idx="520">
                  <c:v>115.7529</c:v>
                </c:pt>
                <c:pt idx="521">
                  <c:v>0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0</c:v>
                </c:pt>
                <c:pt idx="527">
                  <c:v>9.9000000000000005E-2</c:v>
                </c:pt>
                <c:pt idx="528">
                  <c:v>0</c:v>
                </c:pt>
                <c:pt idx="529">
                  <c:v>112.11920000000001</c:v>
                </c:pt>
                <c:pt idx="530">
                  <c:v>0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0</c:v>
                </c:pt>
                <c:pt idx="538">
                  <c:v>110.2265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0</c:v>
                </c:pt>
                <c:pt idx="546">
                  <c:v>0</c:v>
                </c:pt>
                <c:pt idx="547">
                  <c:v>161.23740000000001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0</c:v>
                </c:pt>
                <c:pt idx="555">
                  <c:v>100.282</c:v>
                </c:pt>
                <c:pt idx="556">
                  <c:v>0</c:v>
                </c:pt>
                <c:pt idx="557">
                  <c:v>102.6949</c:v>
                </c:pt>
                <c:pt idx="558">
                  <c:v>115.3536</c:v>
                </c:pt>
                <c:pt idx="559">
                  <c:v>0</c:v>
                </c:pt>
                <c:pt idx="560">
                  <c:v>124.8287</c:v>
                </c:pt>
                <c:pt idx="561">
                  <c:v>0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0</c:v>
                </c:pt>
                <c:pt idx="565">
                  <c:v>0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106.4387</c:v>
                </c:pt>
                <c:pt idx="572">
                  <c:v>0</c:v>
                </c:pt>
                <c:pt idx="573">
                  <c:v>109.91759999999999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139.9427</c:v>
                </c:pt>
                <c:pt idx="578">
                  <c:v>0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0</c:v>
                </c:pt>
                <c:pt idx="585">
                  <c:v>0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0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0</c:v>
                </c:pt>
                <c:pt idx="594">
                  <c:v>0</c:v>
                </c:pt>
                <c:pt idx="595">
                  <c:v>112.9845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0</c:v>
                </c:pt>
                <c:pt idx="606">
                  <c:v>128.30029999999999</c:v>
                </c:pt>
                <c:pt idx="607">
                  <c:v>0</c:v>
                </c:pt>
                <c:pt idx="608">
                  <c:v>109.2928</c:v>
                </c:pt>
                <c:pt idx="609">
                  <c:v>0</c:v>
                </c:pt>
                <c:pt idx="610">
                  <c:v>0</c:v>
                </c:pt>
                <c:pt idx="611">
                  <c:v>127.7752</c:v>
                </c:pt>
                <c:pt idx="612">
                  <c:v>0</c:v>
                </c:pt>
                <c:pt idx="613">
                  <c:v>0</c:v>
                </c:pt>
                <c:pt idx="614">
                  <c:v>136.85769999999999</c:v>
                </c:pt>
                <c:pt idx="615">
                  <c:v>0</c:v>
                </c:pt>
                <c:pt idx="616">
                  <c:v>0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0</c:v>
                </c:pt>
                <c:pt idx="621">
                  <c:v>104.569</c:v>
                </c:pt>
                <c:pt idx="622">
                  <c:v>0</c:v>
                </c:pt>
                <c:pt idx="623">
                  <c:v>102.00839999999999</c:v>
                </c:pt>
                <c:pt idx="624">
                  <c:v>0</c:v>
                </c:pt>
                <c:pt idx="625">
                  <c:v>165.37440000000001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143.8964</c:v>
                </c:pt>
                <c:pt idx="630">
                  <c:v>0</c:v>
                </c:pt>
                <c:pt idx="631">
                  <c:v>235.17769999999999</c:v>
                </c:pt>
                <c:pt idx="632">
                  <c:v>0</c:v>
                </c:pt>
                <c:pt idx="633">
                  <c:v>0</c:v>
                </c:pt>
                <c:pt idx="634">
                  <c:v>115.4366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0</c:v>
                </c:pt>
                <c:pt idx="641">
                  <c:v>0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0</c:v>
                </c:pt>
                <c:pt idx="647">
                  <c:v>159.13669999999999</c:v>
                </c:pt>
                <c:pt idx="648">
                  <c:v>0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0</c:v>
                </c:pt>
                <c:pt idx="656">
                  <c:v>0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0</c:v>
                </c:pt>
                <c:pt idx="661">
                  <c:v>0</c:v>
                </c:pt>
                <c:pt idx="662">
                  <c:v>153.61699999999999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104.5757</c:v>
                </c:pt>
                <c:pt idx="667">
                  <c:v>0</c:v>
                </c:pt>
                <c:pt idx="668">
                  <c:v>173.571</c:v>
                </c:pt>
                <c:pt idx="669">
                  <c:v>0</c:v>
                </c:pt>
                <c:pt idx="670">
                  <c:v>161.7397</c:v>
                </c:pt>
                <c:pt idx="671">
                  <c:v>128.6121</c:v>
                </c:pt>
                <c:pt idx="672">
                  <c:v>0</c:v>
                </c:pt>
                <c:pt idx="673">
                  <c:v>124.4199</c:v>
                </c:pt>
                <c:pt idx="674">
                  <c:v>0</c:v>
                </c:pt>
                <c:pt idx="675">
                  <c:v>116.8023</c:v>
                </c:pt>
                <c:pt idx="676">
                  <c:v>0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0</c:v>
                </c:pt>
                <c:pt idx="680">
                  <c:v>103.3694</c:v>
                </c:pt>
                <c:pt idx="681">
                  <c:v>0</c:v>
                </c:pt>
                <c:pt idx="682">
                  <c:v>164.2148</c:v>
                </c:pt>
                <c:pt idx="683">
                  <c:v>0</c:v>
                </c:pt>
                <c:pt idx="684">
                  <c:v>0</c:v>
                </c:pt>
                <c:pt idx="685">
                  <c:v>143.31880000000001</c:v>
                </c:pt>
                <c:pt idx="686">
                  <c:v>0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0</c:v>
                </c:pt>
                <c:pt idx="691">
                  <c:v>101.0564</c:v>
                </c:pt>
                <c:pt idx="692">
                  <c:v>0</c:v>
                </c:pt>
                <c:pt idx="693">
                  <c:v>162.8201</c:v>
                </c:pt>
                <c:pt idx="694">
                  <c:v>0</c:v>
                </c:pt>
                <c:pt idx="695">
                  <c:v>112.595</c:v>
                </c:pt>
                <c:pt idx="696">
                  <c:v>0</c:v>
                </c:pt>
                <c:pt idx="697">
                  <c:v>135.61959999999999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100.7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0</c:v>
                </c:pt>
                <c:pt idx="716">
                  <c:v>105.07040000000001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109.2971</c:v>
                </c:pt>
                <c:pt idx="721">
                  <c:v>0</c:v>
                </c:pt>
                <c:pt idx="722">
                  <c:v>116.1161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0</c:v>
                </c:pt>
                <c:pt idx="739">
                  <c:v>0</c:v>
                </c:pt>
                <c:pt idx="740">
                  <c:v>119.6972</c:v>
                </c:pt>
                <c:pt idx="741">
                  <c:v>0</c:v>
                </c:pt>
                <c:pt idx="742">
                  <c:v>0</c:v>
                </c:pt>
                <c:pt idx="743">
                  <c:v>126.0103</c:v>
                </c:pt>
                <c:pt idx="744">
                  <c:v>0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0</c:v>
                </c:pt>
                <c:pt idx="748">
                  <c:v>0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0</c:v>
                </c:pt>
                <c:pt idx="754">
                  <c:v>0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0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0</c:v>
                </c:pt>
                <c:pt idx="764">
                  <c:v>0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0</c:v>
                </c:pt>
                <c:pt idx="770">
                  <c:v>149.22669999999999</c:v>
                </c:pt>
                <c:pt idx="771">
                  <c:v>0</c:v>
                </c:pt>
                <c:pt idx="772">
                  <c:v>207.41679999999999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101.0745</c:v>
                </c:pt>
                <c:pt idx="777">
                  <c:v>0</c:v>
                </c:pt>
                <c:pt idx="778">
                  <c:v>101.89100000000001</c:v>
                </c:pt>
                <c:pt idx="779">
                  <c:v>0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0</c:v>
                </c:pt>
                <c:pt idx="784">
                  <c:v>111.90730000000001</c:v>
                </c:pt>
                <c:pt idx="785">
                  <c:v>0</c:v>
                </c:pt>
                <c:pt idx="786">
                  <c:v>127.6467</c:v>
                </c:pt>
                <c:pt idx="787">
                  <c:v>0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102.37130000000001</c:v>
                </c:pt>
                <c:pt idx="794">
                  <c:v>0</c:v>
                </c:pt>
                <c:pt idx="795">
                  <c:v>113.4186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138.75649999999999</c:v>
                </c:pt>
                <c:pt idx="801">
                  <c:v>0</c:v>
                </c:pt>
                <c:pt idx="802">
                  <c:v>0</c:v>
                </c:pt>
                <c:pt idx="803">
                  <c:v>137.19370000000001</c:v>
                </c:pt>
                <c:pt idx="804">
                  <c:v>0</c:v>
                </c:pt>
                <c:pt idx="805">
                  <c:v>115.82380000000001</c:v>
                </c:pt>
                <c:pt idx="806">
                  <c:v>0</c:v>
                </c:pt>
                <c:pt idx="807">
                  <c:v>0</c:v>
                </c:pt>
                <c:pt idx="808">
                  <c:v>112.0441</c:v>
                </c:pt>
                <c:pt idx="809">
                  <c:v>0</c:v>
                </c:pt>
                <c:pt idx="810">
                  <c:v>0</c:v>
                </c:pt>
                <c:pt idx="811">
                  <c:v>153.8939</c:v>
                </c:pt>
                <c:pt idx="812">
                  <c:v>160.4958</c:v>
                </c:pt>
                <c:pt idx="813">
                  <c:v>0</c:v>
                </c:pt>
                <c:pt idx="814">
                  <c:v>0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0</c:v>
                </c:pt>
                <c:pt idx="820">
                  <c:v>0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0</c:v>
                </c:pt>
                <c:pt idx="825">
                  <c:v>0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124.39100000000001</c:v>
                </c:pt>
                <c:pt idx="834">
                  <c:v>0</c:v>
                </c:pt>
                <c:pt idx="835">
                  <c:v>0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0</c:v>
                </c:pt>
                <c:pt idx="839">
                  <c:v>0</c:v>
                </c:pt>
                <c:pt idx="840">
                  <c:v>145.9075</c:v>
                </c:pt>
                <c:pt idx="841">
                  <c:v>0</c:v>
                </c:pt>
                <c:pt idx="842">
                  <c:v>0</c:v>
                </c:pt>
                <c:pt idx="843">
                  <c:v>162.8552</c:v>
                </c:pt>
                <c:pt idx="844">
                  <c:v>0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0</c:v>
                </c:pt>
                <c:pt idx="852">
                  <c:v>107.6875</c:v>
                </c:pt>
                <c:pt idx="853">
                  <c:v>0</c:v>
                </c:pt>
                <c:pt idx="854">
                  <c:v>195.36099999999999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123.0249</c:v>
                </c:pt>
                <c:pt idx="860">
                  <c:v>118.5188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100.431</c:v>
                </c:pt>
                <c:pt idx="874">
                  <c:v>0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0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101.19110000000001</c:v>
                </c:pt>
                <c:pt idx="886">
                  <c:v>0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0</c:v>
                </c:pt>
                <c:pt idx="890">
                  <c:v>0</c:v>
                </c:pt>
                <c:pt idx="891">
                  <c:v>118.4162</c:v>
                </c:pt>
                <c:pt idx="892">
                  <c:v>103.6491</c:v>
                </c:pt>
                <c:pt idx="893">
                  <c:v>0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0</c:v>
                </c:pt>
                <c:pt idx="898">
                  <c:v>130.84399999999999</c:v>
                </c:pt>
                <c:pt idx="899">
                  <c:v>0</c:v>
                </c:pt>
                <c:pt idx="900">
                  <c:v>0</c:v>
                </c:pt>
                <c:pt idx="901">
                  <c:v>104.1075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108.997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0</c:v>
                </c:pt>
                <c:pt idx="916">
                  <c:v>0</c:v>
                </c:pt>
                <c:pt idx="917">
                  <c:v>132.9691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130.03649999999999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163.6482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109.0628</c:v>
                </c:pt>
                <c:pt idx="947">
                  <c:v>0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0</c:v>
                </c:pt>
                <c:pt idx="958">
                  <c:v>118.218</c:v>
                </c:pt>
                <c:pt idx="959">
                  <c:v>0</c:v>
                </c:pt>
                <c:pt idx="960">
                  <c:v>108.9186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111.4491</c:v>
                </c:pt>
                <c:pt idx="966">
                  <c:v>0</c:v>
                </c:pt>
                <c:pt idx="967">
                  <c:v>0</c:v>
                </c:pt>
                <c:pt idx="968">
                  <c:v>176.7784</c:v>
                </c:pt>
                <c:pt idx="969">
                  <c:v>0</c:v>
                </c:pt>
                <c:pt idx="970">
                  <c:v>122.7127</c:v>
                </c:pt>
                <c:pt idx="971">
                  <c:v>0</c:v>
                </c:pt>
                <c:pt idx="972">
                  <c:v>108.8023</c:v>
                </c:pt>
                <c:pt idx="973">
                  <c:v>106.0287</c:v>
                </c:pt>
                <c:pt idx="974">
                  <c:v>0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0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107.2128</c:v>
                </c:pt>
                <c:pt idx="987">
                  <c:v>0</c:v>
                </c:pt>
                <c:pt idx="988">
                  <c:v>0</c:v>
                </c:pt>
                <c:pt idx="989">
                  <c:v>149.32050000000001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169.77799999999999</c:v>
                </c:pt>
                <c:pt idx="997">
                  <c:v>0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53E-A9E8-F03BDCF87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418320"/>
        <c:axId val="562417992"/>
      </c:scatterChart>
      <c:valAx>
        <c:axId val="56241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17992"/>
        <c:crosses val="autoZero"/>
        <c:crossBetween val="midCat"/>
      </c:valAx>
      <c:valAx>
        <c:axId val="56241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41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'Asset or Nothing Call Option'!$S$1</c:f>
              <c:strCache>
                <c:ptCount val="1"/>
                <c:pt idx="0">
                  <c:v>crep(t)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'Asset or Nothing Call Option'!$Q$2:$Q$1001</c:f>
              <c:numCache>
                <c:formatCode>0.00</c:formatCode>
                <c:ptCount val="1000"/>
                <c:pt idx="0">
                  <c:v>78.589399999999998</c:v>
                </c:pt>
                <c:pt idx="1">
                  <c:v>92.377200000000002</c:v>
                </c:pt>
                <c:pt idx="2">
                  <c:v>169.07560000000001</c:v>
                </c:pt>
                <c:pt idx="3">
                  <c:v>77.093999999999994</c:v>
                </c:pt>
                <c:pt idx="4">
                  <c:v>94.879099999999994</c:v>
                </c:pt>
                <c:pt idx="5">
                  <c:v>133.9563</c:v>
                </c:pt>
                <c:pt idx="6">
                  <c:v>72.2303</c:v>
                </c:pt>
                <c:pt idx="7">
                  <c:v>56.083500000000001</c:v>
                </c:pt>
                <c:pt idx="8">
                  <c:v>64.493200000000002</c:v>
                </c:pt>
                <c:pt idx="9">
                  <c:v>91.530299999999997</c:v>
                </c:pt>
                <c:pt idx="10">
                  <c:v>77.169499999999999</c:v>
                </c:pt>
                <c:pt idx="11">
                  <c:v>102.0684</c:v>
                </c:pt>
                <c:pt idx="12">
                  <c:v>141.10130000000001</c:v>
                </c:pt>
                <c:pt idx="13">
                  <c:v>90.763000000000005</c:v>
                </c:pt>
                <c:pt idx="14">
                  <c:v>73.142099999999999</c:v>
                </c:pt>
                <c:pt idx="15">
                  <c:v>100.86409999999999</c:v>
                </c:pt>
                <c:pt idx="16">
                  <c:v>83.646600000000007</c:v>
                </c:pt>
                <c:pt idx="17">
                  <c:v>102.36799999999999</c:v>
                </c:pt>
                <c:pt idx="18">
                  <c:v>100.5759</c:v>
                </c:pt>
                <c:pt idx="19">
                  <c:v>110.24039999999999</c:v>
                </c:pt>
                <c:pt idx="20">
                  <c:v>70.857900000000001</c:v>
                </c:pt>
                <c:pt idx="21">
                  <c:v>128.45670000000001</c:v>
                </c:pt>
                <c:pt idx="22">
                  <c:v>142.25899999999999</c:v>
                </c:pt>
                <c:pt idx="23">
                  <c:v>108.7974</c:v>
                </c:pt>
                <c:pt idx="24">
                  <c:v>133.20079999999999</c:v>
                </c:pt>
                <c:pt idx="25">
                  <c:v>146.89250000000001</c:v>
                </c:pt>
                <c:pt idx="26">
                  <c:v>72.296599999999998</c:v>
                </c:pt>
                <c:pt idx="27">
                  <c:v>114.5347</c:v>
                </c:pt>
                <c:pt idx="28">
                  <c:v>133.16149999999999</c:v>
                </c:pt>
                <c:pt idx="29">
                  <c:v>168.21459999999999</c:v>
                </c:pt>
                <c:pt idx="30">
                  <c:v>157.3091</c:v>
                </c:pt>
                <c:pt idx="31">
                  <c:v>104.1093</c:v>
                </c:pt>
                <c:pt idx="32">
                  <c:v>112.70650000000001</c:v>
                </c:pt>
                <c:pt idx="33">
                  <c:v>101.9491</c:v>
                </c:pt>
                <c:pt idx="34">
                  <c:v>79.515000000000001</c:v>
                </c:pt>
                <c:pt idx="35">
                  <c:v>79.402799999999999</c:v>
                </c:pt>
                <c:pt idx="36">
                  <c:v>108.84229999999999</c:v>
                </c:pt>
                <c:pt idx="37">
                  <c:v>67.859300000000005</c:v>
                </c:pt>
                <c:pt idx="38">
                  <c:v>120.6168</c:v>
                </c:pt>
                <c:pt idx="39">
                  <c:v>51.927100000000003</c:v>
                </c:pt>
                <c:pt idx="40">
                  <c:v>90.278999999999996</c:v>
                </c:pt>
                <c:pt idx="41">
                  <c:v>143.7158</c:v>
                </c:pt>
                <c:pt idx="42">
                  <c:v>112.6417</c:v>
                </c:pt>
                <c:pt idx="43">
                  <c:v>64.528899999999993</c:v>
                </c:pt>
                <c:pt idx="44">
                  <c:v>129.02699999999999</c:v>
                </c:pt>
                <c:pt idx="45">
                  <c:v>113.8621</c:v>
                </c:pt>
                <c:pt idx="46">
                  <c:v>113.5844</c:v>
                </c:pt>
                <c:pt idx="47">
                  <c:v>91.094899999999996</c:v>
                </c:pt>
                <c:pt idx="48">
                  <c:v>114.5453</c:v>
                </c:pt>
                <c:pt idx="49">
                  <c:v>121.27370000000001</c:v>
                </c:pt>
                <c:pt idx="50">
                  <c:v>86.885900000000007</c:v>
                </c:pt>
                <c:pt idx="51">
                  <c:v>69.339699999999993</c:v>
                </c:pt>
                <c:pt idx="52">
                  <c:v>71.402199999999993</c:v>
                </c:pt>
                <c:pt idx="53">
                  <c:v>81.929400000000001</c:v>
                </c:pt>
                <c:pt idx="54">
                  <c:v>110.2734</c:v>
                </c:pt>
                <c:pt idx="55">
                  <c:v>70.046899999999994</c:v>
                </c:pt>
                <c:pt idx="56">
                  <c:v>117.4097</c:v>
                </c:pt>
                <c:pt idx="57">
                  <c:v>82.724299999999999</c:v>
                </c:pt>
                <c:pt idx="58">
                  <c:v>90.621700000000004</c:v>
                </c:pt>
                <c:pt idx="59">
                  <c:v>105.43989999999999</c:v>
                </c:pt>
                <c:pt idx="60">
                  <c:v>113.9418</c:v>
                </c:pt>
                <c:pt idx="61">
                  <c:v>86.135800000000003</c:v>
                </c:pt>
                <c:pt idx="62">
                  <c:v>108.7195</c:v>
                </c:pt>
                <c:pt idx="63">
                  <c:v>142.59610000000001</c:v>
                </c:pt>
                <c:pt idx="64">
                  <c:v>73.533199999999994</c:v>
                </c:pt>
                <c:pt idx="65">
                  <c:v>102.1065</c:v>
                </c:pt>
                <c:pt idx="66">
                  <c:v>100.5672</c:v>
                </c:pt>
                <c:pt idx="67">
                  <c:v>140.02510000000001</c:v>
                </c:pt>
                <c:pt idx="68">
                  <c:v>70.035899999999998</c:v>
                </c:pt>
                <c:pt idx="69">
                  <c:v>145.65870000000001</c:v>
                </c:pt>
                <c:pt idx="70">
                  <c:v>79.495000000000005</c:v>
                </c:pt>
                <c:pt idx="71">
                  <c:v>89.553899999999999</c:v>
                </c:pt>
                <c:pt idx="72">
                  <c:v>101.3502</c:v>
                </c:pt>
                <c:pt idx="73">
                  <c:v>94.299300000000002</c:v>
                </c:pt>
                <c:pt idx="74">
                  <c:v>71.534400000000005</c:v>
                </c:pt>
                <c:pt idx="75">
                  <c:v>196.56819999999999</c:v>
                </c:pt>
                <c:pt idx="76">
                  <c:v>96.1785</c:v>
                </c:pt>
                <c:pt idx="77">
                  <c:v>159.8614</c:v>
                </c:pt>
                <c:pt idx="78">
                  <c:v>79.9465</c:v>
                </c:pt>
                <c:pt idx="79">
                  <c:v>110.8716</c:v>
                </c:pt>
                <c:pt idx="80">
                  <c:v>87.653300000000002</c:v>
                </c:pt>
                <c:pt idx="81">
                  <c:v>149.3486</c:v>
                </c:pt>
                <c:pt idx="82">
                  <c:v>125.3374</c:v>
                </c:pt>
                <c:pt idx="83">
                  <c:v>146.86969999999999</c:v>
                </c:pt>
                <c:pt idx="84">
                  <c:v>121.0604</c:v>
                </c:pt>
                <c:pt idx="85">
                  <c:v>115.2576</c:v>
                </c:pt>
                <c:pt idx="86">
                  <c:v>99.766599999999997</c:v>
                </c:pt>
                <c:pt idx="87">
                  <c:v>154.1514</c:v>
                </c:pt>
                <c:pt idx="88">
                  <c:v>157.14959999999999</c:v>
                </c:pt>
                <c:pt idx="89">
                  <c:v>176.07839999999999</c:v>
                </c:pt>
                <c:pt idx="90">
                  <c:v>93.790300000000002</c:v>
                </c:pt>
                <c:pt idx="91">
                  <c:v>134.92910000000001</c:v>
                </c:pt>
                <c:pt idx="92">
                  <c:v>75.308800000000005</c:v>
                </c:pt>
                <c:pt idx="93">
                  <c:v>162.02809999999999</c:v>
                </c:pt>
                <c:pt idx="94">
                  <c:v>121.29949999999999</c:v>
                </c:pt>
                <c:pt idx="95">
                  <c:v>89.384699999999995</c:v>
                </c:pt>
                <c:pt idx="96">
                  <c:v>82.407799999999995</c:v>
                </c:pt>
                <c:pt idx="97">
                  <c:v>107.1585</c:v>
                </c:pt>
                <c:pt idx="98">
                  <c:v>150.59870000000001</c:v>
                </c:pt>
                <c:pt idx="99">
                  <c:v>99.442599999999999</c:v>
                </c:pt>
                <c:pt idx="100">
                  <c:v>65.859399999999994</c:v>
                </c:pt>
                <c:pt idx="101">
                  <c:v>127.3869</c:v>
                </c:pt>
                <c:pt idx="102">
                  <c:v>74.643600000000006</c:v>
                </c:pt>
                <c:pt idx="103">
                  <c:v>102.2422</c:v>
                </c:pt>
                <c:pt idx="104">
                  <c:v>76.535700000000006</c:v>
                </c:pt>
                <c:pt idx="105">
                  <c:v>108.90470000000001</c:v>
                </c:pt>
                <c:pt idx="106">
                  <c:v>78.556600000000003</c:v>
                </c:pt>
                <c:pt idx="107">
                  <c:v>81.685400000000001</c:v>
                </c:pt>
                <c:pt idx="108">
                  <c:v>75.696799999999996</c:v>
                </c:pt>
                <c:pt idx="109">
                  <c:v>82.570999999999998</c:v>
                </c:pt>
                <c:pt idx="110">
                  <c:v>62.514800000000001</c:v>
                </c:pt>
                <c:pt idx="111">
                  <c:v>102.95910000000001</c:v>
                </c:pt>
                <c:pt idx="112">
                  <c:v>100.5543</c:v>
                </c:pt>
                <c:pt idx="113">
                  <c:v>101.8732</c:v>
                </c:pt>
                <c:pt idx="114">
                  <c:v>81.607600000000005</c:v>
                </c:pt>
                <c:pt idx="115">
                  <c:v>114.2351</c:v>
                </c:pt>
                <c:pt idx="116">
                  <c:v>144.74770000000001</c:v>
                </c:pt>
                <c:pt idx="117">
                  <c:v>77.149500000000003</c:v>
                </c:pt>
                <c:pt idx="118">
                  <c:v>69.350499999999997</c:v>
                </c:pt>
                <c:pt idx="119">
                  <c:v>73.230999999999995</c:v>
                </c:pt>
                <c:pt idx="120">
                  <c:v>114.8745</c:v>
                </c:pt>
                <c:pt idx="121">
                  <c:v>114.8939</c:v>
                </c:pt>
                <c:pt idx="122">
                  <c:v>81.293499999999995</c:v>
                </c:pt>
                <c:pt idx="123">
                  <c:v>157.98849999999999</c:v>
                </c:pt>
                <c:pt idx="124">
                  <c:v>118.0526</c:v>
                </c:pt>
                <c:pt idx="125">
                  <c:v>119.4002</c:v>
                </c:pt>
                <c:pt idx="126">
                  <c:v>83.7303</c:v>
                </c:pt>
                <c:pt idx="127">
                  <c:v>71.985100000000003</c:v>
                </c:pt>
                <c:pt idx="128">
                  <c:v>74.073999999999998</c:v>
                </c:pt>
                <c:pt idx="129">
                  <c:v>101.25069999999999</c:v>
                </c:pt>
                <c:pt idx="130">
                  <c:v>138.22730000000001</c:v>
                </c:pt>
                <c:pt idx="131">
                  <c:v>106.05549999999999</c:v>
                </c:pt>
                <c:pt idx="132">
                  <c:v>129.17449999999999</c:v>
                </c:pt>
                <c:pt idx="133">
                  <c:v>106.07859999999999</c:v>
                </c:pt>
                <c:pt idx="134">
                  <c:v>84.021900000000002</c:v>
                </c:pt>
                <c:pt idx="135">
                  <c:v>162.4443</c:v>
                </c:pt>
                <c:pt idx="136">
                  <c:v>216.69560000000001</c:v>
                </c:pt>
                <c:pt idx="137">
                  <c:v>123.6902</c:v>
                </c:pt>
                <c:pt idx="138">
                  <c:v>88.171800000000005</c:v>
                </c:pt>
                <c:pt idx="139">
                  <c:v>69.460300000000004</c:v>
                </c:pt>
                <c:pt idx="140">
                  <c:v>58.509300000000003</c:v>
                </c:pt>
                <c:pt idx="141">
                  <c:v>125.2116</c:v>
                </c:pt>
                <c:pt idx="142">
                  <c:v>76.105199999999996</c:v>
                </c:pt>
                <c:pt idx="143">
                  <c:v>204.1575</c:v>
                </c:pt>
                <c:pt idx="144">
                  <c:v>118.36060000000001</c:v>
                </c:pt>
                <c:pt idx="145">
                  <c:v>95.381299999999996</c:v>
                </c:pt>
                <c:pt idx="146">
                  <c:v>120.2383</c:v>
                </c:pt>
                <c:pt idx="147">
                  <c:v>142.25919999999999</c:v>
                </c:pt>
                <c:pt idx="148">
                  <c:v>137.79339999999999</c:v>
                </c:pt>
                <c:pt idx="149">
                  <c:v>121.5814</c:v>
                </c:pt>
                <c:pt idx="150">
                  <c:v>152.34989999999999</c:v>
                </c:pt>
                <c:pt idx="151">
                  <c:v>118.8027</c:v>
                </c:pt>
                <c:pt idx="152">
                  <c:v>98.075999999999993</c:v>
                </c:pt>
                <c:pt idx="153">
                  <c:v>69.544700000000006</c:v>
                </c:pt>
                <c:pt idx="154">
                  <c:v>107.8595</c:v>
                </c:pt>
                <c:pt idx="155">
                  <c:v>193.6568</c:v>
                </c:pt>
                <c:pt idx="156">
                  <c:v>120.3359</c:v>
                </c:pt>
                <c:pt idx="157">
                  <c:v>73.568399999999997</c:v>
                </c:pt>
                <c:pt idx="158">
                  <c:v>75.186400000000006</c:v>
                </c:pt>
                <c:pt idx="159">
                  <c:v>97.480699999999999</c:v>
                </c:pt>
                <c:pt idx="160">
                  <c:v>99.088399999999993</c:v>
                </c:pt>
                <c:pt idx="161">
                  <c:v>95.641999999999996</c:v>
                </c:pt>
                <c:pt idx="162">
                  <c:v>149.1002</c:v>
                </c:pt>
                <c:pt idx="163">
                  <c:v>113.06140000000001</c:v>
                </c:pt>
                <c:pt idx="164">
                  <c:v>168.0273</c:v>
                </c:pt>
                <c:pt idx="165">
                  <c:v>136.8458</c:v>
                </c:pt>
                <c:pt idx="166">
                  <c:v>90.348600000000005</c:v>
                </c:pt>
                <c:pt idx="167">
                  <c:v>117.9217</c:v>
                </c:pt>
                <c:pt idx="168">
                  <c:v>97.553299999999993</c:v>
                </c:pt>
                <c:pt idx="169">
                  <c:v>90.797499999999999</c:v>
                </c:pt>
                <c:pt idx="170">
                  <c:v>122.5309</c:v>
                </c:pt>
                <c:pt idx="171">
                  <c:v>87.5321</c:v>
                </c:pt>
                <c:pt idx="172">
                  <c:v>83.827200000000005</c:v>
                </c:pt>
                <c:pt idx="173">
                  <c:v>127.3792</c:v>
                </c:pt>
                <c:pt idx="174">
                  <c:v>71.304100000000005</c:v>
                </c:pt>
                <c:pt idx="175">
                  <c:v>95.600300000000004</c:v>
                </c:pt>
                <c:pt idx="176">
                  <c:v>141.2645</c:v>
                </c:pt>
                <c:pt idx="177">
                  <c:v>81.89</c:v>
                </c:pt>
                <c:pt idx="178">
                  <c:v>95.611599999999996</c:v>
                </c:pt>
                <c:pt idx="179">
                  <c:v>99.8523</c:v>
                </c:pt>
                <c:pt idx="180">
                  <c:v>192.952</c:v>
                </c:pt>
                <c:pt idx="181">
                  <c:v>132.8004</c:v>
                </c:pt>
                <c:pt idx="182">
                  <c:v>144.83860000000001</c:v>
                </c:pt>
                <c:pt idx="183">
                  <c:v>107.3182</c:v>
                </c:pt>
                <c:pt idx="184">
                  <c:v>78.326899999999995</c:v>
                </c:pt>
                <c:pt idx="185">
                  <c:v>71.076999999999998</c:v>
                </c:pt>
                <c:pt idx="186">
                  <c:v>114.9892</c:v>
                </c:pt>
                <c:pt idx="187">
                  <c:v>152.23079999999999</c:v>
                </c:pt>
                <c:pt idx="188">
                  <c:v>93.571100000000001</c:v>
                </c:pt>
                <c:pt idx="189">
                  <c:v>56.063200000000002</c:v>
                </c:pt>
                <c:pt idx="190">
                  <c:v>131.9862</c:v>
                </c:pt>
                <c:pt idx="191">
                  <c:v>41.500799999999998</c:v>
                </c:pt>
                <c:pt idx="192">
                  <c:v>109.4092</c:v>
                </c:pt>
                <c:pt idx="193">
                  <c:v>100.9547</c:v>
                </c:pt>
                <c:pt idx="194">
                  <c:v>98.317899999999995</c:v>
                </c:pt>
                <c:pt idx="195">
                  <c:v>116.3783</c:v>
                </c:pt>
                <c:pt idx="196">
                  <c:v>71.898700000000005</c:v>
                </c:pt>
                <c:pt idx="197">
                  <c:v>58.203499999999998</c:v>
                </c:pt>
                <c:pt idx="198">
                  <c:v>86.563999999999993</c:v>
                </c:pt>
                <c:pt idx="199">
                  <c:v>161.45359999999999</c:v>
                </c:pt>
                <c:pt idx="200">
                  <c:v>69.260400000000004</c:v>
                </c:pt>
                <c:pt idx="201">
                  <c:v>79.515699999999995</c:v>
                </c:pt>
                <c:pt idx="202">
                  <c:v>224.876</c:v>
                </c:pt>
                <c:pt idx="203">
                  <c:v>90.320099999999996</c:v>
                </c:pt>
                <c:pt idx="204">
                  <c:v>89.007800000000003</c:v>
                </c:pt>
                <c:pt idx="205">
                  <c:v>100.8552</c:v>
                </c:pt>
                <c:pt idx="206">
                  <c:v>113.9264</c:v>
                </c:pt>
                <c:pt idx="207">
                  <c:v>97.242400000000004</c:v>
                </c:pt>
                <c:pt idx="208">
                  <c:v>79.648300000000006</c:v>
                </c:pt>
                <c:pt idx="209">
                  <c:v>132.721</c:v>
                </c:pt>
                <c:pt idx="210">
                  <c:v>116.92449999999999</c:v>
                </c:pt>
                <c:pt idx="211">
                  <c:v>104.7385</c:v>
                </c:pt>
                <c:pt idx="212">
                  <c:v>56.948099999999997</c:v>
                </c:pt>
                <c:pt idx="213">
                  <c:v>144.22219999999999</c:v>
                </c:pt>
                <c:pt idx="214">
                  <c:v>69.971800000000002</c:v>
                </c:pt>
                <c:pt idx="215">
                  <c:v>50.393300000000004</c:v>
                </c:pt>
                <c:pt idx="216">
                  <c:v>66.471500000000006</c:v>
                </c:pt>
                <c:pt idx="217">
                  <c:v>138.86429999999999</c:v>
                </c:pt>
                <c:pt idx="218">
                  <c:v>147.92359999999999</c:v>
                </c:pt>
                <c:pt idx="219">
                  <c:v>82.926100000000005</c:v>
                </c:pt>
                <c:pt idx="220">
                  <c:v>91.952200000000005</c:v>
                </c:pt>
                <c:pt idx="221">
                  <c:v>77.956199999999995</c:v>
                </c:pt>
                <c:pt idx="222">
                  <c:v>97.599299999999999</c:v>
                </c:pt>
                <c:pt idx="223">
                  <c:v>74.110200000000006</c:v>
                </c:pt>
                <c:pt idx="224">
                  <c:v>111.64230000000001</c:v>
                </c:pt>
                <c:pt idx="225">
                  <c:v>67.264300000000006</c:v>
                </c:pt>
                <c:pt idx="226">
                  <c:v>161.02549999999999</c:v>
                </c:pt>
                <c:pt idx="227">
                  <c:v>147.39840000000001</c:v>
                </c:pt>
                <c:pt idx="228">
                  <c:v>121.05370000000001</c:v>
                </c:pt>
                <c:pt idx="229">
                  <c:v>69.850300000000004</c:v>
                </c:pt>
                <c:pt idx="230">
                  <c:v>179.3304</c:v>
                </c:pt>
                <c:pt idx="231">
                  <c:v>196.49090000000001</c:v>
                </c:pt>
                <c:pt idx="232">
                  <c:v>74.151700000000005</c:v>
                </c:pt>
                <c:pt idx="233">
                  <c:v>41.369599999999998</c:v>
                </c:pt>
                <c:pt idx="234">
                  <c:v>128.05760000000001</c:v>
                </c:pt>
                <c:pt idx="235">
                  <c:v>110.25620000000001</c:v>
                </c:pt>
                <c:pt idx="236">
                  <c:v>94.363900000000001</c:v>
                </c:pt>
                <c:pt idx="237">
                  <c:v>100.7854</c:v>
                </c:pt>
                <c:pt idx="238">
                  <c:v>103.5521</c:v>
                </c:pt>
                <c:pt idx="239">
                  <c:v>148.9871</c:v>
                </c:pt>
                <c:pt idx="240">
                  <c:v>129.20509999999999</c:v>
                </c:pt>
                <c:pt idx="241">
                  <c:v>108.0046</c:v>
                </c:pt>
                <c:pt idx="242">
                  <c:v>110.8073</c:v>
                </c:pt>
                <c:pt idx="243">
                  <c:v>78.381100000000004</c:v>
                </c:pt>
                <c:pt idx="244">
                  <c:v>132.39429999999999</c:v>
                </c:pt>
                <c:pt idx="245">
                  <c:v>171.34899999999999</c:v>
                </c:pt>
                <c:pt idx="246">
                  <c:v>116.8677</c:v>
                </c:pt>
                <c:pt idx="247">
                  <c:v>73.026899999999998</c:v>
                </c:pt>
                <c:pt idx="248">
                  <c:v>112.12009999999999</c:v>
                </c:pt>
                <c:pt idx="249">
                  <c:v>100.11199999999999</c:v>
                </c:pt>
                <c:pt idx="250">
                  <c:v>99.668899999999994</c:v>
                </c:pt>
                <c:pt idx="251">
                  <c:v>102.2496</c:v>
                </c:pt>
                <c:pt idx="252">
                  <c:v>81.403899999999993</c:v>
                </c:pt>
                <c:pt idx="253">
                  <c:v>207.8408</c:v>
                </c:pt>
                <c:pt idx="254">
                  <c:v>124.7543</c:v>
                </c:pt>
                <c:pt idx="255">
                  <c:v>88.122799999999998</c:v>
                </c:pt>
                <c:pt idx="256">
                  <c:v>113.6266</c:v>
                </c:pt>
                <c:pt idx="257">
                  <c:v>92.844700000000003</c:v>
                </c:pt>
                <c:pt idx="258">
                  <c:v>100.5125</c:v>
                </c:pt>
                <c:pt idx="259">
                  <c:v>118.7653</c:v>
                </c:pt>
                <c:pt idx="260">
                  <c:v>113.47629999999999</c:v>
                </c:pt>
                <c:pt idx="261">
                  <c:v>81.802899999999994</c:v>
                </c:pt>
                <c:pt idx="262">
                  <c:v>59.605200000000004</c:v>
                </c:pt>
                <c:pt idx="263">
                  <c:v>95.667400000000001</c:v>
                </c:pt>
                <c:pt idx="264">
                  <c:v>83.794700000000006</c:v>
                </c:pt>
                <c:pt idx="265">
                  <c:v>114.83499999999999</c:v>
                </c:pt>
                <c:pt idx="266">
                  <c:v>110.0535</c:v>
                </c:pt>
                <c:pt idx="267">
                  <c:v>60.709600000000002</c:v>
                </c:pt>
                <c:pt idx="268">
                  <c:v>106.31489999999999</c:v>
                </c:pt>
                <c:pt idx="269">
                  <c:v>92.859499999999997</c:v>
                </c:pt>
                <c:pt idx="270">
                  <c:v>178.9699</c:v>
                </c:pt>
                <c:pt idx="271">
                  <c:v>138.5557</c:v>
                </c:pt>
                <c:pt idx="272">
                  <c:v>62.613900000000001</c:v>
                </c:pt>
                <c:pt idx="273">
                  <c:v>90.7393</c:v>
                </c:pt>
                <c:pt idx="274">
                  <c:v>151.1952</c:v>
                </c:pt>
                <c:pt idx="275">
                  <c:v>112.9901</c:v>
                </c:pt>
                <c:pt idx="276">
                  <c:v>87.6327</c:v>
                </c:pt>
                <c:pt idx="277">
                  <c:v>66.144599999999997</c:v>
                </c:pt>
                <c:pt idx="278">
                  <c:v>136.76609999999999</c:v>
                </c:pt>
                <c:pt idx="279">
                  <c:v>50.3108</c:v>
                </c:pt>
                <c:pt idx="280">
                  <c:v>74.007599999999996</c:v>
                </c:pt>
                <c:pt idx="281">
                  <c:v>70.3172</c:v>
                </c:pt>
                <c:pt idx="282">
                  <c:v>72.924599999999998</c:v>
                </c:pt>
                <c:pt idx="283">
                  <c:v>120.42789999999999</c:v>
                </c:pt>
                <c:pt idx="284">
                  <c:v>58.406799999999997</c:v>
                </c:pt>
                <c:pt idx="285">
                  <c:v>87.974800000000002</c:v>
                </c:pt>
                <c:pt idx="286">
                  <c:v>112.3961</c:v>
                </c:pt>
                <c:pt idx="287">
                  <c:v>78.930099999999996</c:v>
                </c:pt>
                <c:pt idx="288">
                  <c:v>64.611999999999995</c:v>
                </c:pt>
                <c:pt idx="289">
                  <c:v>107.8442</c:v>
                </c:pt>
                <c:pt idx="290">
                  <c:v>72.5672</c:v>
                </c:pt>
                <c:pt idx="291">
                  <c:v>139.69810000000001</c:v>
                </c:pt>
                <c:pt idx="292">
                  <c:v>89.284899999999993</c:v>
                </c:pt>
                <c:pt idx="293">
                  <c:v>61.329099999999997</c:v>
                </c:pt>
                <c:pt idx="294">
                  <c:v>73.720600000000005</c:v>
                </c:pt>
                <c:pt idx="295">
                  <c:v>73.860500000000002</c:v>
                </c:pt>
                <c:pt idx="296">
                  <c:v>128.10730000000001</c:v>
                </c:pt>
                <c:pt idx="297">
                  <c:v>85.417500000000004</c:v>
                </c:pt>
                <c:pt idx="298">
                  <c:v>80.427899999999994</c:v>
                </c:pt>
                <c:pt idx="299">
                  <c:v>136.02950000000001</c:v>
                </c:pt>
                <c:pt idx="300">
                  <c:v>156.0076</c:v>
                </c:pt>
                <c:pt idx="301">
                  <c:v>129.91149999999999</c:v>
                </c:pt>
                <c:pt idx="302">
                  <c:v>86.362700000000004</c:v>
                </c:pt>
                <c:pt idx="303">
                  <c:v>109.9692</c:v>
                </c:pt>
                <c:pt idx="304">
                  <c:v>100.64919999999999</c:v>
                </c:pt>
                <c:pt idx="305">
                  <c:v>66.807699999999997</c:v>
                </c:pt>
                <c:pt idx="306">
                  <c:v>124.0968</c:v>
                </c:pt>
                <c:pt idx="307">
                  <c:v>99.782799999999995</c:v>
                </c:pt>
                <c:pt idx="308">
                  <c:v>174.79589999999999</c:v>
                </c:pt>
                <c:pt idx="309">
                  <c:v>98.053100000000001</c:v>
                </c:pt>
                <c:pt idx="310">
                  <c:v>71.720600000000005</c:v>
                </c:pt>
                <c:pt idx="311">
                  <c:v>127.39019999999999</c:v>
                </c:pt>
                <c:pt idx="312">
                  <c:v>84.472399999999993</c:v>
                </c:pt>
                <c:pt idx="313">
                  <c:v>128.95240000000001</c:v>
                </c:pt>
                <c:pt idx="314">
                  <c:v>123.30200000000001</c:v>
                </c:pt>
                <c:pt idx="315">
                  <c:v>66.716499999999996</c:v>
                </c:pt>
                <c:pt idx="316">
                  <c:v>76.077799999999996</c:v>
                </c:pt>
                <c:pt idx="317">
                  <c:v>111.85080000000001</c:v>
                </c:pt>
                <c:pt idx="318">
                  <c:v>119.07089999999999</c:v>
                </c:pt>
                <c:pt idx="319">
                  <c:v>110.3271</c:v>
                </c:pt>
                <c:pt idx="320">
                  <c:v>252.9974</c:v>
                </c:pt>
                <c:pt idx="321">
                  <c:v>151.42189999999999</c:v>
                </c:pt>
                <c:pt idx="322">
                  <c:v>73.471999999999994</c:v>
                </c:pt>
                <c:pt idx="323">
                  <c:v>129.77269999999999</c:v>
                </c:pt>
                <c:pt idx="324">
                  <c:v>76.733400000000003</c:v>
                </c:pt>
                <c:pt idx="325">
                  <c:v>100.48009999999999</c:v>
                </c:pt>
                <c:pt idx="326">
                  <c:v>97.197800000000001</c:v>
                </c:pt>
                <c:pt idx="327">
                  <c:v>100.87309999999999</c:v>
                </c:pt>
                <c:pt idx="328">
                  <c:v>91.104200000000006</c:v>
                </c:pt>
                <c:pt idx="329">
                  <c:v>59.067</c:v>
                </c:pt>
                <c:pt idx="330">
                  <c:v>83.042900000000003</c:v>
                </c:pt>
                <c:pt idx="331">
                  <c:v>121.80029999999999</c:v>
                </c:pt>
                <c:pt idx="332">
                  <c:v>57.674500000000002</c:v>
                </c:pt>
                <c:pt idx="333">
                  <c:v>66.701599999999999</c:v>
                </c:pt>
                <c:pt idx="334">
                  <c:v>117.21729999999999</c:v>
                </c:pt>
                <c:pt idx="335">
                  <c:v>102.538</c:v>
                </c:pt>
                <c:pt idx="336">
                  <c:v>66.778999999999996</c:v>
                </c:pt>
                <c:pt idx="337">
                  <c:v>96.759600000000006</c:v>
                </c:pt>
                <c:pt idx="338">
                  <c:v>62.647500000000001</c:v>
                </c:pt>
                <c:pt idx="339">
                  <c:v>75.797499999999999</c:v>
                </c:pt>
                <c:pt idx="340">
                  <c:v>147.00200000000001</c:v>
                </c:pt>
                <c:pt idx="341">
                  <c:v>88.860500000000002</c:v>
                </c:pt>
                <c:pt idx="342">
                  <c:v>100.0592</c:v>
                </c:pt>
                <c:pt idx="343">
                  <c:v>96.513800000000003</c:v>
                </c:pt>
                <c:pt idx="344">
                  <c:v>93.793599999999998</c:v>
                </c:pt>
                <c:pt idx="345">
                  <c:v>115.616</c:v>
                </c:pt>
                <c:pt idx="346">
                  <c:v>129.33920000000001</c:v>
                </c:pt>
                <c:pt idx="347">
                  <c:v>81.284400000000005</c:v>
                </c:pt>
                <c:pt idx="348">
                  <c:v>86.134299999999996</c:v>
                </c:pt>
                <c:pt idx="349">
                  <c:v>100.30929999999999</c:v>
                </c:pt>
                <c:pt idx="350">
                  <c:v>75.280600000000007</c:v>
                </c:pt>
                <c:pt idx="351">
                  <c:v>83.287700000000001</c:v>
                </c:pt>
                <c:pt idx="352">
                  <c:v>137.63159999999999</c:v>
                </c:pt>
                <c:pt idx="353">
                  <c:v>91.939300000000003</c:v>
                </c:pt>
                <c:pt idx="354">
                  <c:v>73.013800000000003</c:v>
                </c:pt>
                <c:pt idx="355">
                  <c:v>98.7393</c:v>
                </c:pt>
                <c:pt idx="356">
                  <c:v>114.5966</c:v>
                </c:pt>
                <c:pt idx="357">
                  <c:v>82.987200000000001</c:v>
                </c:pt>
                <c:pt idx="358">
                  <c:v>95.836699999999993</c:v>
                </c:pt>
                <c:pt idx="359">
                  <c:v>105.3274</c:v>
                </c:pt>
                <c:pt idx="360">
                  <c:v>66.857500000000002</c:v>
                </c:pt>
                <c:pt idx="361">
                  <c:v>96.597099999999998</c:v>
                </c:pt>
                <c:pt idx="362">
                  <c:v>111.2129</c:v>
                </c:pt>
                <c:pt idx="363">
                  <c:v>49.368099999999998</c:v>
                </c:pt>
                <c:pt idx="364">
                  <c:v>155.43950000000001</c:v>
                </c:pt>
                <c:pt idx="365">
                  <c:v>87.398200000000003</c:v>
                </c:pt>
                <c:pt idx="366">
                  <c:v>60.416400000000003</c:v>
                </c:pt>
                <c:pt idx="367">
                  <c:v>109.3099</c:v>
                </c:pt>
                <c:pt idx="368">
                  <c:v>119.3515</c:v>
                </c:pt>
                <c:pt idx="369">
                  <c:v>76.900700000000001</c:v>
                </c:pt>
                <c:pt idx="370">
                  <c:v>143.77510000000001</c:v>
                </c:pt>
                <c:pt idx="371">
                  <c:v>88.800899999999999</c:v>
                </c:pt>
                <c:pt idx="372">
                  <c:v>99.890199999999993</c:v>
                </c:pt>
                <c:pt idx="373">
                  <c:v>119.1769</c:v>
                </c:pt>
                <c:pt idx="374">
                  <c:v>86.5321</c:v>
                </c:pt>
                <c:pt idx="375">
                  <c:v>99.0608</c:v>
                </c:pt>
                <c:pt idx="376">
                  <c:v>110.23820000000001</c:v>
                </c:pt>
                <c:pt idx="377">
                  <c:v>62.285800000000002</c:v>
                </c:pt>
                <c:pt idx="378">
                  <c:v>97.153099999999995</c:v>
                </c:pt>
                <c:pt idx="379">
                  <c:v>114.4449</c:v>
                </c:pt>
                <c:pt idx="380">
                  <c:v>84.066699999999997</c:v>
                </c:pt>
                <c:pt idx="381">
                  <c:v>123.8245</c:v>
                </c:pt>
                <c:pt idx="382">
                  <c:v>84.137100000000004</c:v>
                </c:pt>
                <c:pt idx="383">
                  <c:v>91.746600000000001</c:v>
                </c:pt>
                <c:pt idx="384">
                  <c:v>109.1691</c:v>
                </c:pt>
                <c:pt idx="385">
                  <c:v>77.892399999999995</c:v>
                </c:pt>
                <c:pt idx="386">
                  <c:v>87.033000000000001</c:v>
                </c:pt>
                <c:pt idx="387">
                  <c:v>116.1545</c:v>
                </c:pt>
                <c:pt idx="388">
                  <c:v>154.57470000000001</c:v>
                </c:pt>
                <c:pt idx="389">
                  <c:v>102.18980000000001</c:v>
                </c:pt>
                <c:pt idx="390">
                  <c:v>71.542699999999996</c:v>
                </c:pt>
                <c:pt idx="391">
                  <c:v>143.71729999999999</c:v>
                </c:pt>
                <c:pt idx="392">
                  <c:v>120.7146</c:v>
                </c:pt>
                <c:pt idx="393">
                  <c:v>72.531099999999995</c:v>
                </c:pt>
                <c:pt idx="394">
                  <c:v>155.9221</c:v>
                </c:pt>
                <c:pt idx="395">
                  <c:v>84.199700000000007</c:v>
                </c:pt>
                <c:pt idx="396">
                  <c:v>118.71259999999999</c:v>
                </c:pt>
                <c:pt idx="397">
                  <c:v>135.26519999999999</c:v>
                </c:pt>
                <c:pt idx="398">
                  <c:v>86.338399999999993</c:v>
                </c:pt>
                <c:pt idx="399">
                  <c:v>82.684600000000003</c:v>
                </c:pt>
                <c:pt idx="400">
                  <c:v>97.389200000000002</c:v>
                </c:pt>
                <c:pt idx="401">
                  <c:v>161.45779999999999</c:v>
                </c:pt>
                <c:pt idx="402">
                  <c:v>109.0034</c:v>
                </c:pt>
                <c:pt idx="403">
                  <c:v>157.72800000000001</c:v>
                </c:pt>
                <c:pt idx="404">
                  <c:v>54.199800000000003</c:v>
                </c:pt>
                <c:pt idx="405">
                  <c:v>85.654700000000005</c:v>
                </c:pt>
                <c:pt idx="406">
                  <c:v>130.05770000000001</c:v>
                </c:pt>
                <c:pt idx="407">
                  <c:v>92.024199999999993</c:v>
                </c:pt>
                <c:pt idx="408">
                  <c:v>95.750500000000002</c:v>
                </c:pt>
                <c:pt idx="409">
                  <c:v>51.245199999999997</c:v>
                </c:pt>
                <c:pt idx="410">
                  <c:v>70.628699999999995</c:v>
                </c:pt>
                <c:pt idx="411">
                  <c:v>155.59690000000001</c:v>
                </c:pt>
                <c:pt idx="412">
                  <c:v>136.34800000000001</c:v>
                </c:pt>
                <c:pt idx="413">
                  <c:v>129.94</c:v>
                </c:pt>
                <c:pt idx="414">
                  <c:v>103.7025</c:v>
                </c:pt>
                <c:pt idx="415">
                  <c:v>123.0899</c:v>
                </c:pt>
                <c:pt idx="416">
                  <c:v>102.2017</c:v>
                </c:pt>
                <c:pt idx="417">
                  <c:v>75.020099999999999</c:v>
                </c:pt>
                <c:pt idx="418">
                  <c:v>91.845200000000006</c:v>
                </c:pt>
                <c:pt idx="419">
                  <c:v>109.02290000000001</c:v>
                </c:pt>
                <c:pt idx="420">
                  <c:v>126.8458</c:v>
                </c:pt>
                <c:pt idx="421">
                  <c:v>178.75380000000001</c:v>
                </c:pt>
                <c:pt idx="422">
                  <c:v>129.8776</c:v>
                </c:pt>
                <c:pt idx="423">
                  <c:v>136.63550000000001</c:v>
                </c:pt>
                <c:pt idx="424">
                  <c:v>168.2944</c:v>
                </c:pt>
                <c:pt idx="425">
                  <c:v>102.32769999999999</c:v>
                </c:pt>
                <c:pt idx="426">
                  <c:v>73.242699999999999</c:v>
                </c:pt>
                <c:pt idx="427">
                  <c:v>67.488699999999994</c:v>
                </c:pt>
                <c:pt idx="428">
                  <c:v>127.15260000000001</c:v>
                </c:pt>
                <c:pt idx="429">
                  <c:v>74.560699999999997</c:v>
                </c:pt>
                <c:pt idx="430">
                  <c:v>71.860299999999995</c:v>
                </c:pt>
                <c:pt idx="431">
                  <c:v>124.6283</c:v>
                </c:pt>
                <c:pt idx="432">
                  <c:v>108.7234</c:v>
                </c:pt>
                <c:pt idx="433">
                  <c:v>148.1249</c:v>
                </c:pt>
                <c:pt idx="434">
                  <c:v>57.713000000000001</c:v>
                </c:pt>
                <c:pt idx="435">
                  <c:v>119.54689999999999</c:v>
                </c:pt>
                <c:pt idx="436">
                  <c:v>81.215000000000003</c:v>
                </c:pt>
                <c:pt idx="437">
                  <c:v>111.2448</c:v>
                </c:pt>
                <c:pt idx="438">
                  <c:v>125.14700000000001</c:v>
                </c:pt>
                <c:pt idx="439">
                  <c:v>114.1768</c:v>
                </c:pt>
                <c:pt idx="440">
                  <c:v>74.727999999999994</c:v>
                </c:pt>
                <c:pt idx="441">
                  <c:v>106.9967</c:v>
                </c:pt>
                <c:pt idx="442">
                  <c:v>132.83519999999999</c:v>
                </c:pt>
                <c:pt idx="443">
                  <c:v>105.3156</c:v>
                </c:pt>
                <c:pt idx="444">
                  <c:v>90.0702</c:v>
                </c:pt>
                <c:pt idx="445">
                  <c:v>89.968699999999998</c:v>
                </c:pt>
                <c:pt idx="446">
                  <c:v>133.5326</c:v>
                </c:pt>
                <c:pt idx="447">
                  <c:v>67.803700000000006</c:v>
                </c:pt>
                <c:pt idx="448">
                  <c:v>122.965</c:v>
                </c:pt>
                <c:pt idx="449">
                  <c:v>139.92760000000001</c:v>
                </c:pt>
                <c:pt idx="450">
                  <c:v>104.3544</c:v>
                </c:pt>
                <c:pt idx="451">
                  <c:v>122.3871</c:v>
                </c:pt>
                <c:pt idx="452">
                  <c:v>112.58150000000001</c:v>
                </c:pt>
                <c:pt idx="453">
                  <c:v>168.62090000000001</c:v>
                </c:pt>
                <c:pt idx="454">
                  <c:v>127.0517</c:v>
                </c:pt>
                <c:pt idx="455">
                  <c:v>112.41160000000001</c:v>
                </c:pt>
                <c:pt idx="456">
                  <c:v>158.5052</c:v>
                </c:pt>
                <c:pt idx="457">
                  <c:v>69.797799999999995</c:v>
                </c:pt>
                <c:pt idx="458">
                  <c:v>88.998999999999995</c:v>
                </c:pt>
                <c:pt idx="459">
                  <c:v>79.9619</c:v>
                </c:pt>
                <c:pt idx="460">
                  <c:v>55.566600000000001</c:v>
                </c:pt>
                <c:pt idx="461">
                  <c:v>98.254800000000003</c:v>
                </c:pt>
                <c:pt idx="462">
                  <c:v>97.831400000000002</c:v>
                </c:pt>
                <c:pt idx="463">
                  <c:v>116.1472</c:v>
                </c:pt>
                <c:pt idx="464">
                  <c:v>40.594499999999996</c:v>
                </c:pt>
                <c:pt idx="465">
                  <c:v>73.348699999999994</c:v>
                </c:pt>
                <c:pt idx="466">
                  <c:v>65.918599999999998</c:v>
                </c:pt>
                <c:pt idx="467">
                  <c:v>64.796199999999999</c:v>
                </c:pt>
                <c:pt idx="468">
                  <c:v>99.334400000000002</c:v>
                </c:pt>
                <c:pt idx="469">
                  <c:v>136.9957</c:v>
                </c:pt>
                <c:pt idx="470">
                  <c:v>108.7878</c:v>
                </c:pt>
                <c:pt idx="471">
                  <c:v>121.8031</c:v>
                </c:pt>
                <c:pt idx="472">
                  <c:v>162.73830000000001</c:v>
                </c:pt>
                <c:pt idx="473">
                  <c:v>159.6396</c:v>
                </c:pt>
                <c:pt idx="474">
                  <c:v>88.719300000000004</c:v>
                </c:pt>
                <c:pt idx="475">
                  <c:v>103.6763</c:v>
                </c:pt>
                <c:pt idx="476">
                  <c:v>97.650400000000005</c:v>
                </c:pt>
                <c:pt idx="477">
                  <c:v>99.313000000000002</c:v>
                </c:pt>
                <c:pt idx="478">
                  <c:v>118.7621</c:v>
                </c:pt>
                <c:pt idx="479">
                  <c:v>103.6825</c:v>
                </c:pt>
                <c:pt idx="480">
                  <c:v>190.63910000000001</c:v>
                </c:pt>
                <c:pt idx="481">
                  <c:v>165.3528</c:v>
                </c:pt>
                <c:pt idx="482">
                  <c:v>127.6349</c:v>
                </c:pt>
                <c:pt idx="483">
                  <c:v>89.633200000000002</c:v>
                </c:pt>
                <c:pt idx="484">
                  <c:v>104.8809</c:v>
                </c:pt>
                <c:pt idx="485">
                  <c:v>53.971400000000003</c:v>
                </c:pt>
                <c:pt idx="486">
                  <c:v>86.795400000000001</c:v>
                </c:pt>
                <c:pt idx="487">
                  <c:v>90.1999</c:v>
                </c:pt>
                <c:pt idx="488">
                  <c:v>43.988300000000002</c:v>
                </c:pt>
                <c:pt idx="489">
                  <c:v>60.852600000000002</c:v>
                </c:pt>
                <c:pt idx="490">
                  <c:v>132.00640000000001</c:v>
                </c:pt>
                <c:pt idx="491">
                  <c:v>86.721299999999999</c:v>
                </c:pt>
                <c:pt idx="492">
                  <c:v>76.553600000000003</c:v>
                </c:pt>
                <c:pt idx="493">
                  <c:v>113.4224</c:v>
                </c:pt>
                <c:pt idx="494">
                  <c:v>74.127099999999999</c:v>
                </c:pt>
                <c:pt idx="495">
                  <c:v>184.44749999999999</c:v>
                </c:pt>
                <c:pt idx="496">
                  <c:v>91.499799999999993</c:v>
                </c:pt>
                <c:pt idx="497">
                  <c:v>173.74619999999999</c:v>
                </c:pt>
                <c:pt idx="498">
                  <c:v>73.3262</c:v>
                </c:pt>
                <c:pt idx="499">
                  <c:v>100.9004</c:v>
                </c:pt>
                <c:pt idx="500">
                  <c:v>124.1832</c:v>
                </c:pt>
                <c:pt idx="501">
                  <c:v>123.97620000000001</c:v>
                </c:pt>
                <c:pt idx="502">
                  <c:v>96.659800000000004</c:v>
                </c:pt>
                <c:pt idx="503">
                  <c:v>110.4872</c:v>
                </c:pt>
                <c:pt idx="504">
                  <c:v>130.96010000000001</c:v>
                </c:pt>
                <c:pt idx="505">
                  <c:v>99.910300000000007</c:v>
                </c:pt>
                <c:pt idx="506">
                  <c:v>93.293999999999997</c:v>
                </c:pt>
                <c:pt idx="507">
                  <c:v>109.3784</c:v>
                </c:pt>
                <c:pt idx="508">
                  <c:v>279.32369999999997</c:v>
                </c:pt>
                <c:pt idx="509">
                  <c:v>124.0744</c:v>
                </c:pt>
                <c:pt idx="510">
                  <c:v>117.9247</c:v>
                </c:pt>
                <c:pt idx="511">
                  <c:v>105.3858</c:v>
                </c:pt>
                <c:pt idx="512">
                  <c:v>76.4405</c:v>
                </c:pt>
                <c:pt idx="513">
                  <c:v>111.9769</c:v>
                </c:pt>
                <c:pt idx="514">
                  <c:v>118.77979999999999</c:v>
                </c:pt>
                <c:pt idx="515">
                  <c:v>89.660899999999998</c:v>
                </c:pt>
                <c:pt idx="516">
                  <c:v>137.60599999999999</c:v>
                </c:pt>
                <c:pt idx="517">
                  <c:v>107.7405</c:v>
                </c:pt>
                <c:pt idx="518">
                  <c:v>214.44829999999999</c:v>
                </c:pt>
                <c:pt idx="519">
                  <c:v>86.433199999999999</c:v>
                </c:pt>
                <c:pt idx="520">
                  <c:v>115.7529</c:v>
                </c:pt>
                <c:pt idx="521">
                  <c:v>60.798900000000003</c:v>
                </c:pt>
                <c:pt idx="522">
                  <c:v>125.11199999999999</c:v>
                </c:pt>
                <c:pt idx="523">
                  <c:v>122.9735</c:v>
                </c:pt>
                <c:pt idx="524">
                  <c:v>106.22450000000001</c:v>
                </c:pt>
                <c:pt idx="525">
                  <c:v>159.8305</c:v>
                </c:pt>
                <c:pt idx="526">
                  <c:v>80.784999999999997</c:v>
                </c:pt>
                <c:pt idx="527">
                  <c:v>99.907200000000003</c:v>
                </c:pt>
                <c:pt idx="528">
                  <c:v>97.702600000000004</c:v>
                </c:pt>
                <c:pt idx="529">
                  <c:v>112.11920000000001</c:v>
                </c:pt>
                <c:pt idx="530">
                  <c:v>77.362300000000005</c:v>
                </c:pt>
                <c:pt idx="531">
                  <c:v>129.59559999999999</c:v>
                </c:pt>
                <c:pt idx="532">
                  <c:v>103.4306</c:v>
                </c:pt>
                <c:pt idx="533">
                  <c:v>127.4332</c:v>
                </c:pt>
                <c:pt idx="534">
                  <c:v>169.37729999999999</c:v>
                </c:pt>
                <c:pt idx="535">
                  <c:v>103.3783</c:v>
                </c:pt>
                <c:pt idx="536">
                  <c:v>104.6161</c:v>
                </c:pt>
                <c:pt idx="537">
                  <c:v>65.698899999999995</c:v>
                </c:pt>
                <c:pt idx="538">
                  <c:v>110.2265</c:v>
                </c:pt>
                <c:pt idx="539">
                  <c:v>99.793300000000002</c:v>
                </c:pt>
                <c:pt idx="540">
                  <c:v>97.526600000000002</c:v>
                </c:pt>
                <c:pt idx="541">
                  <c:v>69.930499999999995</c:v>
                </c:pt>
                <c:pt idx="542">
                  <c:v>122.29559999999999</c:v>
                </c:pt>
                <c:pt idx="543">
                  <c:v>181.1009</c:v>
                </c:pt>
                <c:pt idx="544">
                  <c:v>101.44459999999999</c:v>
                </c:pt>
                <c:pt idx="545">
                  <c:v>82.602000000000004</c:v>
                </c:pt>
                <c:pt idx="546">
                  <c:v>76.847899999999996</c:v>
                </c:pt>
                <c:pt idx="547">
                  <c:v>161.23740000000001</c:v>
                </c:pt>
                <c:pt idx="548">
                  <c:v>78.704999999999998</c:v>
                </c:pt>
                <c:pt idx="549">
                  <c:v>63.5871</c:v>
                </c:pt>
                <c:pt idx="550">
                  <c:v>76.729600000000005</c:v>
                </c:pt>
                <c:pt idx="551">
                  <c:v>178.71459999999999</c:v>
                </c:pt>
                <c:pt idx="552">
                  <c:v>101.77379999999999</c:v>
                </c:pt>
                <c:pt idx="553">
                  <c:v>103.8591</c:v>
                </c:pt>
                <c:pt idx="554">
                  <c:v>79.790599999999998</c:v>
                </c:pt>
                <c:pt idx="555">
                  <c:v>100.282</c:v>
                </c:pt>
                <c:pt idx="556">
                  <c:v>92.678299999999993</c:v>
                </c:pt>
                <c:pt idx="557">
                  <c:v>102.6949</c:v>
                </c:pt>
                <c:pt idx="558">
                  <c:v>115.3536</c:v>
                </c:pt>
                <c:pt idx="559">
                  <c:v>79.500500000000002</c:v>
                </c:pt>
                <c:pt idx="560">
                  <c:v>124.8287</c:v>
                </c:pt>
                <c:pt idx="561">
                  <c:v>73.589100000000002</c:v>
                </c:pt>
                <c:pt idx="562">
                  <c:v>131.49529999999999</c:v>
                </c:pt>
                <c:pt idx="563">
                  <c:v>122.9573</c:v>
                </c:pt>
                <c:pt idx="564">
                  <c:v>82.351600000000005</c:v>
                </c:pt>
                <c:pt idx="565">
                  <c:v>65.746499999999997</c:v>
                </c:pt>
                <c:pt idx="566">
                  <c:v>100.4491</c:v>
                </c:pt>
                <c:pt idx="567">
                  <c:v>128.85290000000001</c:v>
                </c:pt>
                <c:pt idx="568">
                  <c:v>94.295699999999997</c:v>
                </c:pt>
                <c:pt idx="569">
                  <c:v>59.000799999999998</c:v>
                </c:pt>
                <c:pt idx="570">
                  <c:v>86.906000000000006</c:v>
                </c:pt>
                <c:pt idx="571">
                  <c:v>106.4387</c:v>
                </c:pt>
                <c:pt idx="572">
                  <c:v>75.315200000000004</c:v>
                </c:pt>
                <c:pt idx="573">
                  <c:v>109.91759999999999</c:v>
                </c:pt>
                <c:pt idx="574">
                  <c:v>84.245800000000003</c:v>
                </c:pt>
                <c:pt idx="575">
                  <c:v>95.355000000000004</c:v>
                </c:pt>
                <c:pt idx="576">
                  <c:v>82.143799999999999</c:v>
                </c:pt>
                <c:pt idx="577">
                  <c:v>139.9427</c:v>
                </c:pt>
                <c:pt idx="578">
                  <c:v>78.0959</c:v>
                </c:pt>
                <c:pt idx="579">
                  <c:v>125.5585</c:v>
                </c:pt>
                <c:pt idx="580">
                  <c:v>134.7398</c:v>
                </c:pt>
                <c:pt idx="581">
                  <c:v>157.88589999999999</c:v>
                </c:pt>
                <c:pt idx="582">
                  <c:v>123.9021</c:v>
                </c:pt>
                <c:pt idx="583">
                  <c:v>149.8329</c:v>
                </c:pt>
                <c:pt idx="584">
                  <c:v>96.423299999999998</c:v>
                </c:pt>
                <c:pt idx="585">
                  <c:v>93.610600000000005</c:v>
                </c:pt>
                <c:pt idx="586">
                  <c:v>100.282</c:v>
                </c:pt>
                <c:pt idx="587">
                  <c:v>141.22470000000001</c:v>
                </c:pt>
                <c:pt idx="588">
                  <c:v>95.692999999999998</c:v>
                </c:pt>
                <c:pt idx="589">
                  <c:v>100.61669999999999</c:v>
                </c:pt>
                <c:pt idx="590">
                  <c:v>106.2795</c:v>
                </c:pt>
                <c:pt idx="591">
                  <c:v>122.9237</c:v>
                </c:pt>
                <c:pt idx="592">
                  <c:v>138.97</c:v>
                </c:pt>
                <c:pt idx="593">
                  <c:v>85.213099999999997</c:v>
                </c:pt>
                <c:pt idx="594">
                  <c:v>94.686499999999995</c:v>
                </c:pt>
                <c:pt idx="595">
                  <c:v>112.9845</c:v>
                </c:pt>
                <c:pt idx="596">
                  <c:v>77.2376</c:v>
                </c:pt>
                <c:pt idx="597">
                  <c:v>68.248000000000005</c:v>
                </c:pt>
                <c:pt idx="598">
                  <c:v>91.6126</c:v>
                </c:pt>
                <c:pt idx="599">
                  <c:v>81.852800000000002</c:v>
                </c:pt>
                <c:pt idx="600">
                  <c:v>123.43089999999999</c:v>
                </c:pt>
                <c:pt idx="601">
                  <c:v>103.8432</c:v>
                </c:pt>
                <c:pt idx="602">
                  <c:v>149.7028</c:v>
                </c:pt>
                <c:pt idx="603">
                  <c:v>141.03800000000001</c:v>
                </c:pt>
                <c:pt idx="604">
                  <c:v>115.94750000000001</c:v>
                </c:pt>
                <c:pt idx="605">
                  <c:v>61.447299999999998</c:v>
                </c:pt>
                <c:pt idx="606">
                  <c:v>128.30029999999999</c:v>
                </c:pt>
                <c:pt idx="607">
                  <c:v>85.870900000000006</c:v>
                </c:pt>
                <c:pt idx="608">
                  <c:v>109.2928</c:v>
                </c:pt>
                <c:pt idx="609">
                  <c:v>91.188800000000001</c:v>
                </c:pt>
                <c:pt idx="610">
                  <c:v>80.141300000000001</c:v>
                </c:pt>
                <c:pt idx="611">
                  <c:v>127.7752</c:v>
                </c:pt>
                <c:pt idx="612">
                  <c:v>83.441900000000004</c:v>
                </c:pt>
                <c:pt idx="613">
                  <c:v>87.950599999999994</c:v>
                </c:pt>
                <c:pt idx="614">
                  <c:v>136.85769999999999</c:v>
                </c:pt>
                <c:pt idx="615">
                  <c:v>95.886499999999998</c:v>
                </c:pt>
                <c:pt idx="616">
                  <c:v>88.446200000000005</c:v>
                </c:pt>
                <c:pt idx="617">
                  <c:v>116.7657</c:v>
                </c:pt>
                <c:pt idx="618">
                  <c:v>123.6129</c:v>
                </c:pt>
                <c:pt idx="619">
                  <c:v>114.1576</c:v>
                </c:pt>
                <c:pt idx="620">
                  <c:v>66.484399999999994</c:v>
                </c:pt>
                <c:pt idx="621">
                  <c:v>104.569</c:v>
                </c:pt>
                <c:pt idx="622">
                  <c:v>93.180099999999996</c:v>
                </c:pt>
                <c:pt idx="623">
                  <c:v>102.00839999999999</c:v>
                </c:pt>
                <c:pt idx="624">
                  <c:v>81.950100000000006</c:v>
                </c:pt>
                <c:pt idx="625">
                  <c:v>165.37440000000001</c:v>
                </c:pt>
                <c:pt idx="626">
                  <c:v>77.730699999999999</c:v>
                </c:pt>
                <c:pt idx="627">
                  <c:v>89.056299999999993</c:v>
                </c:pt>
                <c:pt idx="628">
                  <c:v>92.738799999999998</c:v>
                </c:pt>
                <c:pt idx="629">
                  <c:v>143.8964</c:v>
                </c:pt>
                <c:pt idx="630">
                  <c:v>87.296400000000006</c:v>
                </c:pt>
                <c:pt idx="631">
                  <c:v>235.17769999999999</c:v>
                </c:pt>
                <c:pt idx="632">
                  <c:v>57.021900000000002</c:v>
                </c:pt>
                <c:pt idx="633">
                  <c:v>72.390900000000002</c:v>
                </c:pt>
                <c:pt idx="634">
                  <c:v>115.4366</c:v>
                </c:pt>
                <c:pt idx="635">
                  <c:v>75.303899999999999</c:v>
                </c:pt>
                <c:pt idx="636">
                  <c:v>94.051400000000001</c:v>
                </c:pt>
                <c:pt idx="637">
                  <c:v>76.026799999999994</c:v>
                </c:pt>
                <c:pt idx="638">
                  <c:v>190.18530000000001</c:v>
                </c:pt>
                <c:pt idx="639">
                  <c:v>106.6482</c:v>
                </c:pt>
                <c:pt idx="640">
                  <c:v>88.140100000000004</c:v>
                </c:pt>
                <c:pt idx="641">
                  <c:v>98.306200000000004</c:v>
                </c:pt>
                <c:pt idx="642">
                  <c:v>150.24799999999999</c:v>
                </c:pt>
                <c:pt idx="643">
                  <c:v>122.55889999999999</c:v>
                </c:pt>
                <c:pt idx="644">
                  <c:v>105.0547</c:v>
                </c:pt>
                <c:pt idx="645">
                  <c:v>189.1266</c:v>
                </c:pt>
                <c:pt idx="646">
                  <c:v>69.406300000000002</c:v>
                </c:pt>
                <c:pt idx="647">
                  <c:v>159.13669999999999</c:v>
                </c:pt>
                <c:pt idx="648">
                  <c:v>88.998199999999997</c:v>
                </c:pt>
                <c:pt idx="649">
                  <c:v>112.4438</c:v>
                </c:pt>
                <c:pt idx="650">
                  <c:v>110.0774</c:v>
                </c:pt>
                <c:pt idx="651">
                  <c:v>173.00460000000001</c:v>
                </c:pt>
                <c:pt idx="652">
                  <c:v>115.30410000000001</c:v>
                </c:pt>
                <c:pt idx="653">
                  <c:v>150.88570000000001</c:v>
                </c:pt>
                <c:pt idx="654">
                  <c:v>106.9773</c:v>
                </c:pt>
                <c:pt idx="655">
                  <c:v>64.048500000000004</c:v>
                </c:pt>
                <c:pt idx="656">
                  <c:v>63.856499999999997</c:v>
                </c:pt>
                <c:pt idx="657">
                  <c:v>108.9521</c:v>
                </c:pt>
                <c:pt idx="658">
                  <c:v>106.0227</c:v>
                </c:pt>
                <c:pt idx="659">
                  <c:v>148.2097</c:v>
                </c:pt>
                <c:pt idx="660">
                  <c:v>71.257499999999993</c:v>
                </c:pt>
                <c:pt idx="661">
                  <c:v>75.750799999999998</c:v>
                </c:pt>
                <c:pt idx="662">
                  <c:v>153.61699999999999</c:v>
                </c:pt>
                <c:pt idx="663">
                  <c:v>76.414599999999993</c:v>
                </c:pt>
                <c:pt idx="664">
                  <c:v>88.134399999999999</c:v>
                </c:pt>
                <c:pt idx="665">
                  <c:v>94.340699999999998</c:v>
                </c:pt>
                <c:pt idx="666">
                  <c:v>104.5757</c:v>
                </c:pt>
                <c:pt idx="667">
                  <c:v>86.260900000000007</c:v>
                </c:pt>
                <c:pt idx="668">
                  <c:v>173.571</c:v>
                </c:pt>
                <c:pt idx="669">
                  <c:v>80.236900000000006</c:v>
                </c:pt>
                <c:pt idx="670">
                  <c:v>161.7397</c:v>
                </c:pt>
                <c:pt idx="671">
                  <c:v>128.6121</c:v>
                </c:pt>
                <c:pt idx="672">
                  <c:v>78.811099999999996</c:v>
                </c:pt>
                <c:pt idx="673">
                  <c:v>124.4199</c:v>
                </c:pt>
                <c:pt idx="674">
                  <c:v>91.874499999999998</c:v>
                </c:pt>
                <c:pt idx="675">
                  <c:v>116.8023</c:v>
                </c:pt>
                <c:pt idx="676">
                  <c:v>97.101699999999994</c:v>
                </c:pt>
                <c:pt idx="677">
                  <c:v>137.46430000000001</c:v>
                </c:pt>
                <c:pt idx="678">
                  <c:v>134.41659999999999</c:v>
                </c:pt>
                <c:pt idx="679">
                  <c:v>85.677999999999997</c:v>
                </c:pt>
                <c:pt idx="680">
                  <c:v>103.3694</c:v>
                </c:pt>
                <c:pt idx="681">
                  <c:v>63.368099999999998</c:v>
                </c:pt>
                <c:pt idx="682">
                  <c:v>164.2148</c:v>
                </c:pt>
                <c:pt idx="683">
                  <c:v>66.032700000000006</c:v>
                </c:pt>
                <c:pt idx="684">
                  <c:v>74.786699999999996</c:v>
                </c:pt>
                <c:pt idx="685">
                  <c:v>143.31880000000001</c:v>
                </c:pt>
                <c:pt idx="686">
                  <c:v>78.0518</c:v>
                </c:pt>
                <c:pt idx="687">
                  <c:v>137.58699999999999</c:v>
                </c:pt>
                <c:pt idx="688">
                  <c:v>105.06480000000001</c:v>
                </c:pt>
                <c:pt idx="689">
                  <c:v>120.19580000000001</c:v>
                </c:pt>
                <c:pt idx="690">
                  <c:v>84.664599999999993</c:v>
                </c:pt>
                <c:pt idx="691">
                  <c:v>101.0564</c:v>
                </c:pt>
                <c:pt idx="692">
                  <c:v>92.707800000000006</c:v>
                </c:pt>
                <c:pt idx="693">
                  <c:v>162.8201</c:v>
                </c:pt>
                <c:pt idx="694">
                  <c:v>76.981899999999996</c:v>
                </c:pt>
                <c:pt idx="695">
                  <c:v>112.595</c:v>
                </c:pt>
                <c:pt idx="696">
                  <c:v>87.872</c:v>
                </c:pt>
                <c:pt idx="697">
                  <c:v>135.61959999999999</c:v>
                </c:pt>
                <c:pt idx="698">
                  <c:v>95.136700000000005</c:v>
                </c:pt>
                <c:pt idx="699">
                  <c:v>64.903499999999994</c:v>
                </c:pt>
                <c:pt idx="700">
                  <c:v>78.739699999999999</c:v>
                </c:pt>
                <c:pt idx="701">
                  <c:v>100.7</c:v>
                </c:pt>
                <c:pt idx="702">
                  <c:v>75.702100000000002</c:v>
                </c:pt>
                <c:pt idx="703">
                  <c:v>98.638999999999996</c:v>
                </c:pt>
                <c:pt idx="704">
                  <c:v>76.1126</c:v>
                </c:pt>
                <c:pt idx="705">
                  <c:v>119.95059999999999</c:v>
                </c:pt>
                <c:pt idx="706">
                  <c:v>109.2187</c:v>
                </c:pt>
                <c:pt idx="707">
                  <c:v>82.183800000000005</c:v>
                </c:pt>
                <c:pt idx="708">
                  <c:v>74.089100000000002</c:v>
                </c:pt>
                <c:pt idx="709">
                  <c:v>66.576400000000007</c:v>
                </c:pt>
                <c:pt idx="710">
                  <c:v>90.19</c:v>
                </c:pt>
                <c:pt idx="711">
                  <c:v>112.7355</c:v>
                </c:pt>
                <c:pt idx="712">
                  <c:v>122.2188</c:v>
                </c:pt>
                <c:pt idx="713">
                  <c:v>142.9444</c:v>
                </c:pt>
                <c:pt idx="714">
                  <c:v>100.7736</c:v>
                </c:pt>
                <c:pt idx="715">
                  <c:v>78.629900000000006</c:v>
                </c:pt>
                <c:pt idx="716">
                  <c:v>105.07040000000001</c:v>
                </c:pt>
                <c:pt idx="717">
                  <c:v>83.644199999999998</c:v>
                </c:pt>
                <c:pt idx="718">
                  <c:v>74.377700000000004</c:v>
                </c:pt>
                <c:pt idx="719">
                  <c:v>94.951099999999997</c:v>
                </c:pt>
                <c:pt idx="720">
                  <c:v>109.2971</c:v>
                </c:pt>
                <c:pt idx="721">
                  <c:v>97.900899999999993</c:v>
                </c:pt>
                <c:pt idx="722">
                  <c:v>116.1161</c:v>
                </c:pt>
                <c:pt idx="723">
                  <c:v>92.399299999999997</c:v>
                </c:pt>
                <c:pt idx="724">
                  <c:v>75.365899999999996</c:v>
                </c:pt>
                <c:pt idx="725">
                  <c:v>76.669600000000003</c:v>
                </c:pt>
                <c:pt idx="726">
                  <c:v>104.6204</c:v>
                </c:pt>
                <c:pt idx="727">
                  <c:v>151.76</c:v>
                </c:pt>
                <c:pt idx="728">
                  <c:v>129.75030000000001</c:v>
                </c:pt>
                <c:pt idx="729">
                  <c:v>121.4581</c:v>
                </c:pt>
                <c:pt idx="730">
                  <c:v>70.190700000000007</c:v>
                </c:pt>
                <c:pt idx="731">
                  <c:v>71.994</c:v>
                </c:pt>
                <c:pt idx="732">
                  <c:v>75.202100000000002</c:v>
                </c:pt>
                <c:pt idx="733">
                  <c:v>70.148899999999998</c:v>
                </c:pt>
                <c:pt idx="734">
                  <c:v>135.45230000000001</c:v>
                </c:pt>
                <c:pt idx="735">
                  <c:v>136.93299999999999</c:v>
                </c:pt>
                <c:pt idx="736">
                  <c:v>181.4111</c:v>
                </c:pt>
                <c:pt idx="737">
                  <c:v>105.96599999999999</c:v>
                </c:pt>
                <c:pt idx="738">
                  <c:v>56.767899999999997</c:v>
                </c:pt>
                <c:pt idx="739">
                  <c:v>75.978399999999993</c:v>
                </c:pt>
                <c:pt idx="740">
                  <c:v>119.6972</c:v>
                </c:pt>
                <c:pt idx="741">
                  <c:v>82.893500000000003</c:v>
                </c:pt>
                <c:pt idx="742">
                  <c:v>59.430199999999999</c:v>
                </c:pt>
                <c:pt idx="743">
                  <c:v>126.0103</c:v>
                </c:pt>
                <c:pt idx="744">
                  <c:v>79.687700000000007</c:v>
                </c:pt>
                <c:pt idx="745">
                  <c:v>131.1318</c:v>
                </c:pt>
                <c:pt idx="746">
                  <c:v>146.77549999999999</c:v>
                </c:pt>
                <c:pt idx="747">
                  <c:v>90.098200000000006</c:v>
                </c:pt>
                <c:pt idx="748">
                  <c:v>91.4345</c:v>
                </c:pt>
                <c:pt idx="749">
                  <c:v>117.5839</c:v>
                </c:pt>
                <c:pt idx="750">
                  <c:v>113.3984</c:v>
                </c:pt>
                <c:pt idx="751">
                  <c:v>110.533</c:v>
                </c:pt>
                <c:pt idx="752">
                  <c:v>134.98769999999999</c:v>
                </c:pt>
                <c:pt idx="753">
                  <c:v>80.325800000000001</c:v>
                </c:pt>
                <c:pt idx="754">
                  <c:v>63.472200000000001</c:v>
                </c:pt>
                <c:pt idx="755">
                  <c:v>111.8706</c:v>
                </c:pt>
                <c:pt idx="756">
                  <c:v>179.60720000000001</c:v>
                </c:pt>
                <c:pt idx="757">
                  <c:v>85.527900000000002</c:v>
                </c:pt>
                <c:pt idx="758">
                  <c:v>148.684</c:v>
                </c:pt>
                <c:pt idx="759">
                  <c:v>111.5371</c:v>
                </c:pt>
                <c:pt idx="760">
                  <c:v>160.48429999999999</c:v>
                </c:pt>
                <c:pt idx="761">
                  <c:v>120.4404</c:v>
                </c:pt>
                <c:pt idx="762">
                  <c:v>118.1695</c:v>
                </c:pt>
                <c:pt idx="763">
                  <c:v>88.854200000000006</c:v>
                </c:pt>
                <c:pt idx="764">
                  <c:v>93.759299999999996</c:v>
                </c:pt>
                <c:pt idx="765">
                  <c:v>144.60589999999999</c:v>
                </c:pt>
                <c:pt idx="766">
                  <c:v>130.03739999999999</c:v>
                </c:pt>
                <c:pt idx="767">
                  <c:v>136.98230000000001</c:v>
                </c:pt>
                <c:pt idx="768">
                  <c:v>138.34460000000001</c:v>
                </c:pt>
                <c:pt idx="769">
                  <c:v>77.171099999999996</c:v>
                </c:pt>
                <c:pt idx="770">
                  <c:v>149.22669999999999</c:v>
                </c:pt>
                <c:pt idx="771">
                  <c:v>81.218800000000002</c:v>
                </c:pt>
                <c:pt idx="772">
                  <c:v>207.41679999999999</c:v>
                </c:pt>
                <c:pt idx="773">
                  <c:v>87.352800000000002</c:v>
                </c:pt>
                <c:pt idx="774">
                  <c:v>89.529899999999998</c:v>
                </c:pt>
                <c:pt idx="775">
                  <c:v>85.046499999999995</c:v>
                </c:pt>
                <c:pt idx="776">
                  <c:v>101.0745</c:v>
                </c:pt>
                <c:pt idx="777">
                  <c:v>79.497799999999998</c:v>
                </c:pt>
                <c:pt idx="778">
                  <c:v>101.89100000000001</c:v>
                </c:pt>
                <c:pt idx="779">
                  <c:v>93.801100000000005</c:v>
                </c:pt>
                <c:pt idx="780">
                  <c:v>110.16800000000001</c:v>
                </c:pt>
                <c:pt idx="781">
                  <c:v>167.1507</c:v>
                </c:pt>
                <c:pt idx="782">
                  <c:v>122.5907</c:v>
                </c:pt>
                <c:pt idx="783">
                  <c:v>73.022999999999996</c:v>
                </c:pt>
                <c:pt idx="784">
                  <c:v>111.90730000000001</c:v>
                </c:pt>
                <c:pt idx="785">
                  <c:v>71.754099999999994</c:v>
                </c:pt>
                <c:pt idx="786">
                  <c:v>127.6467</c:v>
                </c:pt>
                <c:pt idx="787">
                  <c:v>86.228300000000004</c:v>
                </c:pt>
                <c:pt idx="788">
                  <c:v>142.28630000000001</c:v>
                </c:pt>
                <c:pt idx="789">
                  <c:v>163.2439</c:v>
                </c:pt>
                <c:pt idx="790">
                  <c:v>60.1631</c:v>
                </c:pt>
                <c:pt idx="791">
                  <c:v>72.136399999999995</c:v>
                </c:pt>
                <c:pt idx="792">
                  <c:v>97.886600000000001</c:v>
                </c:pt>
                <c:pt idx="793">
                  <c:v>102.37130000000001</c:v>
                </c:pt>
                <c:pt idx="794">
                  <c:v>88.432699999999997</c:v>
                </c:pt>
                <c:pt idx="795">
                  <c:v>113.4186</c:v>
                </c:pt>
                <c:pt idx="796">
                  <c:v>85.992199999999997</c:v>
                </c:pt>
                <c:pt idx="797">
                  <c:v>99.741100000000003</c:v>
                </c:pt>
                <c:pt idx="798">
                  <c:v>88.781099999999995</c:v>
                </c:pt>
                <c:pt idx="799">
                  <c:v>90.605199999999996</c:v>
                </c:pt>
                <c:pt idx="800">
                  <c:v>138.75649999999999</c:v>
                </c:pt>
                <c:pt idx="801">
                  <c:v>87.479799999999997</c:v>
                </c:pt>
                <c:pt idx="802">
                  <c:v>80.887699999999995</c:v>
                </c:pt>
                <c:pt idx="803">
                  <c:v>137.19370000000001</c:v>
                </c:pt>
                <c:pt idx="804">
                  <c:v>59.7699</c:v>
                </c:pt>
                <c:pt idx="805">
                  <c:v>115.82380000000001</c:v>
                </c:pt>
                <c:pt idx="806">
                  <c:v>98.171000000000006</c:v>
                </c:pt>
                <c:pt idx="807">
                  <c:v>76.793099999999995</c:v>
                </c:pt>
                <c:pt idx="808">
                  <c:v>112.0441</c:v>
                </c:pt>
                <c:pt idx="809">
                  <c:v>96.614400000000003</c:v>
                </c:pt>
                <c:pt idx="810">
                  <c:v>60.217599999999997</c:v>
                </c:pt>
                <c:pt idx="811">
                  <c:v>153.8939</c:v>
                </c:pt>
                <c:pt idx="812">
                  <c:v>160.4958</c:v>
                </c:pt>
                <c:pt idx="813">
                  <c:v>86.602900000000005</c:v>
                </c:pt>
                <c:pt idx="814">
                  <c:v>62.3538</c:v>
                </c:pt>
                <c:pt idx="815">
                  <c:v>127.86320000000001</c:v>
                </c:pt>
                <c:pt idx="816">
                  <c:v>146.10419999999999</c:v>
                </c:pt>
                <c:pt idx="817">
                  <c:v>121.84829999999999</c:v>
                </c:pt>
                <c:pt idx="818">
                  <c:v>101.4503</c:v>
                </c:pt>
                <c:pt idx="819">
                  <c:v>81.704700000000003</c:v>
                </c:pt>
                <c:pt idx="820">
                  <c:v>80.186599999999999</c:v>
                </c:pt>
                <c:pt idx="821">
                  <c:v>139.2774</c:v>
                </c:pt>
                <c:pt idx="822">
                  <c:v>158.3194</c:v>
                </c:pt>
                <c:pt idx="823">
                  <c:v>121.47790000000001</c:v>
                </c:pt>
                <c:pt idx="824">
                  <c:v>80.2804</c:v>
                </c:pt>
                <c:pt idx="825">
                  <c:v>66.698999999999998</c:v>
                </c:pt>
                <c:pt idx="826">
                  <c:v>134.95689999999999</c:v>
                </c:pt>
                <c:pt idx="827">
                  <c:v>103.38849999999999</c:v>
                </c:pt>
                <c:pt idx="828">
                  <c:v>182.60409999999999</c:v>
                </c:pt>
                <c:pt idx="829">
                  <c:v>139.78880000000001</c:v>
                </c:pt>
                <c:pt idx="830">
                  <c:v>95.379199999999997</c:v>
                </c:pt>
                <c:pt idx="831">
                  <c:v>88.963200000000001</c:v>
                </c:pt>
                <c:pt idx="832">
                  <c:v>69.972700000000003</c:v>
                </c:pt>
                <c:pt idx="833">
                  <c:v>124.39100000000001</c:v>
                </c:pt>
                <c:pt idx="834">
                  <c:v>90.379300000000001</c:v>
                </c:pt>
                <c:pt idx="835">
                  <c:v>61.206400000000002</c:v>
                </c:pt>
                <c:pt idx="836">
                  <c:v>129.59569999999999</c:v>
                </c:pt>
                <c:pt idx="837">
                  <c:v>124.1465</c:v>
                </c:pt>
                <c:pt idx="838">
                  <c:v>72.7791</c:v>
                </c:pt>
                <c:pt idx="839">
                  <c:v>72.011700000000005</c:v>
                </c:pt>
                <c:pt idx="840">
                  <c:v>145.9075</c:v>
                </c:pt>
                <c:pt idx="841">
                  <c:v>77.0535</c:v>
                </c:pt>
                <c:pt idx="842">
                  <c:v>93.730400000000003</c:v>
                </c:pt>
                <c:pt idx="843">
                  <c:v>162.8552</c:v>
                </c:pt>
                <c:pt idx="844">
                  <c:v>72.593000000000004</c:v>
                </c:pt>
                <c:pt idx="845">
                  <c:v>146.6806</c:v>
                </c:pt>
                <c:pt idx="846">
                  <c:v>140.74520000000001</c:v>
                </c:pt>
                <c:pt idx="847">
                  <c:v>103.55410000000001</c:v>
                </c:pt>
                <c:pt idx="848">
                  <c:v>130.01070000000001</c:v>
                </c:pt>
                <c:pt idx="849">
                  <c:v>124.81740000000001</c:v>
                </c:pt>
                <c:pt idx="850">
                  <c:v>118.4997</c:v>
                </c:pt>
                <c:pt idx="851">
                  <c:v>98.843400000000003</c:v>
                </c:pt>
                <c:pt idx="852">
                  <c:v>107.6875</c:v>
                </c:pt>
                <c:pt idx="853">
                  <c:v>66.6036</c:v>
                </c:pt>
                <c:pt idx="854">
                  <c:v>195.36099999999999</c:v>
                </c:pt>
                <c:pt idx="855">
                  <c:v>82.928600000000003</c:v>
                </c:pt>
                <c:pt idx="856">
                  <c:v>79.709400000000002</c:v>
                </c:pt>
                <c:pt idx="857">
                  <c:v>91.718599999999995</c:v>
                </c:pt>
                <c:pt idx="858">
                  <c:v>83.821399999999997</c:v>
                </c:pt>
                <c:pt idx="859">
                  <c:v>123.0249</c:v>
                </c:pt>
                <c:pt idx="860">
                  <c:v>118.5188</c:v>
                </c:pt>
                <c:pt idx="861">
                  <c:v>64.0578</c:v>
                </c:pt>
                <c:pt idx="862">
                  <c:v>58.859400000000001</c:v>
                </c:pt>
                <c:pt idx="863">
                  <c:v>91.711399999999998</c:v>
                </c:pt>
                <c:pt idx="864">
                  <c:v>109.04730000000001</c:v>
                </c:pt>
                <c:pt idx="865">
                  <c:v>105.4436</c:v>
                </c:pt>
                <c:pt idx="866">
                  <c:v>119.1135</c:v>
                </c:pt>
                <c:pt idx="867">
                  <c:v>100.1639</c:v>
                </c:pt>
                <c:pt idx="868">
                  <c:v>77.653599999999997</c:v>
                </c:pt>
                <c:pt idx="869">
                  <c:v>99.212699999999998</c:v>
                </c:pt>
                <c:pt idx="870">
                  <c:v>86.038700000000006</c:v>
                </c:pt>
                <c:pt idx="871">
                  <c:v>57.8127</c:v>
                </c:pt>
                <c:pt idx="872">
                  <c:v>61.267899999999997</c:v>
                </c:pt>
                <c:pt idx="873">
                  <c:v>100.431</c:v>
                </c:pt>
                <c:pt idx="874">
                  <c:v>61.410499999999999</c:v>
                </c:pt>
                <c:pt idx="875">
                  <c:v>120.46169999999999</c:v>
                </c:pt>
                <c:pt idx="876">
                  <c:v>133.1437</c:v>
                </c:pt>
                <c:pt idx="877">
                  <c:v>95.641599999999997</c:v>
                </c:pt>
                <c:pt idx="878">
                  <c:v>121.8734</c:v>
                </c:pt>
                <c:pt idx="879">
                  <c:v>101.86790000000001</c:v>
                </c:pt>
                <c:pt idx="880">
                  <c:v>107.61</c:v>
                </c:pt>
                <c:pt idx="881">
                  <c:v>70.983500000000006</c:v>
                </c:pt>
                <c:pt idx="882">
                  <c:v>49.658000000000001</c:v>
                </c:pt>
                <c:pt idx="883">
                  <c:v>91.572599999999994</c:v>
                </c:pt>
                <c:pt idx="884">
                  <c:v>75.389799999999994</c:v>
                </c:pt>
                <c:pt idx="885">
                  <c:v>101.19110000000001</c:v>
                </c:pt>
                <c:pt idx="886">
                  <c:v>61.947099999999999</c:v>
                </c:pt>
                <c:pt idx="887">
                  <c:v>192.58</c:v>
                </c:pt>
                <c:pt idx="888">
                  <c:v>118.16160000000001</c:v>
                </c:pt>
                <c:pt idx="889">
                  <c:v>69.413200000000003</c:v>
                </c:pt>
                <c:pt idx="890">
                  <c:v>65.543700000000001</c:v>
                </c:pt>
                <c:pt idx="891">
                  <c:v>118.4162</c:v>
                </c:pt>
                <c:pt idx="892">
                  <c:v>103.6491</c:v>
                </c:pt>
                <c:pt idx="893">
                  <c:v>64.267200000000003</c:v>
                </c:pt>
                <c:pt idx="894">
                  <c:v>111.4571</c:v>
                </c:pt>
                <c:pt idx="895">
                  <c:v>117.348</c:v>
                </c:pt>
                <c:pt idx="896">
                  <c:v>151.595</c:v>
                </c:pt>
                <c:pt idx="897">
                  <c:v>71.069999999999993</c:v>
                </c:pt>
                <c:pt idx="898">
                  <c:v>130.84399999999999</c:v>
                </c:pt>
                <c:pt idx="899">
                  <c:v>92.224999999999994</c:v>
                </c:pt>
                <c:pt idx="900">
                  <c:v>79.061599999999999</c:v>
                </c:pt>
                <c:pt idx="901">
                  <c:v>104.1075</c:v>
                </c:pt>
                <c:pt idx="902">
                  <c:v>99.425700000000006</c:v>
                </c:pt>
                <c:pt idx="903">
                  <c:v>71.199700000000007</c:v>
                </c:pt>
                <c:pt idx="904">
                  <c:v>89.467299999999994</c:v>
                </c:pt>
                <c:pt idx="905">
                  <c:v>82.000900000000001</c:v>
                </c:pt>
                <c:pt idx="906">
                  <c:v>85.997100000000003</c:v>
                </c:pt>
                <c:pt idx="907">
                  <c:v>98.722700000000003</c:v>
                </c:pt>
                <c:pt idx="908">
                  <c:v>75.162499999999994</c:v>
                </c:pt>
                <c:pt idx="909">
                  <c:v>108.997</c:v>
                </c:pt>
                <c:pt idx="910">
                  <c:v>86.066400000000002</c:v>
                </c:pt>
                <c:pt idx="911">
                  <c:v>98.756399999999999</c:v>
                </c:pt>
                <c:pt idx="912">
                  <c:v>93.554199999999994</c:v>
                </c:pt>
                <c:pt idx="913">
                  <c:v>128.53389999999999</c:v>
                </c:pt>
                <c:pt idx="914">
                  <c:v>100.7608</c:v>
                </c:pt>
                <c:pt idx="915">
                  <c:v>82.9602</c:v>
                </c:pt>
                <c:pt idx="916">
                  <c:v>72.508600000000001</c:v>
                </c:pt>
                <c:pt idx="917">
                  <c:v>132.9691</c:v>
                </c:pt>
                <c:pt idx="918">
                  <c:v>68.381799999999998</c:v>
                </c:pt>
                <c:pt idx="919">
                  <c:v>73.394099999999995</c:v>
                </c:pt>
                <c:pt idx="920">
                  <c:v>92.134799999999998</c:v>
                </c:pt>
                <c:pt idx="921">
                  <c:v>89.898499999999999</c:v>
                </c:pt>
                <c:pt idx="922">
                  <c:v>130.03649999999999</c:v>
                </c:pt>
                <c:pt idx="923">
                  <c:v>87.877700000000004</c:v>
                </c:pt>
                <c:pt idx="924">
                  <c:v>82.846800000000002</c:v>
                </c:pt>
                <c:pt idx="925">
                  <c:v>88.422399999999996</c:v>
                </c:pt>
                <c:pt idx="926">
                  <c:v>112.9276</c:v>
                </c:pt>
                <c:pt idx="927">
                  <c:v>120.4228</c:v>
                </c:pt>
                <c:pt idx="928">
                  <c:v>104.7377</c:v>
                </c:pt>
                <c:pt idx="929">
                  <c:v>160.86750000000001</c:v>
                </c:pt>
                <c:pt idx="930">
                  <c:v>149.9462</c:v>
                </c:pt>
                <c:pt idx="931">
                  <c:v>75.786699999999996</c:v>
                </c:pt>
                <c:pt idx="932">
                  <c:v>67.120400000000004</c:v>
                </c:pt>
                <c:pt idx="933">
                  <c:v>60.976799999999997</c:v>
                </c:pt>
                <c:pt idx="934">
                  <c:v>113.7482</c:v>
                </c:pt>
                <c:pt idx="935">
                  <c:v>160.33609999999999</c:v>
                </c:pt>
                <c:pt idx="936">
                  <c:v>100.6683</c:v>
                </c:pt>
                <c:pt idx="937">
                  <c:v>81.438599999999994</c:v>
                </c:pt>
                <c:pt idx="938">
                  <c:v>88.859399999999994</c:v>
                </c:pt>
                <c:pt idx="939">
                  <c:v>73.334299999999999</c:v>
                </c:pt>
                <c:pt idx="940">
                  <c:v>88.719499999999996</c:v>
                </c:pt>
                <c:pt idx="941">
                  <c:v>163.6482</c:v>
                </c:pt>
                <c:pt idx="942">
                  <c:v>50.221400000000003</c:v>
                </c:pt>
                <c:pt idx="943">
                  <c:v>93.685900000000004</c:v>
                </c:pt>
                <c:pt idx="944">
                  <c:v>54.074100000000001</c:v>
                </c:pt>
                <c:pt idx="945">
                  <c:v>93.277199999999993</c:v>
                </c:pt>
                <c:pt idx="946">
                  <c:v>109.0628</c:v>
                </c:pt>
                <c:pt idx="947">
                  <c:v>94.174400000000006</c:v>
                </c:pt>
                <c:pt idx="948">
                  <c:v>104.35299999999999</c:v>
                </c:pt>
                <c:pt idx="949">
                  <c:v>111.2908</c:v>
                </c:pt>
                <c:pt idx="950">
                  <c:v>92.683199999999999</c:v>
                </c:pt>
                <c:pt idx="951">
                  <c:v>81.709699999999998</c:v>
                </c:pt>
                <c:pt idx="952">
                  <c:v>80.438100000000006</c:v>
                </c:pt>
                <c:pt idx="953">
                  <c:v>79.499200000000002</c:v>
                </c:pt>
                <c:pt idx="954">
                  <c:v>86.261099999999999</c:v>
                </c:pt>
                <c:pt idx="955">
                  <c:v>216.40790000000001</c:v>
                </c:pt>
                <c:pt idx="956">
                  <c:v>126.00239999999999</c:v>
                </c:pt>
                <c:pt idx="957">
                  <c:v>99.282200000000003</c:v>
                </c:pt>
                <c:pt idx="958">
                  <c:v>118.218</c:v>
                </c:pt>
                <c:pt idx="959">
                  <c:v>92.959299999999999</c:v>
                </c:pt>
                <c:pt idx="960">
                  <c:v>108.9186</c:v>
                </c:pt>
                <c:pt idx="961">
                  <c:v>60.816600000000001</c:v>
                </c:pt>
                <c:pt idx="962">
                  <c:v>86.6023</c:v>
                </c:pt>
                <c:pt idx="963">
                  <c:v>91.376199999999997</c:v>
                </c:pt>
                <c:pt idx="964">
                  <c:v>89.765600000000006</c:v>
                </c:pt>
                <c:pt idx="965">
                  <c:v>111.4491</c:v>
                </c:pt>
                <c:pt idx="966">
                  <c:v>80.743099999999998</c:v>
                </c:pt>
                <c:pt idx="967">
                  <c:v>73.159400000000005</c:v>
                </c:pt>
                <c:pt idx="968">
                  <c:v>176.7784</c:v>
                </c:pt>
                <c:pt idx="969">
                  <c:v>95.773700000000005</c:v>
                </c:pt>
                <c:pt idx="970">
                  <c:v>122.7127</c:v>
                </c:pt>
                <c:pt idx="971">
                  <c:v>71.037999999999997</c:v>
                </c:pt>
                <c:pt idx="972">
                  <c:v>108.8023</c:v>
                </c:pt>
                <c:pt idx="973">
                  <c:v>106.0287</c:v>
                </c:pt>
                <c:pt idx="974">
                  <c:v>80.885599999999997</c:v>
                </c:pt>
                <c:pt idx="975">
                  <c:v>117.4053</c:v>
                </c:pt>
                <c:pt idx="976">
                  <c:v>108.34399999999999</c:v>
                </c:pt>
                <c:pt idx="977">
                  <c:v>29.907</c:v>
                </c:pt>
                <c:pt idx="978">
                  <c:v>131.7612</c:v>
                </c:pt>
                <c:pt idx="979">
                  <c:v>106.48439999999999</c:v>
                </c:pt>
                <c:pt idx="980">
                  <c:v>161.9717</c:v>
                </c:pt>
                <c:pt idx="981">
                  <c:v>155.81569999999999</c:v>
                </c:pt>
                <c:pt idx="982">
                  <c:v>143.88499999999999</c:v>
                </c:pt>
                <c:pt idx="983">
                  <c:v>86.724599999999995</c:v>
                </c:pt>
                <c:pt idx="984">
                  <c:v>91.236000000000004</c:v>
                </c:pt>
                <c:pt idx="985">
                  <c:v>73.479900000000001</c:v>
                </c:pt>
                <c:pt idx="986">
                  <c:v>107.2128</c:v>
                </c:pt>
                <c:pt idx="987">
                  <c:v>92.698499999999996</c:v>
                </c:pt>
                <c:pt idx="988">
                  <c:v>82.496399999999994</c:v>
                </c:pt>
                <c:pt idx="989">
                  <c:v>149.32050000000001</c:v>
                </c:pt>
                <c:pt idx="990">
                  <c:v>98.299000000000007</c:v>
                </c:pt>
                <c:pt idx="991">
                  <c:v>75.260099999999994</c:v>
                </c:pt>
                <c:pt idx="992">
                  <c:v>67.332400000000007</c:v>
                </c:pt>
                <c:pt idx="993">
                  <c:v>90.301699999999997</c:v>
                </c:pt>
                <c:pt idx="994">
                  <c:v>77.787599999999998</c:v>
                </c:pt>
                <c:pt idx="995">
                  <c:v>74.455799999999996</c:v>
                </c:pt>
                <c:pt idx="996">
                  <c:v>169.77799999999999</c:v>
                </c:pt>
                <c:pt idx="997">
                  <c:v>84.463700000000003</c:v>
                </c:pt>
                <c:pt idx="998">
                  <c:v>110.8879</c:v>
                </c:pt>
                <c:pt idx="999">
                  <c:v>136.67869999999999</c:v>
                </c:pt>
              </c:numCache>
            </c:numRef>
          </c:xVal>
          <c:yVal>
            <c:numRef>
              <c:f>'Asset or Nothing Call Option'!$S$2:$S$1001</c:f>
              <c:numCache>
                <c:formatCode>0.00</c:formatCode>
                <c:ptCount val="1000"/>
                <c:pt idx="0">
                  <c:v>4.4783999999999997</c:v>
                </c:pt>
                <c:pt idx="1">
                  <c:v>20.444900000000001</c:v>
                </c:pt>
                <c:pt idx="2">
                  <c:v>164.49979999999999</c:v>
                </c:pt>
                <c:pt idx="3">
                  <c:v>3.6135999999999999</c:v>
                </c:pt>
                <c:pt idx="4">
                  <c:v>35.970700000000001</c:v>
                </c:pt>
                <c:pt idx="5">
                  <c:v>137.19820000000001</c:v>
                </c:pt>
                <c:pt idx="6">
                  <c:v>-2.6867999999999999</c:v>
                </c:pt>
                <c:pt idx="7">
                  <c:v>2.3443000000000001</c:v>
                </c:pt>
                <c:pt idx="8">
                  <c:v>0.92800000000000005</c:v>
                </c:pt>
                <c:pt idx="9">
                  <c:v>26.718800000000002</c:v>
                </c:pt>
                <c:pt idx="10">
                  <c:v>-6.2222999999999997</c:v>
                </c:pt>
                <c:pt idx="11">
                  <c:v>65.590900000000005</c:v>
                </c:pt>
                <c:pt idx="12">
                  <c:v>144.7782</c:v>
                </c:pt>
                <c:pt idx="13">
                  <c:v>24.369800000000001</c:v>
                </c:pt>
                <c:pt idx="14">
                  <c:v>-5.2454999999999998</c:v>
                </c:pt>
                <c:pt idx="15">
                  <c:v>55.008400000000002</c:v>
                </c:pt>
                <c:pt idx="16">
                  <c:v>8.7239000000000004</c:v>
                </c:pt>
                <c:pt idx="17">
                  <c:v>56.876100000000001</c:v>
                </c:pt>
                <c:pt idx="18">
                  <c:v>38.190600000000003</c:v>
                </c:pt>
                <c:pt idx="19">
                  <c:v>94.2928</c:v>
                </c:pt>
                <c:pt idx="20">
                  <c:v>5.6604000000000001</c:v>
                </c:pt>
                <c:pt idx="21">
                  <c:v>125.2987</c:v>
                </c:pt>
                <c:pt idx="22">
                  <c:v>135.45939999999999</c:v>
                </c:pt>
                <c:pt idx="23">
                  <c:v>83.007000000000005</c:v>
                </c:pt>
                <c:pt idx="24">
                  <c:v>135.65039999999999</c:v>
                </c:pt>
                <c:pt idx="25">
                  <c:v>143.1558</c:v>
                </c:pt>
                <c:pt idx="26">
                  <c:v>2.3412000000000002</c:v>
                </c:pt>
                <c:pt idx="27">
                  <c:v>119.4246</c:v>
                </c:pt>
                <c:pt idx="28">
                  <c:v>134.16120000000001</c:v>
                </c:pt>
                <c:pt idx="29">
                  <c:v>173.43690000000001</c:v>
                </c:pt>
                <c:pt idx="30">
                  <c:v>156.36429999999999</c:v>
                </c:pt>
                <c:pt idx="31">
                  <c:v>24.265599999999999</c:v>
                </c:pt>
                <c:pt idx="32">
                  <c:v>109.8105</c:v>
                </c:pt>
                <c:pt idx="33">
                  <c:v>60.310099999999998</c:v>
                </c:pt>
                <c:pt idx="34">
                  <c:v>4.0262000000000002</c:v>
                </c:pt>
                <c:pt idx="35">
                  <c:v>9.4076000000000004</c:v>
                </c:pt>
                <c:pt idx="36">
                  <c:v>92.7864</c:v>
                </c:pt>
                <c:pt idx="37">
                  <c:v>3.4424000000000001</c:v>
                </c:pt>
                <c:pt idx="38">
                  <c:v>116.15089999999999</c:v>
                </c:pt>
                <c:pt idx="39">
                  <c:v>-4.4284999999999997</c:v>
                </c:pt>
                <c:pt idx="40">
                  <c:v>10.6775</c:v>
                </c:pt>
                <c:pt idx="41">
                  <c:v>139.5437</c:v>
                </c:pt>
                <c:pt idx="42">
                  <c:v>95.207099999999997</c:v>
                </c:pt>
                <c:pt idx="43">
                  <c:v>0.52310000000000001</c:v>
                </c:pt>
                <c:pt idx="44">
                  <c:v>131.2998</c:v>
                </c:pt>
                <c:pt idx="45">
                  <c:v>99.0792</c:v>
                </c:pt>
                <c:pt idx="46">
                  <c:v>91.388199999999998</c:v>
                </c:pt>
                <c:pt idx="47">
                  <c:v>24.7193</c:v>
                </c:pt>
                <c:pt idx="48">
                  <c:v>105.83369999999999</c:v>
                </c:pt>
                <c:pt idx="49">
                  <c:v>115.0577</c:v>
                </c:pt>
                <c:pt idx="50">
                  <c:v>21.813199999999998</c:v>
                </c:pt>
                <c:pt idx="51">
                  <c:v>5.9328000000000003</c:v>
                </c:pt>
                <c:pt idx="52">
                  <c:v>-15.154999999999999</c:v>
                </c:pt>
                <c:pt idx="53">
                  <c:v>9.9268000000000001</c:v>
                </c:pt>
                <c:pt idx="54">
                  <c:v>93.144999999999996</c:v>
                </c:pt>
                <c:pt idx="55">
                  <c:v>-0.19409999999999999</c:v>
                </c:pt>
                <c:pt idx="56">
                  <c:v>115.7231</c:v>
                </c:pt>
                <c:pt idx="57">
                  <c:v>7.1805000000000003</c:v>
                </c:pt>
                <c:pt idx="58">
                  <c:v>7.9196</c:v>
                </c:pt>
                <c:pt idx="59">
                  <c:v>68.179000000000002</c:v>
                </c:pt>
                <c:pt idx="60">
                  <c:v>101.306</c:v>
                </c:pt>
                <c:pt idx="61">
                  <c:v>14.9908</c:v>
                </c:pt>
                <c:pt idx="62">
                  <c:v>78.566400000000002</c:v>
                </c:pt>
                <c:pt idx="63">
                  <c:v>150.66909999999999</c:v>
                </c:pt>
                <c:pt idx="64">
                  <c:v>-4.2949999999999999</c:v>
                </c:pt>
                <c:pt idx="65">
                  <c:v>22.121500000000001</c:v>
                </c:pt>
                <c:pt idx="66">
                  <c:v>67.165999999999997</c:v>
                </c:pt>
                <c:pt idx="67">
                  <c:v>134.50550000000001</c:v>
                </c:pt>
                <c:pt idx="68">
                  <c:v>-0.76139999999999997</c:v>
                </c:pt>
                <c:pt idx="69">
                  <c:v>141.21469999999999</c:v>
                </c:pt>
                <c:pt idx="70">
                  <c:v>5.6440000000000001</c:v>
                </c:pt>
                <c:pt idx="71">
                  <c:v>6.6879999999999997</c:v>
                </c:pt>
                <c:pt idx="72">
                  <c:v>63.792700000000004</c:v>
                </c:pt>
                <c:pt idx="73">
                  <c:v>33.2117</c:v>
                </c:pt>
                <c:pt idx="74">
                  <c:v>-4.3251999999999997</c:v>
                </c:pt>
                <c:pt idx="75">
                  <c:v>190.42619999999999</c:v>
                </c:pt>
                <c:pt idx="76">
                  <c:v>33.7333</c:v>
                </c:pt>
                <c:pt idx="77">
                  <c:v>158.97800000000001</c:v>
                </c:pt>
                <c:pt idx="78">
                  <c:v>8.1217000000000006</c:v>
                </c:pt>
                <c:pt idx="79">
                  <c:v>84.654200000000003</c:v>
                </c:pt>
                <c:pt idx="80">
                  <c:v>8.7207000000000008</c:v>
                </c:pt>
                <c:pt idx="81">
                  <c:v>144.06780000000001</c:v>
                </c:pt>
                <c:pt idx="82">
                  <c:v>127.3947</c:v>
                </c:pt>
                <c:pt idx="83">
                  <c:v>141.74250000000001</c:v>
                </c:pt>
                <c:pt idx="84">
                  <c:v>112.6223</c:v>
                </c:pt>
                <c:pt idx="85">
                  <c:v>109.6551</c:v>
                </c:pt>
                <c:pt idx="86">
                  <c:v>61.342399999999998</c:v>
                </c:pt>
                <c:pt idx="87">
                  <c:v>161.34460000000001</c:v>
                </c:pt>
                <c:pt idx="88">
                  <c:v>163.01150000000001</c:v>
                </c:pt>
                <c:pt idx="89">
                  <c:v>175.86500000000001</c:v>
                </c:pt>
                <c:pt idx="90">
                  <c:v>24.796600000000002</c:v>
                </c:pt>
                <c:pt idx="91">
                  <c:v>129.88890000000001</c:v>
                </c:pt>
                <c:pt idx="92">
                  <c:v>6.1546000000000003</c:v>
                </c:pt>
                <c:pt idx="93">
                  <c:v>161.7364</c:v>
                </c:pt>
                <c:pt idx="94">
                  <c:v>111.7149</c:v>
                </c:pt>
                <c:pt idx="95">
                  <c:v>14.4659</c:v>
                </c:pt>
                <c:pt idx="96">
                  <c:v>5.0324999999999998</c:v>
                </c:pt>
                <c:pt idx="97">
                  <c:v>78.9041</c:v>
                </c:pt>
                <c:pt idx="98">
                  <c:v>150.97730000000001</c:v>
                </c:pt>
                <c:pt idx="99">
                  <c:v>51.171100000000003</c:v>
                </c:pt>
                <c:pt idx="100">
                  <c:v>-8.7378</c:v>
                </c:pt>
                <c:pt idx="101">
                  <c:v>131.16749999999999</c:v>
                </c:pt>
                <c:pt idx="102">
                  <c:v>8.0394000000000005</c:v>
                </c:pt>
                <c:pt idx="103">
                  <c:v>58.169499999999999</c:v>
                </c:pt>
                <c:pt idx="104">
                  <c:v>-2.3075000000000001</c:v>
                </c:pt>
                <c:pt idx="105">
                  <c:v>90.1327</c:v>
                </c:pt>
                <c:pt idx="106">
                  <c:v>1.1846000000000001</c:v>
                </c:pt>
                <c:pt idx="107">
                  <c:v>10.4788</c:v>
                </c:pt>
                <c:pt idx="108">
                  <c:v>-6.4443999999999999</c:v>
                </c:pt>
                <c:pt idx="109">
                  <c:v>-2.2578999999999998</c:v>
                </c:pt>
                <c:pt idx="110">
                  <c:v>-1.2307999999999999</c:v>
                </c:pt>
                <c:pt idx="111">
                  <c:v>68.095100000000002</c:v>
                </c:pt>
                <c:pt idx="112">
                  <c:v>47.936399999999999</c:v>
                </c:pt>
                <c:pt idx="113">
                  <c:v>63.515300000000003</c:v>
                </c:pt>
                <c:pt idx="114">
                  <c:v>13.704700000000001</c:v>
                </c:pt>
                <c:pt idx="115">
                  <c:v>91.938500000000005</c:v>
                </c:pt>
                <c:pt idx="116">
                  <c:v>148.0821</c:v>
                </c:pt>
                <c:pt idx="117">
                  <c:v>0.80230000000000001</c:v>
                </c:pt>
                <c:pt idx="118">
                  <c:v>-3.2324000000000002</c:v>
                </c:pt>
                <c:pt idx="119">
                  <c:v>-4.7622</c:v>
                </c:pt>
                <c:pt idx="120">
                  <c:v>132.37350000000001</c:v>
                </c:pt>
                <c:pt idx="121">
                  <c:v>107.79510000000001</c:v>
                </c:pt>
                <c:pt idx="122">
                  <c:v>-24.092099999999999</c:v>
                </c:pt>
                <c:pt idx="123">
                  <c:v>163.15029999999999</c:v>
                </c:pt>
                <c:pt idx="124">
                  <c:v>116.5668</c:v>
                </c:pt>
                <c:pt idx="125">
                  <c:v>113.01600000000001</c:v>
                </c:pt>
                <c:pt idx="126">
                  <c:v>-8.1021999999999998</c:v>
                </c:pt>
                <c:pt idx="127">
                  <c:v>-11.203900000000001</c:v>
                </c:pt>
                <c:pt idx="128">
                  <c:v>-3.0849000000000002</c:v>
                </c:pt>
                <c:pt idx="129">
                  <c:v>57.592399999999998</c:v>
                </c:pt>
                <c:pt idx="130">
                  <c:v>146.572</c:v>
                </c:pt>
                <c:pt idx="131">
                  <c:v>73.281400000000005</c:v>
                </c:pt>
                <c:pt idx="132">
                  <c:v>128.31909999999999</c:v>
                </c:pt>
                <c:pt idx="133">
                  <c:v>85.234300000000005</c:v>
                </c:pt>
                <c:pt idx="134">
                  <c:v>6.51</c:v>
                </c:pt>
                <c:pt idx="135">
                  <c:v>164.11070000000001</c:v>
                </c:pt>
                <c:pt idx="136">
                  <c:v>218.91990000000001</c:v>
                </c:pt>
                <c:pt idx="137">
                  <c:v>120.9239</c:v>
                </c:pt>
                <c:pt idx="138">
                  <c:v>18.576499999999999</c:v>
                </c:pt>
                <c:pt idx="139">
                  <c:v>6.0021000000000004</c:v>
                </c:pt>
                <c:pt idx="140">
                  <c:v>-3.7913000000000001</c:v>
                </c:pt>
                <c:pt idx="141">
                  <c:v>118.11879999999999</c:v>
                </c:pt>
                <c:pt idx="142">
                  <c:v>0.68879999999999997</c:v>
                </c:pt>
                <c:pt idx="143">
                  <c:v>210.4419</c:v>
                </c:pt>
                <c:pt idx="144">
                  <c:v>114.29389999999999</c:v>
                </c:pt>
                <c:pt idx="145">
                  <c:v>27.044499999999999</c:v>
                </c:pt>
                <c:pt idx="146">
                  <c:v>123.545</c:v>
                </c:pt>
                <c:pt idx="147">
                  <c:v>143.9281</c:v>
                </c:pt>
                <c:pt idx="148">
                  <c:v>130.8655</c:v>
                </c:pt>
                <c:pt idx="149">
                  <c:v>122.8719</c:v>
                </c:pt>
                <c:pt idx="150">
                  <c:v>149.286</c:v>
                </c:pt>
                <c:pt idx="151">
                  <c:v>116.5462</c:v>
                </c:pt>
                <c:pt idx="152">
                  <c:v>35.5944</c:v>
                </c:pt>
                <c:pt idx="153">
                  <c:v>-0.215</c:v>
                </c:pt>
                <c:pt idx="154">
                  <c:v>83.449799999999996</c:v>
                </c:pt>
                <c:pt idx="155">
                  <c:v>197.80250000000001</c:v>
                </c:pt>
                <c:pt idx="156">
                  <c:v>114.718</c:v>
                </c:pt>
                <c:pt idx="157">
                  <c:v>-1.41E-2</c:v>
                </c:pt>
                <c:pt idx="158">
                  <c:v>-1.7307999999999999</c:v>
                </c:pt>
                <c:pt idx="159">
                  <c:v>37.6815</c:v>
                </c:pt>
                <c:pt idx="160">
                  <c:v>44.684899999999999</c:v>
                </c:pt>
                <c:pt idx="161">
                  <c:v>34.690399999999997</c:v>
                </c:pt>
                <c:pt idx="162">
                  <c:v>147.8544</c:v>
                </c:pt>
                <c:pt idx="163">
                  <c:v>118.5205</c:v>
                </c:pt>
                <c:pt idx="164">
                  <c:v>169.17660000000001</c:v>
                </c:pt>
                <c:pt idx="165">
                  <c:v>137.60749999999999</c:v>
                </c:pt>
                <c:pt idx="166">
                  <c:v>7.0890000000000004</c:v>
                </c:pt>
                <c:pt idx="167">
                  <c:v>115.8982</c:v>
                </c:pt>
                <c:pt idx="168">
                  <c:v>46.526200000000003</c:v>
                </c:pt>
                <c:pt idx="169">
                  <c:v>25.261900000000001</c:v>
                </c:pt>
                <c:pt idx="170">
                  <c:v>125.2988</c:v>
                </c:pt>
                <c:pt idx="171">
                  <c:v>16.6615</c:v>
                </c:pt>
                <c:pt idx="172">
                  <c:v>5.9028999999999998</c:v>
                </c:pt>
                <c:pt idx="173">
                  <c:v>139.6079</c:v>
                </c:pt>
                <c:pt idx="174">
                  <c:v>5.5236999999999998</c:v>
                </c:pt>
                <c:pt idx="175">
                  <c:v>44.172499999999999</c:v>
                </c:pt>
                <c:pt idx="176">
                  <c:v>132.25290000000001</c:v>
                </c:pt>
                <c:pt idx="177">
                  <c:v>-18.1083</c:v>
                </c:pt>
                <c:pt idx="178">
                  <c:v>37.180999999999997</c:v>
                </c:pt>
                <c:pt idx="179">
                  <c:v>52.7896</c:v>
                </c:pt>
                <c:pt idx="180">
                  <c:v>200.10679999999999</c:v>
                </c:pt>
                <c:pt idx="181">
                  <c:v>132.98480000000001</c:v>
                </c:pt>
                <c:pt idx="182">
                  <c:v>147.43129999999999</c:v>
                </c:pt>
                <c:pt idx="183">
                  <c:v>46.808</c:v>
                </c:pt>
                <c:pt idx="184">
                  <c:v>6.3807</c:v>
                </c:pt>
                <c:pt idx="185">
                  <c:v>1.0102</c:v>
                </c:pt>
                <c:pt idx="186">
                  <c:v>104.6728</c:v>
                </c:pt>
                <c:pt idx="187">
                  <c:v>148.364</c:v>
                </c:pt>
                <c:pt idx="188">
                  <c:v>29.006</c:v>
                </c:pt>
                <c:pt idx="189">
                  <c:v>5.1717000000000004</c:v>
                </c:pt>
                <c:pt idx="190">
                  <c:v>133.13650000000001</c:v>
                </c:pt>
                <c:pt idx="191">
                  <c:v>8.3000000000000001E-3</c:v>
                </c:pt>
                <c:pt idx="192">
                  <c:v>77.7727</c:v>
                </c:pt>
                <c:pt idx="193">
                  <c:v>64.761899999999997</c:v>
                </c:pt>
                <c:pt idx="194">
                  <c:v>53.934699999999999</c:v>
                </c:pt>
                <c:pt idx="195">
                  <c:v>116.41630000000001</c:v>
                </c:pt>
                <c:pt idx="196">
                  <c:v>2.4165999999999999</c:v>
                </c:pt>
                <c:pt idx="197">
                  <c:v>-0.19719999999999999</c:v>
                </c:pt>
                <c:pt idx="198">
                  <c:v>18.318899999999999</c:v>
                </c:pt>
                <c:pt idx="199">
                  <c:v>161.86490000000001</c:v>
                </c:pt>
                <c:pt idx="200">
                  <c:v>3.5226000000000002</c:v>
                </c:pt>
                <c:pt idx="201">
                  <c:v>-2.6922999999999999</c:v>
                </c:pt>
                <c:pt idx="202">
                  <c:v>226.82929999999999</c:v>
                </c:pt>
                <c:pt idx="203">
                  <c:v>18.207599999999999</c:v>
                </c:pt>
                <c:pt idx="204">
                  <c:v>16.681699999999999</c:v>
                </c:pt>
                <c:pt idx="205">
                  <c:v>82.142600000000002</c:v>
                </c:pt>
                <c:pt idx="206">
                  <c:v>101.4798</c:v>
                </c:pt>
                <c:pt idx="207">
                  <c:v>44.401800000000001</c:v>
                </c:pt>
                <c:pt idx="208">
                  <c:v>-8.8556000000000008</c:v>
                </c:pt>
                <c:pt idx="209">
                  <c:v>142.04259999999999</c:v>
                </c:pt>
                <c:pt idx="210">
                  <c:v>110.3115</c:v>
                </c:pt>
                <c:pt idx="211">
                  <c:v>62.761600000000001</c:v>
                </c:pt>
                <c:pt idx="212">
                  <c:v>-2.8628</c:v>
                </c:pt>
                <c:pt idx="213">
                  <c:v>145.53639999999999</c:v>
                </c:pt>
                <c:pt idx="214">
                  <c:v>-3.6400999999999999</c:v>
                </c:pt>
                <c:pt idx="215">
                  <c:v>-4.2089999999999996</c:v>
                </c:pt>
                <c:pt idx="216">
                  <c:v>4.0218999999999996</c:v>
                </c:pt>
                <c:pt idx="217">
                  <c:v>134.26509999999999</c:v>
                </c:pt>
                <c:pt idx="218">
                  <c:v>158.47030000000001</c:v>
                </c:pt>
                <c:pt idx="219">
                  <c:v>-12.3855</c:v>
                </c:pt>
                <c:pt idx="220">
                  <c:v>7.1993</c:v>
                </c:pt>
                <c:pt idx="221">
                  <c:v>-3.7378</c:v>
                </c:pt>
                <c:pt idx="222">
                  <c:v>60.476100000000002</c:v>
                </c:pt>
                <c:pt idx="223">
                  <c:v>3.1800000000000002E-2</c:v>
                </c:pt>
                <c:pt idx="224">
                  <c:v>93.464299999999994</c:v>
                </c:pt>
                <c:pt idx="225">
                  <c:v>-8.4983000000000004</c:v>
                </c:pt>
                <c:pt idx="226">
                  <c:v>164.53280000000001</c:v>
                </c:pt>
                <c:pt idx="227">
                  <c:v>141.24940000000001</c:v>
                </c:pt>
                <c:pt idx="228">
                  <c:v>112.0059</c:v>
                </c:pt>
                <c:pt idx="229">
                  <c:v>-9.4259000000000004</c:v>
                </c:pt>
                <c:pt idx="230">
                  <c:v>185.58099999999999</c:v>
                </c:pt>
                <c:pt idx="231">
                  <c:v>201.65620000000001</c:v>
                </c:pt>
                <c:pt idx="232">
                  <c:v>0.94550000000000001</c:v>
                </c:pt>
                <c:pt idx="233">
                  <c:v>-4.3811</c:v>
                </c:pt>
                <c:pt idx="234">
                  <c:v>125.8218</c:v>
                </c:pt>
                <c:pt idx="235">
                  <c:v>88.391300000000001</c:v>
                </c:pt>
                <c:pt idx="236">
                  <c:v>24.621500000000001</c:v>
                </c:pt>
                <c:pt idx="237">
                  <c:v>59.475299999999997</c:v>
                </c:pt>
                <c:pt idx="238">
                  <c:v>63.666600000000003</c:v>
                </c:pt>
                <c:pt idx="239">
                  <c:v>142.56729999999999</c:v>
                </c:pt>
                <c:pt idx="240">
                  <c:v>125.8158</c:v>
                </c:pt>
                <c:pt idx="241">
                  <c:v>96.524600000000007</c:v>
                </c:pt>
                <c:pt idx="242">
                  <c:v>94.832099999999997</c:v>
                </c:pt>
                <c:pt idx="243">
                  <c:v>5.4321000000000002</c:v>
                </c:pt>
                <c:pt idx="244">
                  <c:v>127.8049</c:v>
                </c:pt>
                <c:pt idx="245">
                  <c:v>171.34469999999999</c:v>
                </c:pt>
                <c:pt idx="246">
                  <c:v>105.03019999999999</c:v>
                </c:pt>
                <c:pt idx="247">
                  <c:v>3.4489000000000001</c:v>
                </c:pt>
                <c:pt idx="248">
                  <c:v>103.39190000000001</c:v>
                </c:pt>
                <c:pt idx="249">
                  <c:v>46.986499999999999</c:v>
                </c:pt>
                <c:pt idx="250">
                  <c:v>59.243099999999998</c:v>
                </c:pt>
                <c:pt idx="251">
                  <c:v>59.2179</c:v>
                </c:pt>
                <c:pt idx="252">
                  <c:v>-8.3329000000000004</c:v>
                </c:pt>
                <c:pt idx="253">
                  <c:v>213.43379999999999</c:v>
                </c:pt>
                <c:pt idx="254">
                  <c:v>128.62129999999999</c:v>
                </c:pt>
                <c:pt idx="255">
                  <c:v>15.073700000000001</c:v>
                </c:pt>
                <c:pt idx="256">
                  <c:v>91.650599999999997</c:v>
                </c:pt>
                <c:pt idx="257">
                  <c:v>11.2737</c:v>
                </c:pt>
                <c:pt idx="258">
                  <c:v>49.846299999999999</c:v>
                </c:pt>
                <c:pt idx="259">
                  <c:v>117.5501</c:v>
                </c:pt>
                <c:pt idx="260">
                  <c:v>109.7949</c:v>
                </c:pt>
                <c:pt idx="261">
                  <c:v>11.7591</c:v>
                </c:pt>
                <c:pt idx="262">
                  <c:v>-2.5244</c:v>
                </c:pt>
                <c:pt idx="263">
                  <c:v>27.741199999999999</c:v>
                </c:pt>
                <c:pt idx="264">
                  <c:v>12.2645</c:v>
                </c:pt>
                <c:pt idx="265">
                  <c:v>107.08029999999999</c:v>
                </c:pt>
                <c:pt idx="266">
                  <c:v>89.4589</c:v>
                </c:pt>
                <c:pt idx="267">
                  <c:v>-3.3292999999999999</c:v>
                </c:pt>
                <c:pt idx="268">
                  <c:v>87.977599999999995</c:v>
                </c:pt>
                <c:pt idx="269">
                  <c:v>24.237300000000001</c:v>
                </c:pt>
                <c:pt idx="270">
                  <c:v>182.9734</c:v>
                </c:pt>
                <c:pt idx="271">
                  <c:v>143.75909999999999</c:v>
                </c:pt>
                <c:pt idx="272">
                  <c:v>-2.0247999999999999</c:v>
                </c:pt>
                <c:pt idx="273">
                  <c:v>16.213999999999999</c:v>
                </c:pt>
                <c:pt idx="274">
                  <c:v>154.11850000000001</c:v>
                </c:pt>
                <c:pt idx="275">
                  <c:v>99.899900000000002</c:v>
                </c:pt>
                <c:pt idx="276">
                  <c:v>10.9307</c:v>
                </c:pt>
                <c:pt idx="277">
                  <c:v>-1.7891999999999999</c:v>
                </c:pt>
                <c:pt idx="278">
                  <c:v>133.4769</c:v>
                </c:pt>
                <c:pt idx="279">
                  <c:v>1.2077</c:v>
                </c:pt>
                <c:pt idx="280">
                  <c:v>9.798</c:v>
                </c:pt>
                <c:pt idx="281">
                  <c:v>-4.7530999999999999</c:v>
                </c:pt>
                <c:pt idx="282">
                  <c:v>-5.4265999999999996</c:v>
                </c:pt>
                <c:pt idx="283">
                  <c:v>104.6172</c:v>
                </c:pt>
                <c:pt idx="284">
                  <c:v>1.1044</c:v>
                </c:pt>
                <c:pt idx="285">
                  <c:v>11.5595</c:v>
                </c:pt>
                <c:pt idx="286">
                  <c:v>99.8095</c:v>
                </c:pt>
                <c:pt idx="287">
                  <c:v>8.8874999999999993</c:v>
                </c:pt>
                <c:pt idx="288">
                  <c:v>0.14990000000000001</c:v>
                </c:pt>
                <c:pt idx="289">
                  <c:v>90.083500000000001</c:v>
                </c:pt>
                <c:pt idx="290">
                  <c:v>-0.37119999999999997</c:v>
                </c:pt>
                <c:pt idx="291">
                  <c:v>151.74610000000001</c:v>
                </c:pt>
                <c:pt idx="292">
                  <c:v>12.887499999999999</c:v>
                </c:pt>
                <c:pt idx="293">
                  <c:v>2.1419999999999999</c:v>
                </c:pt>
                <c:pt idx="294">
                  <c:v>-7.6520000000000001</c:v>
                </c:pt>
                <c:pt idx="295">
                  <c:v>-11.4527</c:v>
                </c:pt>
                <c:pt idx="296">
                  <c:v>118.7402</c:v>
                </c:pt>
                <c:pt idx="297">
                  <c:v>4.9654999999999996</c:v>
                </c:pt>
                <c:pt idx="298">
                  <c:v>6.6344000000000003</c:v>
                </c:pt>
                <c:pt idx="299">
                  <c:v>138.1977</c:v>
                </c:pt>
                <c:pt idx="300">
                  <c:v>168.24809999999999</c:v>
                </c:pt>
                <c:pt idx="301">
                  <c:v>130.2501</c:v>
                </c:pt>
                <c:pt idx="302">
                  <c:v>15.3428</c:v>
                </c:pt>
                <c:pt idx="303">
                  <c:v>96.606899999999996</c:v>
                </c:pt>
                <c:pt idx="304">
                  <c:v>60.5914</c:v>
                </c:pt>
                <c:pt idx="305">
                  <c:v>3.8368000000000002</c:v>
                </c:pt>
                <c:pt idx="306">
                  <c:v>115.1635</c:v>
                </c:pt>
                <c:pt idx="307">
                  <c:v>58.959099999999999</c:v>
                </c:pt>
                <c:pt idx="308">
                  <c:v>179.76169999999999</c:v>
                </c:pt>
                <c:pt idx="309">
                  <c:v>54.248800000000003</c:v>
                </c:pt>
                <c:pt idx="310">
                  <c:v>7.8215000000000003</c:v>
                </c:pt>
                <c:pt idx="311">
                  <c:v>142.69210000000001</c:v>
                </c:pt>
                <c:pt idx="312">
                  <c:v>13.054600000000001</c:v>
                </c:pt>
                <c:pt idx="313">
                  <c:v>124.23350000000001</c:v>
                </c:pt>
                <c:pt idx="314">
                  <c:v>123.9914</c:v>
                </c:pt>
                <c:pt idx="315">
                  <c:v>-1.2894000000000001</c:v>
                </c:pt>
                <c:pt idx="316">
                  <c:v>5.9156000000000004</c:v>
                </c:pt>
                <c:pt idx="317">
                  <c:v>93.538899999999998</c:v>
                </c:pt>
                <c:pt idx="318">
                  <c:v>115.6448</c:v>
                </c:pt>
                <c:pt idx="319">
                  <c:v>120.55549999999999</c:v>
                </c:pt>
                <c:pt idx="320">
                  <c:v>258.42680000000001</c:v>
                </c:pt>
                <c:pt idx="321">
                  <c:v>156.8449</c:v>
                </c:pt>
                <c:pt idx="322">
                  <c:v>1.6364000000000001</c:v>
                </c:pt>
                <c:pt idx="323">
                  <c:v>115.60169999999999</c:v>
                </c:pt>
                <c:pt idx="324">
                  <c:v>-1.621</c:v>
                </c:pt>
                <c:pt idx="325">
                  <c:v>52.434399999999997</c:v>
                </c:pt>
                <c:pt idx="326">
                  <c:v>42.522799999999997</c:v>
                </c:pt>
                <c:pt idx="327">
                  <c:v>53.021900000000002</c:v>
                </c:pt>
                <c:pt idx="328">
                  <c:v>25.965800000000002</c:v>
                </c:pt>
                <c:pt idx="329">
                  <c:v>-4.0077999999999996</c:v>
                </c:pt>
                <c:pt idx="330">
                  <c:v>-1.09E-2</c:v>
                </c:pt>
                <c:pt idx="331">
                  <c:v>118.3663</c:v>
                </c:pt>
                <c:pt idx="332">
                  <c:v>2.2101999999999999</c:v>
                </c:pt>
                <c:pt idx="333">
                  <c:v>-2.7597999999999998</c:v>
                </c:pt>
                <c:pt idx="334">
                  <c:v>115.3977</c:v>
                </c:pt>
                <c:pt idx="335">
                  <c:v>59.188000000000002</c:v>
                </c:pt>
                <c:pt idx="336">
                  <c:v>-1.1415</c:v>
                </c:pt>
                <c:pt idx="337">
                  <c:v>38.746000000000002</c:v>
                </c:pt>
                <c:pt idx="338">
                  <c:v>-0.88549999999999995</c:v>
                </c:pt>
                <c:pt idx="339">
                  <c:v>-10.3315</c:v>
                </c:pt>
                <c:pt idx="340">
                  <c:v>148.85429999999999</c:v>
                </c:pt>
                <c:pt idx="341">
                  <c:v>18.467700000000001</c:v>
                </c:pt>
                <c:pt idx="342">
                  <c:v>49.924399999999999</c:v>
                </c:pt>
                <c:pt idx="343">
                  <c:v>11.378500000000001</c:v>
                </c:pt>
                <c:pt idx="344">
                  <c:v>23.6035</c:v>
                </c:pt>
                <c:pt idx="345">
                  <c:v>98.000900000000001</c:v>
                </c:pt>
                <c:pt idx="346">
                  <c:v>135.35919999999999</c:v>
                </c:pt>
                <c:pt idx="347">
                  <c:v>2.5072999999999999</c:v>
                </c:pt>
                <c:pt idx="348">
                  <c:v>16.358699999999999</c:v>
                </c:pt>
                <c:pt idx="349">
                  <c:v>34.736499999999999</c:v>
                </c:pt>
                <c:pt idx="350">
                  <c:v>4.7313000000000001</c:v>
                </c:pt>
                <c:pt idx="351">
                  <c:v>-25.335699999999999</c:v>
                </c:pt>
                <c:pt idx="352">
                  <c:v>143.7953</c:v>
                </c:pt>
                <c:pt idx="353">
                  <c:v>9.2484000000000002</c:v>
                </c:pt>
                <c:pt idx="354">
                  <c:v>3.8123</c:v>
                </c:pt>
                <c:pt idx="355">
                  <c:v>30.286999999999999</c:v>
                </c:pt>
                <c:pt idx="356">
                  <c:v>108.569</c:v>
                </c:pt>
                <c:pt idx="357">
                  <c:v>-11.0123</c:v>
                </c:pt>
                <c:pt idx="358">
                  <c:v>42.367600000000003</c:v>
                </c:pt>
                <c:pt idx="359">
                  <c:v>83.103700000000003</c:v>
                </c:pt>
                <c:pt idx="360">
                  <c:v>-0.82189999999999996</c:v>
                </c:pt>
                <c:pt idx="361">
                  <c:v>31.3186</c:v>
                </c:pt>
                <c:pt idx="362">
                  <c:v>103.4427</c:v>
                </c:pt>
                <c:pt idx="363">
                  <c:v>2.762</c:v>
                </c:pt>
                <c:pt idx="364">
                  <c:v>151.44030000000001</c:v>
                </c:pt>
                <c:pt idx="365">
                  <c:v>10.1198</c:v>
                </c:pt>
                <c:pt idx="366">
                  <c:v>-2.5196999999999998</c:v>
                </c:pt>
                <c:pt idx="367">
                  <c:v>89.594200000000001</c:v>
                </c:pt>
                <c:pt idx="368">
                  <c:v>117.8494</c:v>
                </c:pt>
                <c:pt idx="369">
                  <c:v>-1.498</c:v>
                </c:pt>
                <c:pt idx="370">
                  <c:v>159.0968</c:v>
                </c:pt>
                <c:pt idx="371">
                  <c:v>23.074200000000001</c:v>
                </c:pt>
                <c:pt idx="372">
                  <c:v>62.587400000000002</c:v>
                </c:pt>
                <c:pt idx="373">
                  <c:v>113.9867</c:v>
                </c:pt>
                <c:pt idx="374">
                  <c:v>2.8818000000000001</c:v>
                </c:pt>
                <c:pt idx="375">
                  <c:v>58.016399999999997</c:v>
                </c:pt>
                <c:pt idx="376">
                  <c:v>85.114199999999997</c:v>
                </c:pt>
                <c:pt idx="377">
                  <c:v>-4.2799999999999998E-2</c:v>
                </c:pt>
                <c:pt idx="378">
                  <c:v>42.887500000000003</c:v>
                </c:pt>
                <c:pt idx="379">
                  <c:v>105.5677</c:v>
                </c:pt>
                <c:pt idx="380">
                  <c:v>-0.65469999999999995</c:v>
                </c:pt>
                <c:pt idx="381">
                  <c:v>123.1005</c:v>
                </c:pt>
                <c:pt idx="382">
                  <c:v>10.260300000000001</c:v>
                </c:pt>
                <c:pt idx="383">
                  <c:v>32.2515</c:v>
                </c:pt>
                <c:pt idx="384">
                  <c:v>90.758899999999997</c:v>
                </c:pt>
                <c:pt idx="385">
                  <c:v>-12.748100000000001</c:v>
                </c:pt>
                <c:pt idx="386">
                  <c:v>20.672999999999998</c:v>
                </c:pt>
                <c:pt idx="387">
                  <c:v>104.8105</c:v>
                </c:pt>
                <c:pt idx="388">
                  <c:v>154.57380000000001</c:v>
                </c:pt>
                <c:pt idx="389">
                  <c:v>55.320099999999996</c:v>
                </c:pt>
                <c:pt idx="390">
                  <c:v>-0.85270000000000001</c:v>
                </c:pt>
                <c:pt idx="391">
                  <c:v>147.37280000000001</c:v>
                </c:pt>
                <c:pt idx="392">
                  <c:v>108.4126</c:v>
                </c:pt>
                <c:pt idx="393">
                  <c:v>1.1359999999999999</c:v>
                </c:pt>
                <c:pt idx="394">
                  <c:v>155.58840000000001</c:v>
                </c:pt>
                <c:pt idx="395">
                  <c:v>5.0327999999999999</c:v>
                </c:pt>
                <c:pt idx="396">
                  <c:v>112.1484</c:v>
                </c:pt>
                <c:pt idx="397">
                  <c:v>131.7612</c:v>
                </c:pt>
                <c:pt idx="398">
                  <c:v>17.0471</c:v>
                </c:pt>
                <c:pt idx="399">
                  <c:v>14.8706</c:v>
                </c:pt>
                <c:pt idx="400">
                  <c:v>40.395899999999997</c:v>
                </c:pt>
                <c:pt idx="401">
                  <c:v>167.6276</c:v>
                </c:pt>
                <c:pt idx="402">
                  <c:v>84.531599999999997</c:v>
                </c:pt>
                <c:pt idx="403">
                  <c:v>170.48939999999999</c:v>
                </c:pt>
                <c:pt idx="404">
                  <c:v>-2.0226000000000002</c:v>
                </c:pt>
                <c:pt idx="405">
                  <c:v>15.4689</c:v>
                </c:pt>
                <c:pt idx="406">
                  <c:v>132.20519999999999</c:v>
                </c:pt>
                <c:pt idx="407">
                  <c:v>11.878299999999999</c:v>
                </c:pt>
                <c:pt idx="408">
                  <c:v>44.180700000000002</c:v>
                </c:pt>
                <c:pt idx="409">
                  <c:v>-4.6303999999999998</c:v>
                </c:pt>
                <c:pt idx="410">
                  <c:v>2.3641999999999999</c:v>
                </c:pt>
                <c:pt idx="411">
                  <c:v>155.76660000000001</c:v>
                </c:pt>
                <c:pt idx="412">
                  <c:v>146.71019999999999</c:v>
                </c:pt>
                <c:pt idx="413">
                  <c:v>137.2636</c:v>
                </c:pt>
                <c:pt idx="414">
                  <c:v>73.651600000000002</c:v>
                </c:pt>
                <c:pt idx="415">
                  <c:v>129.6566</c:v>
                </c:pt>
                <c:pt idx="416">
                  <c:v>61.764899999999997</c:v>
                </c:pt>
                <c:pt idx="417">
                  <c:v>1.3813</c:v>
                </c:pt>
                <c:pt idx="418">
                  <c:v>14.3125</c:v>
                </c:pt>
                <c:pt idx="419">
                  <c:v>88.570599999999999</c:v>
                </c:pt>
                <c:pt idx="420">
                  <c:v>127.7647</c:v>
                </c:pt>
                <c:pt idx="421">
                  <c:v>181.42760000000001</c:v>
                </c:pt>
                <c:pt idx="422">
                  <c:v>149.09520000000001</c:v>
                </c:pt>
                <c:pt idx="423">
                  <c:v>132.74090000000001</c:v>
                </c:pt>
                <c:pt idx="424">
                  <c:v>173.04480000000001</c:v>
                </c:pt>
                <c:pt idx="425">
                  <c:v>59.957599999999999</c:v>
                </c:pt>
                <c:pt idx="426">
                  <c:v>0.96289999999999998</c:v>
                </c:pt>
                <c:pt idx="427">
                  <c:v>-1.5747</c:v>
                </c:pt>
                <c:pt idx="428">
                  <c:v>115.53189999999999</c:v>
                </c:pt>
                <c:pt idx="429">
                  <c:v>3.7082999999999999</c:v>
                </c:pt>
                <c:pt idx="430">
                  <c:v>-30.786000000000001</c:v>
                </c:pt>
                <c:pt idx="431">
                  <c:v>108.2944</c:v>
                </c:pt>
                <c:pt idx="432">
                  <c:v>91.6982</c:v>
                </c:pt>
                <c:pt idx="433">
                  <c:v>146.9854</c:v>
                </c:pt>
                <c:pt idx="434">
                  <c:v>-2.0146000000000002</c:v>
                </c:pt>
                <c:pt idx="435">
                  <c:v>109.224</c:v>
                </c:pt>
                <c:pt idx="436">
                  <c:v>-1.0318000000000001</c:v>
                </c:pt>
                <c:pt idx="437">
                  <c:v>107.7295</c:v>
                </c:pt>
                <c:pt idx="438">
                  <c:v>122.5437</c:v>
                </c:pt>
                <c:pt idx="439">
                  <c:v>95.486999999999995</c:v>
                </c:pt>
                <c:pt idx="440">
                  <c:v>-3.8250000000000002</c:v>
                </c:pt>
                <c:pt idx="441">
                  <c:v>65.874700000000004</c:v>
                </c:pt>
                <c:pt idx="442">
                  <c:v>139.5642</c:v>
                </c:pt>
                <c:pt idx="443">
                  <c:v>78.046400000000006</c:v>
                </c:pt>
                <c:pt idx="444">
                  <c:v>16.3431</c:v>
                </c:pt>
                <c:pt idx="445">
                  <c:v>11.469200000000001</c:v>
                </c:pt>
                <c:pt idx="446">
                  <c:v>137.78729999999999</c:v>
                </c:pt>
                <c:pt idx="447">
                  <c:v>8.6795000000000009</c:v>
                </c:pt>
                <c:pt idx="448">
                  <c:v>114.4239</c:v>
                </c:pt>
                <c:pt idx="449">
                  <c:v>144.26499999999999</c:v>
                </c:pt>
                <c:pt idx="450">
                  <c:v>81.927099999999996</c:v>
                </c:pt>
                <c:pt idx="451">
                  <c:v>112.6237</c:v>
                </c:pt>
                <c:pt idx="452">
                  <c:v>88.316599999999994</c:v>
                </c:pt>
                <c:pt idx="453">
                  <c:v>167.6987</c:v>
                </c:pt>
                <c:pt idx="454">
                  <c:v>127.5639</c:v>
                </c:pt>
                <c:pt idx="455">
                  <c:v>96.411799999999999</c:v>
                </c:pt>
                <c:pt idx="456">
                  <c:v>162.6688</c:v>
                </c:pt>
                <c:pt idx="457">
                  <c:v>-7.8312999999999997</c:v>
                </c:pt>
                <c:pt idx="458">
                  <c:v>2.3098999999999998</c:v>
                </c:pt>
                <c:pt idx="459">
                  <c:v>-4.9398999999999997</c:v>
                </c:pt>
                <c:pt idx="460">
                  <c:v>-1.7786</c:v>
                </c:pt>
                <c:pt idx="461">
                  <c:v>48.169800000000002</c:v>
                </c:pt>
                <c:pt idx="462">
                  <c:v>39.902500000000003</c:v>
                </c:pt>
                <c:pt idx="463">
                  <c:v>100.88209999999999</c:v>
                </c:pt>
                <c:pt idx="464">
                  <c:v>-1.3989</c:v>
                </c:pt>
                <c:pt idx="465">
                  <c:v>-1.0650999999999999</c:v>
                </c:pt>
                <c:pt idx="466">
                  <c:v>2.0573000000000001</c:v>
                </c:pt>
                <c:pt idx="467">
                  <c:v>0.82950000000000002</c:v>
                </c:pt>
                <c:pt idx="468">
                  <c:v>42.409799999999997</c:v>
                </c:pt>
                <c:pt idx="469">
                  <c:v>142.03550000000001</c:v>
                </c:pt>
                <c:pt idx="470">
                  <c:v>88.799800000000005</c:v>
                </c:pt>
                <c:pt idx="471">
                  <c:v>111.3192</c:v>
                </c:pt>
                <c:pt idx="472">
                  <c:v>157.04230000000001</c:v>
                </c:pt>
                <c:pt idx="473">
                  <c:v>159.94059999999999</c:v>
                </c:pt>
                <c:pt idx="474">
                  <c:v>14.2918</c:v>
                </c:pt>
                <c:pt idx="475">
                  <c:v>63.904499999999999</c:v>
                </c:pt>
                <c:pt idx="476">
                  <c:v>47.285299999999999</c:v>
                </c:pt>
                <c:pt idx="477">
                  <c:v>54.076099999999997</c:v>
                </c:pt>
                <c:pt idx="478">
                  <c:v>103.0455</c:v>
                </c:pt>
                <c:pt idx="479">
                  <c:v>70.019800000000004</c:v>
                </c:pt>
                <c:pt idx="480">
                  <c:v>193.65379999999999</c:v>
                </c:pt>
                <c:pt idx="481">
                  <c:v>164.50470000000001</c:v>
                </c:pt>
                <c:pt idx="482">
                  <c:v>127.6084</c:v>
                </c:pt>
                <c:pt idx="483">
                  <c:v>18.760000000000002</c:v>
                </c:pt>
                <c:pt idx="484">
                  <c:v>80.687700000000007</c:v>
                </c:pt>
                <c:pt idx="485">
                  <c:v>-0.45169999999999999</c:v>
                </c:pt>
                <c:pt idx="486">
                  <c:v>16.626799999999999</c:v>
                </c:pt>
                <c:pt idx="487">
                  <c:v>17.613</c:v>
                </c:pt>
                <c:pt idx="488">
                  <c:v>-2.7557999999999998</c:v>
                </c:pt>
                <c:pt idx="489">
                  <c:v>-4.8920000000000003</c:v>
                </c:pt>
                <c:pt idx="490">
                  <c:v>132.16399999999999</c:v>
                </c:pt>
                <c:pt idx="491">
                  <c:v>15.7248</c:v>
                </c:pt>
                <c:pt idx="492">
                  <c:v>-2.8372999999999999</c:v>
                </c:pt>
                <c:pt idx="493">
                  <c:v>94.816800000000001</c:v>
                </c:pt>
                <c:pt idx="494">
                  <c:v>-8.2688000000000006</c:v>
                </c:pt>
                <c:pt idx="495">
                  <c:v>187.1858</c:v>
                </c:pt>
                <c:pt idx="496">
                  <c:v>22.739799999999999</c:v>
                </c:pt>
                <c:pt idx="497">
                  <c:v>173.9091</c:v>
                </c:pt>
                <c:pt idx="498">
                  <c:v>-15.252700000000001</c:v>
                </c:pt>
                <c:pt idx="499">
                  <c:v>57.340600000000002</c:v>
                </c:pt>
                <c:pt idx="500">
                  <c:v>120.90309999999999</c:v>
                </c:pt>
                <c:pt idx="501">
                  <c:v>120.2676</c:v>
                </c:pt>
                <c:pt idx="502">
                  <c:v>40.8444</c:v>
                </c:pt>
                <c:pt idx="503">
                  <c:v>88.425399999999996</c:v>
                </c:pt>
                <c:pt idx="504">
                  <c:v>128.744</c:v>
                </c:pt>
                <c:pt idx="505">
                  <c:v>63.773600000000002</c:v>
                </c:pt>
                <c:pt idx="506">
                  <c:v>27.2102</c:v>
                </c:pt>
                <c:pt idx="507">
                  <c:v>85.5642</c:v>
                </c:pt>
                <c:pt idx="508">
                  <c:v>282.61320000000001</c:v>
                </c:pt>
                <c:pt idx="509">
                  <c:v>129.13499999999999</c:v>
                </c:pt>
                <c:pt idx="510">
                  <c:v>106.5663</c:v>
                </c:pt>
                <c:pt idx="511">
                  <c:v>72.024100000000004</c:v>
                </c:pt>
                <c:pt idx="512">
                  <c:v>5.5824999999999996</c:v>
                </c:pt>
                <c:pt idx="513">
                  <c:v>90.302000000000007</c:v>
                </c:pt>
                <c:pt idx="514">
                  <c:v>114.18210000000001</c:v>
                </c:pt>
                <c:pt idx="515">
                  <c:v>18.433299999999999</c:v>
                </c:pt>
                <c:pt idx="516">
                  <c:v>134.61330000000001</c:v>
                </c:pt>
                <c:pt idx="517">
                  <c:v>80.726600000000005</c:v>
                </c:pt>
                <c:pt idx="518">
                  <c:v>220.49510000000001</c:v>
                </c:pt>
                <c:pt idx="519">
                  <c:v>11.882899999999999</c:v>
                </c:pt>
                <c:pt idx="520">
                  <c:v>101.2028</c:v>
                </c:pt>
                <c:pt idx="521">
                  <c:v>-20.960899999999999</c:v>
                </c:pt>
                <c:pt idx="522">
                  <c:v>127.75839999999999</c:v>
                </c:pt>
                <c:pt idx="523">
                  <c:v>117.9772</c:v>
                </c:pt>
                <c:pt idx="524">
                  <c:v>80.549300000000002</c:v>
                </c:pt>
                <c:pt idx="525">
                  <c:v>162.74969999999999</c:v>
                </c:pt>
                <c:pt idx="526">
                  <c:v>-5.2836999999999996</c:v>
                </c:pt>
                <c:pt idx="527">
                  <c:v>46.705300000000001</c:v>
                </c:pt>
                <c:pt idx="528">
                  <c:v>22.8705</c:v>
                </c:pt>
                <c:pt idx="529">
                  <c:v>88.375100000000003</c:v>
                </c:pt>
                <c:pt idx="530">
                  <c:v>1.7886</c:v>
                </c:pt>
                <c:pt idx="531">
                  <c:v>125.9923</c:v>
                </c:pt>
                <c:pt idx="532">
                  <c:v>66.322999999999993</c:v>
                </c:pt>
                <c:pt idx="533">
                  <c:v>125.4165</c:v>
                </c:pt>
                <c:pt idx="534">
                  <c:v>177.57550000000001</c:v>
                </c:pt>
                <c:pt idx="535">
                  <c:v>61.133600000000001</c:v>
                </c:pt>
                <c:pt idx="536">
                  <c:v>70.196399999999997</c:v>
                </c:pt>
                <c:pt idx="537">
                  <c:v>-5.8379000000000003</c:v>
                </c:pt>
                <c:pt idx="538">
                  <c:v>99.229299999999995</c:v>
                </c:pt>
                <c:pt idx="539">
                  <c:v>54.679900000000004</c:v>
                </c:pt>
                <c:pt idx="540">
                  <c:v>36.750900000000001</c:v>
                </c:pt>
                <c:pt idx="541">
                  <c:v>-7.4664000000000001</c:v>
                </c:pt>
                <c:pt idx="542">
                  <c:v>113.7972</c:v>
                </c:pt>
                <c:pt idx="543">
                  <c:v>180.7818</c:v>
                </c:pt>
                <c:pt idx="544">
                  <c:v>64.290899999999993</c:v>
                </c:pt>
                <c:pt idx="545">
                  <c:v>17.3597</c:v>
                </c:pt>
                <c:pt idx="546">
                  <c:v>-0.42959999999999998</c:v>
                </c:pt>
                <c:pt idx="547">
                  <c:v>168.30029999999999</c:v>
                </c:pt>
                <c:pt idx="548">
                  <c:v>-1.4259999999999999</c:v>
                </c:pt>
                <c:pt idx="549">
                  <c:v>4.1531000000000002</c:v>
                </c:pt>
                <c:pt idx="550">
                  <c:v>-2.3864999999999998</c:v>
                </c:pt>
                <c:pt idx="551">
                  <c:v>180.19470000000001</c:v>
                </c:pt>
                <c:pt idx="552">
                  <c:v>59.301400000000001</c:v>
                </c:pt>
                <c:pt idx="553">
                  <c:v>65.892799999999994</c:v>
                </c:pt>
                <c:pt idx="554">
                  <c:v>3.6252</c:v>
                </c:pt>
                <c:pt idx="555">
                  <c:v>50.106999999999999</c:v>
                </c:pt>
                <c:pt idx="556">
                  <c:v>29.0014</c:v>
                </c:pt>
                <c:pt idx="557">
                  <c:v>66.821700000000007</c:v>
                </c:pt>
                <c:pt idx="558">
                  <c:v>103.40260000000001</c:v>
                </c:pt>
                <c:pt idx="559">
                  <c:v>11.0732</c:v>
                </c:pt>
                <c:pt idx="560">
                  <c:v>112.6429</c:v>
                </c:pt>
                <c:pt idx="561">
                  <c:v>1.7926</c:v>
                </c:pt>
                <c:pt idx="562">
                  <c:v>133.42449999999999</c:v>
                </c:pt>
                <c:pt idx="563">
                  <c:v>135.7842</c:v>
                </c:pt>
                <c:pt idx="564">
                  <c:v>-6.5114000000000001</c:v>
                </c:pt>
                <c:pt idx="565">
                  <c:v>-4.0023999999999997</c:v>
                </c:pt>
                <c:pt idx="566">
                  <c:v>58.6145</c:v>
                </c:pt>
                <c:pt idx="567">
                  <c:v>126.83029999999999</c:v>
                </c:pt>
                <c:pt idx="568">
                  <c:v>32.537799999999997</c:v>
                </c:pt>
                <c:pt idx="569">
                  <c:v>-2.2469000000000001</c:v>
                </c:pt>
                <c:pt idx="570">
                  <c:v>6.3455000000000004</c:v>
                </c:pt>
                <c:pt idx="571">
                  <c:v>86.356200000000001</c:v>
                </c:pt>
                <c:pt idx="572">
                  <c:v>-0.2273</c:v>
                </c:pt>
                <c:pt idx="573">
                  <c:v>90.921599999999998</c:v>
                </c:pt>
                <c:pt idx="574">
                  <c:v>15.5845</c:v>
                </c:pt>
                <c:pt idx="575">
                  <c:v>36.561999999999998</c:v>
                </c:pt>
                <c:pt idx="576">
                  <c:v>-34.701099999999997</c:v>
                </c:pt>
                <c:pt idx="577">
                  <c:v>138.47319999999999</c:v>
                </c:pt>
                <c:pt idx="578">
                  <c:v>-0.91359999999999997</c:v>
                </c:pt>
                <c:pt idx="579">
                  <c:v>113.5652</c:v>
                </c:pt>
                <c:pt idx="580">
                  <c:v>138.9563</c:v>
                </c:pt>
                <c:pt idx="581">
                  <c:v>166.12119999999999</c:v>
                </c:pt>
                <c:pt idx="582">
                  <c:v>114.021</c:v>
                </c:pt>
                <c:pt idx="583">
                  <c:v>148.55240000000001</c:v>
                </c:pt>
                <c:pt idx="584">
                  <c:v>36.641800000000003</c:v>
                </c:pt>
                <c:pt idx="585">
                  <c:v>25.2225</c:v>
                </c:pt>
                <c:pt idx="586">
                  <c:v>70.583600000000004</c:v>
                </c:pt>
                <c:pt idx="587">
                  <c:v>154.9736</c:v>
                </c:pt>
                <c:pt idx="588">
                  <c:v>34.943899999999999</c:v>
                </c:pt>
                <c:pt idx="589">
                  <c:v>53.836100000000002</c:v>
                </c:pt>
                <c:pt idx="590">
                  <c:v>81.189700000000002</c:v>
                </c:pt>
                <c:pt idx="591">
                  <c:v>118.26</c:v>
                </c:pt>
                <c:pt idx="592">
                  <c:v>137.48609999999999</c:v>
                </c:pt>
                <c:pt idx="593">
                  <c:v>18.495799999999999</c:v>
                </c:pt>
                <c:pt idx="594">
                  <c:v>42.410499999999999</c:v>
                </c:pt>
                <c:pt idx="595">
                  <c:v>100.6024</c:v>
                </c:pt>
                <c:pt idx="596">
                  <c:v>9.6928000000000001</c:v>
                </c:pt>
                <c:pt idx="597">
                  <c:v>-7.6087999999999996</c:v>
                </c:pt>
                <c:pt idx="598">
                  <c:v>22.471299999999999</c:v>
                </c:pt>
                <c:pt idx="599">
                  <c:v>3.9601999999999999</c:v>
                </c:pt>
                <c:pt idx="600">
                  <c:v>121.7569</c:v>
                </c:pt>
                <c:pt idx="601">
                  <c:v>70.784099999999995</c:v>
                </c:pt>
                <c:pt idx="602">
                  <c:v>150.99610000000001</c:v>
                </c:pt>
                <c:pt idx="603">
                  <c:v>138.4314</c:v>
                </c:pt>
                <c:pt idx="604">
                  <c:v>95.235799999999998</c:v>
                </c:pt>
                <c:pt idx="605">
                  <c:v>3.1183999999999998</c:v>
                </c:pt>
                <c:pt idx="606">
                  <c:v>126.96380000000001</c:v>
                </c:pt>
                <c:pt idx="607">
                  <c:v>-2.5731999999999999</c:v>
                </c:pt>
                <c:pt idx="608">
                  <c:v>74.663899999999998</c:v>
                </c:pt>
                <c:pt idx="609">
                  <c:v>23.120100000000001</c:v>
                </c:pt>
                <c:pt idx="610">
                  <c:v>-1.1851</c:v>
                </c:pt>
                <c:pt idx="611">
                  <c:v>140.71809999999999</c:v>
                </c:pt>
                <c:pt idx="612">
                  <c:v>7.1848000000000001</c:v>
                </c:pt>
                <c:pt idx="613">
                  <c:v>0.78029999999999999</c:v>
                </c:pt>
                <c:pt idx="614">
                  <c:v>133.40790000000001</c:v>
                </c:pt>
                <c:pt idx="615">
                  <c:v>34.436</c:v>
                </c:pt>
                <c:pt idx="616">
                  <c:v>5.3845000000000001</c:v>
                </c:pt>
                <c:pt idx="617">
                  <c:v>113.5311</c:v>
                </c:pt>
                <c:pt idx="618">
                  <c:v>117.6474</c:v>
                </c:pt>
                <c:pt idx="619">
                  <c:v>123.3338</c:v>
                </c:pt>
                <c:pt idx="620">
                  <c:v>8.7499999999999994E-2</c:v>
                </c:pt>
                <c:pt idx="621">
                  <c:v>72.469099999999997</c:v>
                </c:pt>
                <c:pt idx="622">
                  <c:v>18.349399999999999</c:v>
                </c:pt>
                <c:pt idx="623">
                  <c:v>59.913400000000003</c:v>
                </c:pt>
                <c:pt idx="624">
                  <c:v>-2.5608</c:v>
                </c:pt>
                <c:pt idx="625">
                  <c:v>167.01</c:v>
                </c:pt>
                <c:pt idx="626">
                  <c:v>6.1782000000000004</c:v>
                </c:pt>
                <c:pt idx="627">
                  <c:v>12.273899999999999</c:v>
                </c:pt>
                <c:pt idx="628">
                  <c:v>24.128399999999999</c:v>
                </c:pt>
                <c:pt idx="629">
                  <c:v>141.10769999999999</c:v>
                </c:pt>
                <c:pt idx="630">
                  <c:v>16.276900000000001</c:v>
                </c:pt>
                <c:pt idx="631">
                  <c:v>239.71350000000001</c:v>
                </c:pt>
                <c:pt idx="632">
                  <c:v>2.6387999999999998</c:v>
                </c:pt>
                <c:pt idx="633">
                  <c:v>-1.0739000000000001</c:v>
                </c:pt>
                <c:pt idx="634">
                  <c:v>127.19970000000001</c:v>
                </c:pt>
                <c:pt idx="635">
                  <c:v>0.20960000000000001</c:v>
                </c:pt>
                <c:pt idx="636">
                  <c:v>20.317799999999998</c:v>
                </c:pt>
                <c:pt idx="637">
                  <c:v>5.9909999999999997</c:v>
                </c:pt>
                <c:pt idx="638">
                  <c:v>194.93780000000001</c:v>
                </c:pt>
                <c:pt idx="639">
                  <c:v>78.373500000000007</c:v>
                </c:pt>
                <c:pt idx="640">
                  <c:v>1.5442</c:v>
                </c:pt>
                <c:pt idx="641">
                  <c:v>52.951900000000002</c:v>
                </c:pt>
                <c:pt idx="642">
                  <c:v>152.06700000000001</c:v>
                </c:pt>
                <c:pt idx="643">
                  <c:v>115.0141</c:v>
                </c:pt>
                <c:pt idx="644">
                  <c:v>74.572299999999998</c:v>
                </c:pt>
                <c:pt idx="645">
                  <c:v>192.64660000000001</c:v>
                </c:pt>
                <c:pt idx="646">
                  <c:v>-5.8101000000000003</c:v>
                </c:pt>
                <c:pt idx="647">
                  <c:v>155.27850000000001</c:v>
                </c:pt>
                <c:pt idx="648">
                  <c:v>12.1717</c:v>
                </c:pt>
                <c:pt idx="649">
                  <c:v>102.6066</c:v>
                </c:pt>
                <c:pt idx="650">
                  <c:v>99.844499999999996</c:v>
                </c:pt>
                <c:pt idx="651">
                  <c:v>178.68709999999999</c:v>
                </c:pt>
                <c:pt idx="652">
                  <c:v>106.27719999999999</c:v>
                </c:pt>
                <c:pt idx="653">
                  <c:v>150.04519999999999</c:v>
                </c:pt>
                <c:pt idx="654">
                  <c:v>90.696700000000007</c:v>
                </c:pt>
                <c:pt idx="655">
                  <c:v>-1.5847</c:v>
                </c:pt>
                <c:pt idx="656">
                  <c:v>-15.727499999999999</c:v>
                </c:pt>
                <c:pt idx="657">
                  <c:v>99.046800000000005</c:v>
                </c:pt>
                <c:pt idx="658">
                  <c:v>73.752399999999994</c:v>
                </c:pt>
                <c:pt idx="659">
                  <c:v>146.62530000000001</c:v>
                </c:pt>
                <c:pt idx="660">
                  <c:v>-11.118499999999999</c:v>
                </c:pt>
                <c:pt idx="661">
                  <c:v>-13.5951</c:v>
                </c:pt>
                <c:pt idx="662">
                  <c:v>159.9289</c:v>
                </c:pt>
                <c:pt idx="663">
                  <c:v>-9.6105</c:v>
                </c:pt>
                <c:pt idx="664">
                  <c:v>-3.3563000000000001</c:v>
                </c:pt>
                <c:pt idx="665">
                  <c:v>21.065799999999999</c:v>
                </c:pt>
                <c:pt idx="666">
                  <c:v>67.584900000000005</c:v>
                </c:pt>
                <c:pt idx="667">
                  <c:v>-6.8599999999999994E-2</c:v>
                </c:pt>
                <c:pt idx="668">
                  <c:v>176.2433</c:v>
                </c:pt>
                <c:pt idx="669">
                  <c:v>8.1647999999999996</c:v>
                </c:pt>
                <c:pt idx="670">
                  <c:v>159.33160000000001</c:v>
                </c:pt>
                <c:pt idx="671">
                  <c:v>135.4778</c:v>
                </c:pt>
                <c:pt idx="672">
                  <c:v>-9.3857999999999997</c:v>
                </c:pt>
                <c:pt idx="673">
                  <c:v>147.51560000000001</c:v>
                </c:pt>
                <c:pt idx="674">
                  <c:v>20.253299999999999</c:v>
                </c:pt>
                <c:pt idx="675">
                  <c:v>108.7576</c:v>
                </c:pt>
                <c:pt idx="676">
                  <c:v>30.438400000000001</c:v>
                </c:pt>
                <c:pt idx="677">
                  <c:v>135.63120000000001</c:v>
                </c:pt>
                <c:pt idx="678">
                  <c:v>138.42310000000001</c:v>
                </c:pt>
                <c:pt idx="679">
                  <c:v>-0.65769999999999995</c:v>
                </c:pt>
                <c:pt idx="680">
                  <c:v>66.950199999999995</c:v>
                </c:pt>
                <c:pt idx="681">
                  <c:v>-8.1050000000000004</c:v>
                </c:pt>
                <c:pt idx="682">
                  <c:v>160.8313</c:v>
                </c:pt>
                <c:pt idx="683">
                  <c:v>1.0767</c:v>
                </c:pt>
                <c:pt idx="684">
                  <c:v>12.2736</c:v>
                </c:pt>
                <c:pt idx="685">
                  <c:v>153.0703</c:v>
                </c:pt>
                <c:pt idx="686">
                  <c:v>5.6414</c:v>
                </c:pt>
                <c:pt idx="687">
                  <c:v>139.77930000000001</c:v>
                </c:pt>
                <c:pt idx="688">
                  <c:v>69.421800000000005</c:v>
                </c:pt>
                <c:pt idx="689">
                  <c:v>117.8997</c:v>
                </c:pt>
                <c:pt idx="690">
                  <c:v>0.81710000000000005</c:v>
                </c:pt>
                <c:pt idx="691">
                  <c:v>57.450099999999999</c:v>
                </c:pt>
                <c:pt idx="692">
                  <c:v>25.8139</c:v>
                </c:pt>
                <c:pt idx="693">
                  <c:v>170.00899999999999</c:v>
                </c:pt>
                <c:pt idx="694">
                  <c:v>-11.758599999999999</c:v>
                </c:pt>
                <c:pt idx="695">
                  <c:v>95.271799999999999</c:v>
                </c:pt>
                <c:pt idx="696">
                  <c:v>12.340999999999999</c:v>
                </c:pt>
                <c:pt idx="697">
                  <c:v>143.08699999999999</c:v>
                </c:pt>
                <c:pt idx="698">
                  <c:v>42.938699999999997</c:v>
                </c:pt>
                <c:pt idx="699">
                  <c:v>-1.7575000000000001</c:v>
                </c:pt>
                <c:pt idx="700">
                  <c:v>9.8004999999999995</c:v>
                </c:pt>
                <c:pt idx="701">
                  <c:v>55.506700000000002</c:v>
                </c:pt>
                <c:pt idx="702">
                  <c:v>6.6715</c:v>
                </c:pt>
                <c:pt idx="703">
                  <c:v>49.659300000000002</c:v>
                </c:pt>
                <c:pt idx="704">
                  <c:v>8.1231000000000009</c:v>
                </c:pt>
                <c:pt idx="705">
                  <c:v>115.29040000000001</c:v>
                </c:pt>
                <c:pt idx="706">
                  <c:v>81.268799999999999</c:v>
                </c:pt>
                <c:pt idx="707">
                  <c:v>9.0625999999999998</c:v>
                </c:pt>
                <c:pt idx="708">
                  <c:v>3.5531000000000001</c:v>
                </c:pt>
                <c:pt idx="709">
                  <c:v>-0.73499999999999999</c:v>
                </c:pt>
                <c:pt idx="710">
                  <c:v>18.540500000000002</c:v>
                </c:pt>
                <c:pt idx="711">
                  <c:v>94.533199999999994</c:v>
                </c:pt>
                <c:pt idx="712">
                  <c:v>116.7597</c:v>
                </c:pt>
                <c:pt idx="713">
                  <c:v>146.95429999999999</c:v>
                </c:pt>
                <c:pt idx="714">
                  <c:v>69.241299999999995</c:v>
                </c:pt>
                <c:pt idx="715">
                  <c:v>4.0469999999999997</c:v>
                </c:pt>
                <c:pt idx="716">
                  <c:v>68.797399999999996</c:v>
                </c:pt>
                <c:pt idx="717">
                  <c:v>4.0993000000000004</c:v>
                </c:pt>
                <c:pt idx="718">
                  <c:v>-0.42499999999999999</c:v>
                </c:pt>
                <c:pt idx="719">
                  <c:v>31.0032</c:v>
                </c:pt>
                <c:pt idx="720">
                  <c:v>90.260900000000007</c:v>
                </c:pt>
                <c:pt idx="721">
                  <c:v>47.893500000000003</c:v>
                </c:pt>
                <c:pt idx="722">
                  <c:v>100.4879</c:v>
                </c:pt>
                <c:pt idx="723">
                  <c:v>27.8568</c:v>
                </c:pt>
                <c:pt idx="724">
                  <c:v>-5.1002999999999998</c:v>
                </c:pt>
                <c:pt idx="725">
                  <c:v>11.4754</c:v>
                </c:pt>
                <c:pt idx="726">
                  <c:v>59.406999999999996</c:v>
                </c:pt>
                <c:pt idx="727">
                  <c:v>149.97239999999999</c:v>
                </c:pt>
                <c:pt idx="728">
                  <c:v>131.30760000000001</c:v>
                </c:pt>
                <c:pt idx="729">
                  <c:v>118.1987</c:v>
                </c:pt>
                <c:pt idx="730">
                  <c:v>0.5736</c:v>
                </c:pt>
                <c:pt idx="731">
                  <c:v>1.1689000000000001</c:v>
                </c:pt>
                <c:pt idx="732">
                  <c:v>-5.8773999999999997</c:v>
                </c:pt>
                <c:pt idx="733">
                  <c:v>4.5959000000000003</c:v>
                </c:pt>
                <c:pt idx="734">
                  <c:v>135.6046</c:v>
                </c:pt>
                <c:pt idx="735">
                  <c:v>135.5462</c:v>
                </c:pt>
                <c:pt idx="736">
                  <c:v>176.12450000000001</c:v>
                </c:pt>
                <c:pt idx="737">
                  <c:v>92.094499999999996</c:v>
                </c:pt>
                <c:pt idx="738">
                  <c:v>-5.1414</c:v>
                </c:pt>
                <c:pt idx="739">
                  <c:v>7.5389999999999997</c:v>
                </c:pt>
                <c:pt idx="740">
                  <c:v>112.2201</c:v>
                </c:pt>
                <c:pt idx="741">
                  <c:v>-3.5863999999999998</c:v>
                </c:pt>
                <c:pt idx="742">
                  <c:v>-9.1325000000000003</c:v>
                </c:pt>
                <c:pt idx="743">
                  <c:v>137.47800000000001</c:v>
                </c:pt>
                <c:pt idx="744">
                  <c:v>-2.0998000000000001</c:v>
                </c:pt>
                <c:pt idx="745">
                  <c:v>140.6694</c:v>
                </c:pt>
                <c:pt idx="746">
                  <c:v>156.84100000000001</c:v>
                </c:pt>
                <c:pt idx="747">
                  <c:v>10.939399999999999</c:v>
                </c:pt>
                <c:pt idx="748">
                  <c:v>22.808599999999998</c:v>
                </c:pt>
                <c:pt idx="749">
                  <c:v>113.42610000000001</c:v>
                </c:pt>
                <c:pt idx="750">
                  <c:v>110.1953</c:v>
                </c:pt>
                <c:pt idx="751">
                  <c:v>92.917400000000001</c:v>
                </c:pt>
                <c:pt idx="752">
                  <c:v>168.74449999999999</c:v>
                </c:pt>
                <c:pt idx="753">
                  <c:v>-2.9651000000000001</c:v>
                </c:pt>
                <c:pt idx="754">
                  <c:v>0.48870000000000002</c:v>
                </c:pt>
                <c:pt idx="755">
                  <c:v>84.301400000000001</c:v>
                </c:pt>
                <c:pt idx="756">
                  <c:v>189.06440000000001</c:v>
                </c:pt>
                <c:pt idx="757">
                  <c:v>15.3903</c:v>
                </c:pt>
                <c:pt idx="758">
                  <c:v>150.3313</c:v>
                </c:pt>
                <c:pt idx="759">
                  <c:v>91.4345</c:v>
                </c:pt>
                <c:pt idx="760">
                  <c:v>158.26599999999999</c:v>
                </c:pt>
                <c:pt idx="761">
                  <c:v>115.47410000000001</c:v>
                </c:pt>
                <c:pt idx="762">
                  <c:v>142.44159999999999</c:v>
                </c:pt>
                <c:pt idx="763">
                  <c:v>22.1083</c:v>
                </c:pt>
                <c:pt idx="764">
                  <c:v>8.1783999999999999</c:v>
                </c:pt>
                <c:pt idx="765">
                  <c:v>152.74809999999999</c:v>
                </c:pt>
                <c:pt idx="766">
                  <c:v>124.9157</c:v>
                </c:pt>
                <c:pt idx="767">
                  <c:v>139.50550000000001</c:v>
                </c:pt>
                <c:pt idx="768">
                  <c:v>147.4134</c:v>
                </c:pt>
                <c:pt idx="769">
                  <c:v>6.8090999999999999</c:v>
                </c:pt>
                <c:pt idx="770">
                  <c:v>150.75460000000001</c:v>
                </c:pt>
                <c:pt idx="771">
                  <c:v>-14.6189</c:v>
                </c:pt>
                <c:pt idx="772">
                  <c:v>215.89400000000001</c:v>
                </c:pt>
                <c:pt idx="773">
                  <c:v>14.490500000000001</c:v>
                </c:pt>
                <c:pt idx="774">
                  <c:v>17.016999999999999</c:v>
                </c:pt>
                <c:pt idx="775">
                  <c:v>12.005100000000001</c:v>
                </c:pt>
                <c:pt idx="776">
                  <c:v>62.2988</c:v>
                </c:pt>
                <c:pt idx="777">
                  <c:v>6.1379999999999999</c:v>
                </c:pt>
                <c:pt idx="778">
                  <c:v>62.937899999999999</c:v>
                </c:pt>
                <c:pt idx="779">
                  <c:v>22.805299999999999</c:v>
                </c:pt>
                <c:pt idx="780">
                  <c:v>101.09439999999999</c:v>
                </c:pt>
                <c:pt idx="781">
                  <c:v>167.49260000000001</c:v>
                </c:pt>
                <c:pt idx="782">
                  <c:v>117.7825</c:v>
                </c:pt>
                <c:pt idx="783">
                  <c:v>-3.4630000000000001</c:v>
                </c:pt>
                <c:pt idx="784">
                  <c:v>109.04900000000001</c:v>
                </c:pt>
                <c:pt idx="785">
                  <c:v>-2.7195</c:v>
                </c:pt>
                <c:pt idx="786">
                  <c:v>143.2201</c:v>
                </c:pt>
                <c:pt idx="787">
                  <c:v>17.405899999999999</c:v>
                </c:pt>
                <c:pt idx="788">
                  <c:v>143.52119999999999</c:v>
                </c:pt>
                <c:pt idx="789">
                  <c:v>160.88130000000001</c:v>
                </c:pt>
                <c:pt idx="790">
                  <c:v>-9.3100000000000002E-2</c:v>
                </c:pt>
                <c:pt idx="791">
                  <c:v>1.3066</c:v>
                </c:pt>
                <c:pt idx="792">
                  <c:v>44.399799999999999</c:v>
                </c:pt>
                <c:pt idx="793">
                  <c:v>53.438200000000002</c:v>
                </c:pt>
                <c:pt idx="794">
                  <c:v>19.051600000000001</c:v>
                </c:pt>
                <c:pt idx="795">
                  <c:v>108.0673</c:v>
                </c:pt>
                <c:pt idx="796">
                  <c:v>13.832700000000001</c:v>
                </c:pt>
                <c:pt idx="797">
                  <c:v>47.874600000000001</c:v>
                </c:pt>
                <c:pt idx="798">
                  <c:v>-1.6952</c:v>
                </c:pt>
                <c:pt idx="799">
                  <c:v>12.1456</c:v>
                </c:pt>
                <c:pt idx="800">
                  <c:v>136.92930000000001</c:v>
                </c:pt>
                <c:pt idx="801">
                  <c:v>12.651400000000001</c:v>
                </c:pt>
                <c:pt idx="802">
                  <c:v>6.5481999999999996</c:v>
                </c:pt>
                <c:pt idx="803">
                  <c:v>139.71960000000001</c:v>
                </c:pt>
                <c:pt idx="804">
                  <c:v>-4.0831999999999997</c:v>
                </c:pt>
                <c:pt idx="805">
                  <c:v>134.1036</c:v>
                </c:pt>
                <c:pt idx="806">
                  <c:v>35.279499999999999</c:v>
                </c:pt>
                <c:pt idx="807">
                  <c:v>6.8926999999999996</c:v>
                </c:pt>
                <c:pt idx="808">
                  <c:v>101.6375</c:v>
                </c:pt>
                <c:pt idx="809">
                  <c:v>35.938600000000001</c:v>
                </c:pt>
                <c:pt idx="810">
                  <c:v>-6.5731999999999999</c:v>
                </c:pt>
                <c:pt idx="811">
                  <c:v>152.53309999999999</c:v>
                </c:pt>
                <c:pt idx="812">
                  <c:v>158.41130000000001</c:v>
                </c:pt>
                <c:pt idx="813">
                  <c:v>9.7022999999999993</c:v>
                </c:pt>
                <c:pt idx="814">
                  <c:v>-1.5578000000000001</c:v>
                </c:pt>
                <c:pt idx="815">
                  <c:v>143.55019999999999</c:v>
                </c:pt>
                <c:pt idx="816">
                  <c:v>141.36429999999999</c:v>
                </c:pt>
                <c:pt idx="817">
                  <c:v>126.2804</c:v>
                </c:pt>
                <c:pt idx="818">
                  <c:v>64.603800000000007</c:v>
                </c:pt>
                <c:pt idx="819">
                  <c:v>9.2521000000000004</c:v>
                </c:pt>
                <c:pt idx="820">
                  <c:v>-2.0731999999999999</c:v>
                </c:pt>
                <c:pt idx="821">
                  <c:v>139.82210000000001</c:v>
                </c:pt>
                <c:pt idx="822">
                  <c:v>170.5676</c:v>
                </c:pt>
                <c:pt idx="823">
                  <c:v>123.3801</c:v>
                </c:pt>
                <c:pt idx="824">
                  <c:v>-0.93769999999999998</c:v>
                </c:pt>
                <c:pt idx="825">
                  <c:v>-13.479900000000001</c:v>
                </c:pt>
                <c:pt idx="826">
                  <c:v>132.03299999999999</c:v>
                </c:pt>
                <c:pt idx="827">
                  <c:v>76.170900000000003</c:v>
                </c:pt>
                <c:pt idx="828">
                  <c:v>180.4239</c:v>
                </c:pt>
                <c:pt idx="829">
                  <c:v>138.60509999999999</c:v>
                </c:pt>
                <c:pt idx="830">
                  <c:v>23.309000000000001</c:v>
                </c:pt>
                <c:pt idx="831">
                  <c:v>25.170200000000001</c:v>
                </c:pt>
                <c:pt idx="832">
                  <c:v>-4.3845999999999998</c:v>
                </c:pt>
                <c:pt idx="833">
                  <c:v>119.08669999999999</c:v>
                </c:pt>
                <c:pt idx="834">
                  <c:v>3.0211000000000001</c:v>
                </c:pt>
                <c:pt idx="835">
                  <c:v>3.7031000000000001</c:v>
                </c:pt>
                <c:pt idx="836">
                  <c:v>133.02330000000001</c:v>
                </c:pt>
                <c:pt idx="837">
                  <c:v>132.11250000000001</c:v>
                </c:pt>
                <c:pt idx="838">
                  <c:v>-11.331300000000001</c:v>
                </c:pt>
                <c:pt idx="839">
                  <c:v>0.71330000000000005</c:v>
                </c:pt>
                <c:pt idx="840">
                  <c:v>147.8271</c:v>
                </c:pt>
                <c:pt idx="841">
                  <c:v>7.3190999999999997</c:v>
                </c:pt>
                <c:pt idx="842">
                  <c:v>32.363399999999999</c:v>
                </c:pt>
                <c:pt idx="843">
                  <c:v>166.29310000000001</c:v>
                </c:pt>
                <c:pt idx="844">
                  <c:v>-13.808</c:v>
                </c:pt>
                <c:pt idx="845">
                  <c:v>144.07980000000001</c:v>
                </c:pt>
                <c:pt idx="846">
                  <c:v>140.14250000000001</c:v>
                </c:pt>
                <c:pt idx="847">
                  <c:v>75.909400000000005</c:v>
                </c:pt>
                <c:pt idx="848">
                  <c:v>133.77420000000001</c:v>
                </c:pt>
                <c:pt idx="849">
                  <c:v>129.90639999999999</c:v>
                </c:pt>
                <c:pt idx="850">
                  <c:v>113.1972</c:v>
                </c:pt>
                <c:pt idx="851">
                  <c:v>48.722799999999999</c:v>
                </c:pt>
                <c:pt idx="852">
                  <c:v>88.316900000000004</c:v>
                </c:pt>
                <c:pt idx="853">
                  <c:v>-2.9</c:v>
                </c:pt>
                <c:pt idx="854">
                  <c:v>196.24590000000001</c:v>
                </c:pt>
                <c:pt idx="855">
                  <c:v>4.0991</c:v>
                </c:pt>
                <c:pt idx="856">
                  <c:v>3.1421999999999999</c:v>
                </c:pt>
                <c:pt idx="857">
                  <c:v>22.905799999999999</c:v>
                </c:pt>
                <c:pt idx="858">
                  <c:v>-27.884799999999998</c:v>
                </c:pt>
                <c:pt idx="859">
                  <c:v>118.5748</c:v>
                </c:pt>
                <c:pt idx="860">
                  <c:v>124.1056</c:v>
                </c:pt>
                <c:pt idx="861">
                  <c:v>1.7235</c:v>
                </c:pt>
                <c:pt idx="862">
                  <c:v>-1.2242999999999999</c:v>
                </c:pt>
                <c:pt idx="863">
                  <c:v>18.890599999999999</c:v>
                </c:pt>
                <c:pt idx="864">
                  <c:v>86.1447</c:v>
                </c:pt>
                <c:pt idx="865">
                  <c:v>80.382300000000001</c:v>
                </c:pt>
                <c:pt idx="866">
                  <c:v>128.86269999999999</c:v>
                </c:pt>
                <c:pt idx="867">
                  <c:v>45.335099999999997</c:v>
                </c:pt>
                <c:pt idx="868">
                  <c:v>-23.570399999999999</c:v>
                </c:pt>
                <c:pt idx="869">
                  <c:v>46.5242</c:v>
                </c:pt>
                <c:pt idx="870">
                  <c:v>-5.6768000000000001</c:v>
                </c:pt>
                <c:pt idx="871">
                  <c:v>-0.51990000000000003</c:v>
                </c:pt>
                <c:pt idx="872">
                  <c:v>-3.4437000000000002</c:v>
                </c:pt>
                <c:pt idx="873">
                  <c:v>50.045699999999997</c:v>
                </c:pt>
                <c:pt idx="874">
                  <c:v>-6.3354999999999997</c:v>
                </c:pt>
                <c:pt idx="875">
                  <c:v>121.96980000000001</c:v>
                </c:pt>
                <c:pt idx="876">
                  <c:v>146.905</c:v>
                </c:pt>
                <c:pt idx="877">
                  <c:v>50.624099999999999</c:v>
                </c:pt>
                <c:pt idx="878">
                  <c:v>116.4037</c:v>
                </c:pt>
                <c:pt idx="879">
                  <c:v>60.482399999999998</c:v>
                </c:pt>
                <c:pt idx="880">
                  <c:v>93.261300000000006</c:v>
                </c:pt>
                <c:pt idx="881">
                  <c:v>-0.4743</c:v>
                </c:pt>
                <c:pt idx="882">
                  <c:v>2.0464000000000002</c:v>
                </c:pt>
                <c:pt idx="883">
                  <c:v>25.011500000000002</c:v>
                </c:pt>
                <c:pt idx="884">
                  <c:v>-4.8247999999999998</c:v>
                </c:pt>
                <c:pt idx="885">
                  <c:v>45.568600000000004</c:v>
                </c:pt>
                <c:pt idx="886">
                  <c:v>-17.152200000000001</c:v>
                </c:pt>
                <c:pt idx="887">
                  <c:v>194.78290000000001</c:v>
                </c:pt>
                <c:pt idx="888">
                  <c:v>106.07980000000001</c:v>
                </c:pt>
                <c:pt idx="889">
                  <c:v>-4.0412999999999997</c:v>
                </c:pt>
                <c:pt idx="890">
                  <c:v>-1.5229999999999999</c:v>
                </c:pt>
                <c:pt idx="891">
                  <c:v>122.0885</c:v>
                </c:pt>
                <c:pt idx="892">
                  <c:v>77.736199999999997</c:v>
                </c:pt>
                <c:pt idx="893">
                  <c:v>0.39129999999999998</c:v>
                </c:pt>
                <c:pt idx="894">
                  <c:v>94.418700000000001</c:v>
                </c:pt>
                <c:pt idx="895">
                  <c:v>118.17059999999999</c:v>
                </c:pt>
                <c:pt idx="896">
                  <c:v>149.61859999999999</c:v>
                </c:pt>
                <c:pt idx="897">
                  <c:v>1.2992999999999999</c:v>
                </c:pt>
                <c:pt idx="898">
                  <c:v>126.6116</c:v>
                </c:pt>
                <c:pt idx="899">
                  <c:v>19.224699999999999</c:v>
                </c:pt>
                <c:pt idx="900">
                  <c:v>4.4249999999999998</c:v>
                </c:pt>
                <c:pt idx="901">
                  <c:v>69.574700000000007</c:v>
                </c:pt>
                <c:pt idx="902">
                  <c:v>50.159700000000001</c:v>
                </c:pt>
                <c:pt idx="903">
                  <c:v>4.7144000000000004</c:v>
                </c:pt>
                <c:pt idx="904">
                  <c:v>6.0457000000000001</c:v>
                </c:pt>
                <c:pt idx="905">
                  <c:v>-9.7475000000000005</c:v>
                </c:pt>
                <c:pt idx="906">
                  <c:v>4.2782999999999998</c:v>
                </c:pt>
                <c:pt idx="907">
                  <c:v>59.519399999999997</c:v>
                </c:pt>
                <c:pt idx="908">
                  <c:v>0.67749999999999999</c:v>
                </c:pt>
                <c:pt idx="909">
                  <c:v>101.88930000000001</c:v>
                </c:pt>
                <c:pt idx="910">
                  <c:v>11.1058</c:v>
                </c:pt>
                <c:pt idx="911">
                  <c:v>45.438400000000001</c:v>
                </c:pt>
                <c:pt idx="912">
                  <c:v>23.625499999999999</c:v>
                </c:pt>
                <c:pt idx="913">
                  <c:v>121.4555</c:v>
                </c:pt>
                <c:pt idx="914">
                  <c:v>54.782699999999998</c:v>
                </c:pt>
                <c:pt idx="915">
                  <c:v>8.9197000000000006</c:v>
                </c:pt>
                <c:pt idx="916">
                  <c:v>-6.6246999999999998</c:v>
                </c:pt>
                <c:pt idx="917">
                  <c:v>137.5214</c:v>
                </c:pt>
                <c:pt idx="918">
                  <c:v>-16.0899</c:v>
                </c:pt>
                <c:pt idx="919">
                  <c:v>-0.93279999999999996</c:v>
                </c:pt>
                <c:pt idx="920">
                  <c:v>10.4877</c:v>
                </c:pt>
                <c:pt idx="921">
                  <c:v>24.119499999999999</c:v>
                </c:pt>
                <c:pt idx="922">
                  <c:v>140.11600000000001</c:v>
                </c:pt>
                <c:pt idx="923">
                  <c:v>10.117100000000001</c:v>
                </c:pt>
                <c:pt idx="924">
                  <c:v>-15.0817</c:v>
                </c:pt>
                <c:pt idx="925">
                  <c:v>-6.6978</c:v>
                </c:pt>
                <c:pt idx="926">
                  <c:v>100.6574</c:v>
                </c:pt>
                <c:pt idx="927">
                  <c:v>120.4265</c:v>
                </c:pt>
                <c:pt idx="928">
                  <c:v>80.101699999999994</c:v>
                </c:pt>
                <c:pt idx="929">
                  <c:v>163.52709999999999</c:v>
                </c:pt>
                <c:pt idx="930">
                  <c:v>149.92250000000001</c:v>
                </c:pt>
                <c:pt idx="931">
                  <c:v>-17.7498</c:v>
                </c:pt>
                <c:pt idx="932">
                  <c:v>-0.30990000000000001</c:v>
                </c:pt>
                <c:pt idx="933">
                  <c:v>-0.82050000000000001</c:v>
                </c:pt>
                <c:pt idx="934">
                  <c:v>105.5325</c:v>
                </c:pt>
                <c:pt idx="935">
                  <c:v>157.5548</c:v>
                </c:pt>
                <c:pt idx="936">
                  <c:v>53.536700000000003</c:v>
                </c:pt>
                <c:pt idx="937">
                  <c:v>-15.1106</c:v>
                </c:pt>
                <c:pt idx="938">
                  <c:v>6.4828000000000001</c:v>
                </c:pt>
                <c:pt idx="939">
                  <c:v>-3.7856999999999998</c:v>
                </c:pt>
                <c:pt idx="940">
                  <c:v>10.017899999999999</c:v>
                </c:pt>
                <c:pt idx="941">
                  <c:v>161.03299999999999</c:v>
                </c:pt>
                <c:pt idx="942">
                  <c:v>-2.2589999999999999</c:v>
                </c:pt>
                <c:pt idx="943">
                  <c:v>20.5275</c:v>
                </c:pt>
                <c:pt idx="944">
                  <c:v>1.4258999999999999</c:v>
                </c:pt>
                <c:pt idx="945">
                  <c:v>39.136299999999999</c:v>
                </c:pt>
                <c:pt idx="946">
                  <c:v>97.913799999999995</c:v>
                </c:pt>
                <c:pt idx="947">
                  <c:v>23.9252</c:v>
                </c:pt>
                <c:pt idx="948">
                  <c:v>76.665800000000004</c:v>
                </c:pt>
                <c:pt idx="949">
                  <c:v>91.347399999999993</c:v>
                </c:pt>
                <c:pt idx="950">
                  <c:v>11.0816</c:v>
                </c:pt>
                <c:pt idx="951">
                  <c:v>7.6810999999999998</c:v>
                </c:pt>
                <c:pt idx="952">
                  <c:v>-16.817699999999999</c:v>
                </c:pt>
                <c:pt idx="953">
                  <c:v>-17.8689</c:v>
                </c:pt>
                <c:pt idx="954">
                  <c:v>7.1016000000000004</c:v>
                </c:pt>
                <c:pt idx="955">
                  <c:v>217.64859999999999</c:v>
                </c:pt>
                <c:pt idx="956">
                  <c:v>128.19569999999999</c:v>
                </c:pt>
                <c:pt idx="957">
                  <c:v>22.0184</c:v>
                </c:pt>
                <c:pt idx="958">
                  <c:v>121.1644</c:v>
                </c:pt>
                <c:pt idx="959">
                  <c:v>22.4208</c:v>
                </c:pt>
                <c:pt idx="960">
                  <c:v>85.9345</c:v>
                </c:pt>
                <c:pt idx="961">
                  <c:v>-5.0918999999999999</c:v>
                </c:pt>
                <c:pt idx="962">
                  <c:v>5.4084000000000003</c:v>
                </c:pt>
                <c:pt idx="963">
                  <c:v>24.774799999999999</c:v>
                </c:pt>
                <c:pt idx="964">
                  <c:v>10.3781</c:v>
                </c:pt>
                <c:pt idx="965">
                  <c:v>98.070899999999995</c:v>
                </c:pt>
                <c:pt idx="966">
                  <c:v>-10.654</c:v>
                </c:pt>
                <c:pt idx="967">
                  <c:v>-0.28589999999999999</c:v>
                </c:pt>
                <c:pt idx="968">
                  <c:v>172.7791</c:v>
                </c:pt>
                <c:pt idx="969">
                  <c:v>29.6784</c:v>
                </c:pt>
                <c:pt idx="970">
                  <c:v>125.11369999999999</c:v>
                </c:pt>
                <c:pt idx="971">
                  <c:v>-2.6595</c:v>
                </c:pt>
                <c:pt idx="972">
                  <c:v>83.129000000000005</c:v>
                </c:pt>
                <c:pt idx="973">
                  <c:v>69.268500000000003</c:v>
                </c:pt>
                <c:pt idx="974">
                  <c:v>10.2219</c:v>
                </c:pt>
                <c:pt idx="975">
                  <c:v>119.76949999999999</c:v>
                </c:pt>
                <c:pt idx="976">
                  <c:v>101.2452</c:v>
                </c:pt>
                <c:pt idx="977">
                  <c:v>-4.1021999999999998</c:v>
                </c:pt>
                <c:pt idx="978">
                  <c:v>133.42840000000001</c:v>
                </c:pt>
                <c:pt idx="979">
                  <c:v>58.923200000000001</c:v>
                </c:pt>
                <c:pt idx="980">
                  <c:v>167.19149999999999</c:v>
                </c:pt>
                <c:pt idx="981">
                  <c:v>157.88849999999999</c:v>
                </c:pt>
                <c:pt idx="982">
                  <c:v>141.40309999999999</c:v>
                </c:pt>
                <c:pt idx="983">
                  <c:v>-7.6317000000000004</c:v>
                </c:pt>
                <c:pt idx="984">
                  <c:v>18.1723</c:v>
                </c:pt>
                <c:pt idx="985">
                  <c:v>-7.7492999999999999</c:v>
                </c:pt>
                <c:pt idx="986">
                  <c:v>82.447599999999994</c:v>
                </c:pt>
                <c:pt idx="987">
                  <c:v>25.854399999999998</c:v>
                </c:pt>
                <c:pt idx="988">
                  <c:v>0.32690000000000002</c:v>
                </c:pt>
                <c:pt idx="989">
                  <c:v>158.09870000000001</c:v>
                </c:pt>
                <c:pt idx="990">
                  <c:v>46.388599999999997</c:v>
                </c:pt>
                <c:pt idx="991">
                  <c:v>-19.55</c:v>
                </c:pt>
                <c:pt idx="992">
                  <c:v>-6.3769</c:v>
                </c:pt>
                <c:pt idx="993">
                  <c:v>27.4161</c:v>
                </c:pt>
                <c:pt idx="994">
                  <c:v>0.80469999999999997</c:v>
                </c:pt>
                <c:pt idx="995">
                  <c:v>-2.1634000000000002</c:v>
                </c:pt>
                <c:pt idx="996">
                  <c:v>171.9589</c:v>
                </c:pt>
                <c:pt idx="997">
                  <c:v>7.2762000000000002</c:v>
                </c:pt>
                <c:pt idx="998">
                  <c:v>83.46</c:v>
                </c:pt>
                <c:pt idx="999">
                  <c:v>139.81219999999999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B-4A08-B03D-145894D33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463872"/>
        <c:axId val="563462888"/>
      </c:scatterChart>
      <c:valAx>
        <c:axId val="56346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462888"/>
        <c:crosses val="autoZero"/>
        <c:crossBetween val="midCat"/>
      </c:valAx>
      <c:valAx>
        <c:axId val="56346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46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clusteredColumn" uniqueId="{826C2BAE-227D-4B9E-9495-4FB61E0FE432}">
          <cx:tx>
            <cx:txData>
              <cx:f>_xlchart.v1.0</cx:f>
              <cx:v>Rep Error</cx:v>
            </cx:txData>
          </cx:tx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  <cx:numFmt formatCode="0.00" sourceLinked="0"/>
        <cx:txPr>
          <a:bodyPr spcFirstLastPara="1" vertOverflow="ellipsis" wrap="square" lIns="0" tIns="0" rIns="0" bIns="0" anchor="ctr" anchorCtr="1"/>
          <a:lstStyle/>
          <a:p>
            <a:pPr>
              <a:defRPr lang="en-US" sz="600" b="0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defRPr>
            </a:pPr>
            <a:endParaRPr lang="en-US" sz="600" baseline="0"/>
          </a:p>
        </cx:txPr>
      </cx:axis>
      <cx:axis id="1">
        <cx:valScaling/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600" baseline="0"/>
            </a:pPr>
            <a:endParaRPr lang="en-US" sz="600" baseline="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plotArea>
      <cx:plotAreaRegion>
        <cx:series layoutId="clusteredColumn" uniqueId="{653D02DC-2F94-45B4-A746-4F79AD5C3356}"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  <cx:numFmt formatCode="0.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n-US" sz="6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n-US" sz="6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plotArea>
      <cx:plotAreaRegion>
        <cx:series layoutId="clusteredColumn" uniqueId="{E1842C03-C24E-4CD2-847B-1499A743FC70}">
          <cx:tx>
            <cx:txData>
              <cx:f>_xlchart.v1.3</cx:f>
              <cx:v>Rep Error</cx:v>
            </cx:txData>
          </cx:tx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  <cx:numFmt formatCode="0.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n-US" sz="6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600"/>
            </a:pPr>
            <a:endParaRPr lang="en-US" sz="600" b="0" i="0" u="none" strike="noStrike" kern="120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/>
    <cx:plotArea>
      <cx:plotAreaRegion>
        <cx:series layoutId="clusteredColumn" uniqueId="{826C2BAE-227D-4B9E-9495-4FB61E0FE432}">
          <cx:tx>
            <cx:txData>
              <cx:f>_xlchart.v1.5</cx:f>
              <cx:v>Rep Error</cx:v>
            </cx:txData>
          </cx:tx>
          <cx:dataId val="0"/>
          <cx:layoutPr>
            <cx:binning intervalClosed="r">
              <cx:binSize val="0.88047700000000007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/>
    <cx:plotArea>
      <cx:plotAreaRegion>
        <cx:series layoutId="clusteredColumn" uniqueId="{653D02DC-2F94-45B4-A746-4F79AD5C3356}"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/>
    <cx:plotArea>
      <cx:plotAreaRegion>
        <cx:series layoutId="clusteredColumn" uniqueId="{E1842C03-C24E-4CD2-847B-1499A743FC70}">
          <cx:tx>
            <cx:txData>
              <cx:f>_xlchart.v1.10</cx:f>
              <cx:v>Rep Error</cx:v>
            </cx:txData>
          </cx:tx>
          <cx:dataId val="0"/>
          <cx:layoutPr>
            <cx:binning intervalClosed="r">
              <cx:binCount val="2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Relationship Id="rId9" Type="http://schemas.microsoft.com/office/2014/relationships/chartEx" Target="../charts/chartEx3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3</xdr:row>
          <xdr:rowOff>1295400</xdr:rowOff>
        </xdr:from>
        <xdr:to>
          <xdr:col>0</xdr:col>
          <xdr:colOff>1895475</xdr:colOff>
          <xdr:row>3</xdr:row>
          <xdr:rowOff>1809750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BS Call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133350</xdr:colOff>
      <xdr:row>3</xdr:row>
      <xdr:rowOff>66675</xdr:rowOff>
    </xdr:from>
    <xdr:to>
      <xdr:col>1</xdr:col>
      <xdr:colOff>3190875</xdr:colOff>
      <xdr:row>3</xdr:row>
      <xdr:rowOff>1981200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8400" y="619125"/>
              <a:ext cx="3057525" cy="1914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HK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142875</xdr:colOff>
      <xdr:row>4</xdr:row>
      <xdr:rowOff>76199</xdr:rowOff>
    </xdr:from>
    <xdr:to>
      <xdr:col>1</xdr:col>
      <xdr:colOff>3190875</xdr:colOff>
      <xdr:row>4</xdr:row>
      <xdr:rowOff>1895474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7925" y="2676524"/>
              <a:ext cx="30480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HK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1304925</xdr:rowOff>
        </xdr:from>
        <xdr:to>
          <xdr:col>0</xdr:col>
          <xdr:colOff>1924050</xdr:colOff>
          <xdr:row>4</xdr:row>
          <xdr:rowOff>1819275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Cash or Nothing  Call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5</xdr:row>
          <xdr:rowOff>1314450</xdr:rowOff>
        </xdr:from>
        <xdr:to>
          <xdr:col>0</xdr:col>
          <xdr:colOff>1885950</xdr:colOff>
          <xdr:row>5</xdr:row>
          <xdr:rowOff>1828800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Asset or Nothing  Call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95251</xdr:colOff>
      <xdr:row>3</xdr:row>
      <xdr:rowOff>133350</xdr:rowOff>
    </xdr:from>
    <xdr:to>
      <xdr:col>5</xdr:col>
      <xdr:colOff>3314700</xdr:colOff>
      <xdr:row>3</xdr:row>
      <xdr:rowOff>1952625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85726</xdr:colOff>
      <xdr:row>3</xdr:row>
      <xdr:rowOff>133350</xdr:rowOff>
    </xdr:from>
    <xdr:to>
      <xdr:col>4</xdr:col>
      <xdr:colOff>3276600</xdr:colOff>
      <xdr:row>3</xdr:row>
      <xdr:rowOff>1952625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161924</xdr:colOff>
      <xdr:row>4</xdr:row>
      <xdr:rowOff>123825</xdr:rowOff>
    </xdr:from>
    <xdr:to>
      <xdr:col>5</xdr:col>
      <xdr:colOff>3286125</xdr:colOff>
      <xdr:row>4</xdr:row>
      <xdr:rowOff>1933575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85725</xdr:colOff>
      <xdr:row>4</xdr:row>
      <xdr:rowOff>123825</xdr:rowOff>
    </xdr:from>
    <xdr:to>
      <xdr:col>4</xdr:col>
      <xdr:colOff>3276600</xdr:colOff>
      <xdr:row>4</xdr:row>
      <xdr:rowOff>1943100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152400</xdr:colOff>
      <xdr:row>5</xdr:row>
      <xdr:rowOff>57149</xdr:rowOff>
    </xdr:from>
    <xdr:to>
      <xdr:col>5</xdr:col>
      <xdr:colOff>3295650</xdr:colOff>
      <xdr:row>5</xdr:row>
      <xdr:rowOff>1876424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95251</xdr:colOff>
      <xdr:row>5</xdr:row>
      <xdr:rowOff>142874</xdr:rowOff>
    </xdr:from>
    <xdr:to>
      <xdr:col>4</xdr:col>
      <xdr:colOff>3286125</xdr:colOff>
      <xdr:row>5</xdr:row>
      <xdr:rowOff>1933575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3</xdr:col>
      <xdr:colOff>28574</xdr:colOff>
      <xdr:row>3</xdr:row>
      <xdr:rowOff>96837</xdr:rowOff>
    </xdr:from>
    <xdr:ext cx="3895725" cy="17972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B2882F4-203F-4721-ACD7-3827664CC544}"/>
                </a:ext>
              </a:extLst>
            </xdr:cNvPr>
            <xdr:cNvSpPr txBox="1"/>
          </xdr:nvSpPr>
          <xdr:spPr>
            <a:xfrm>
              <a:off x="7429499" y="677862"/>
              <a:ext cx="3895725" cy="179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Terminal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Value: 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S(T)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r>
                    <a:rPr lang="en-HK" sz="11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𝑆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exp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⁡(</m:t>
                  </m:r>
                </m:oMath>
              </a14:m>
              <a:r>
                <a:rPr lang="en-HK" sz="1100"/>
                <a:t>-0.5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𝜎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en-HK" sz="1100">
                  <a:latin typeface="Symbol" panose="05050102010706020507" pitchFamily="18" charset="2"/>
                </a:rPr>
                <a:t>(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T-t)+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</m:oMath>
              </a14:m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(W(T)-W(t))</a:t>
              </a:r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B2882F4-203F-4721-ACD7-3827664CC544}"/>
                </a:ext>
              </a:extLst>
            </xdr:cNvPr>
            <xdr:cNvSpPr txBox="1"/>
          </xdr:nvSpPr>
          <xdr:spPr>
            <a:xfrm>
              <a:off x="7429499" y="677862"/>
              <a:ext cx="3895725" cy="179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Terminal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Value: 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S(T)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HK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𝑆(t)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exp⁡(</a:t>
              </a:r>
              <a:r>
                <a:rPr lang="en-HK" sz="1100"/>
                <a:t>-0.5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HK" sz="1100">
                  <a:latin typeface="Symbol" panose="05050102010706020507" pitchFamily="18" charset="2"/>
                </a:rPr>
                <a:t>(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T-t)+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(W(T)-W(t))</a:t>
              </a:r>
            </a:p>
          </xdr:txBody>
        </xdr:sp>
      </mc:Fallback>
    </mc:AlternateContent>
    <xdr:clientData/>
  </xdr:oneCellAnchor>
  <xdr:twoCellAnchor>
    <xdr:from>
      <xdr:col>1</xdr:col>
      <xdr:colOff>104775</xdr:colOff>
      <xdr:row>5</xdr:row>
      <xdr:rowOff>76200</xdr:rowOff>
    </xdr:from>
    <xdr:to>
      <xdr:col>1</xdr:col>
      <xdr:colOff>3248025</xdr:colOff>
      <xdr:row>5</xdr:row>
      <xdr:rowOff>1743076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Chart 17">
              <a:extLst>
                <a:ext uri="{FF2B5EF4-FFF2-40B4-BE49-F238E27FC236}">
                  <a16:creationId xmlns:a16="http://schemas.microsoft.com/office/drawing/2014/main" id="{8570D5AA-AB43-463E-B47A-D9CC9280E1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9825" y="4724400"/>
              <a:ext cx="3143250" cy="16668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HK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3</xdr:col>
      <xdr:colOff>1189006</xdr:colOff>
      <xdr:row>3</xdr:row>
      <xdr:rowOff>927576</xdr:rowOff>
    </xdr:from>
    <xdr:ext cx="155382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A11B13A-773A-44D4-9A91-349E336FBD7B}"/>
                </a:ext>
              </a:extLst>
            </xdr:cNvPr>
            <xdr:cNvSpPr txBox="1"/>
          </xdr:nvSpPr>
          <xdr:spPr>
            <a:xfrm>
              <a:off x="8589931" y="1480026"/>
              <a:ext cx="15538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HK" sz="1100"/>
                <a:t>C</a:t>
              </a:r>
              <a:r>
                <a:rPr lang="en-HK" sz="1100" baseline="-25000"/>
                <a:t>rep</a:t>
              </a:r>
              <a:r>
                <a:rPr lang="en-HK" sz="1100"/>
                <a:t>(t)</a:t>
              </a:r>
              <a14:m>
                <m:oMath xmlns:m="http://schemas.openxmlformats.org/officeDocument/2006/math">
                  <m:r>
                    <a:rPr lang="en-US" sz="1100" b="0" i="0">
                      <a:latin typeface="Cambria Math" panose="02040503050406030204" pitchFamily="18" charset="0"/>
                    </a:rPr>
                    <m:t> </m:t>
                  </m:r>
                  <m:r>
                    <a:rPr lang="en-HK" sz="1100" i="1">
                      <a:latin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S</m:t>
                  </m:r>
                  <m:d>
                    <m:dPr>
                      <m:ctrlPr>
                        <a:rPr lang="en-US" sz="1100" b="0" i="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∙∆</m:t>
                  </m:r>
                  <m:d>
                    <m:dPr>
                      <m:ctrlPr>
                        <a:rPr lang="en-US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B</m:t>
                  </m:r>
                  <m:r>
                    <a:rPr lang="en-US" sz="1100" b="0" i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t</m:t>
                  </m:r>
                  <m:r>
                    <a:rPr lang="en-US" sz="1100" b="0" i="0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HK" sz="1100" i="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A11B13A-773A-44D4-9A91-349E336FBD7B}"/>
                </a:ext>
              </a:extLst>
            </xdr:cNvPr>
            <xdr:cNvSpPr txBox="1"/>
          </xdr:nvSpPr>
          <xdr:spPr>
            <a:xfrm>
              <a:off x="8589931" y="1480026"/>
              <a:ext cx="15538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HK" sz="1100"/>
                <a:t>C</a:t>
              </a:r>
              <a:r>
                <a:rPr lang="en-HK" sz="1100" baseline="-25000"/>
                <a:t>rep</a:t>
              </a:r>
              <a:r>
                <a:rPr lang="en-HK" sz="1100"/>
                <a:t>(t)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HK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S(T)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∙∆(t)+</a:t>
              </a:r>
              <a:r>
                <a:rPr lang="en-US" sz="1100" b="0" i="0">
                  <a:latin typeface="Cambria Math" panose="02040503050406030204" pitchFamily="18" charset="0"/>
                </a:rPr>
                <a:t>B(t)</a:t>
              </a:r>
              <a:endParaRPr lang="en-HK" sz="1100" i="0"/>
            </a:p>
          </xdr:txBody>
        </xdr:sp>
      </mc:Fallback>
    </mc:AlternateContent>
    <xdr:clientData/>
  </xdr:oneCellAnchor>
  <xdr:oneCellAnchor>
    <xdr:from>
      <xdr:col>3</xdr:col>
      <xdr:colOff>28574</xdr:colOff>
      <xdr:row>4</xdr:row>
      <xdr:rowOff>96837</xdr:rowOff>
    </xdr:from>
    <xdr:ext cx="3895725" cy="17972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8FFFE10D-20DB-490D-83A7-1ADF6AA805F9}"/>
                </a:ext>
              </a:extLst>
            </xdr:cNvPr>
            <xdr:cNvSpPr txBox="1"/>
          </xdr:nvSpPr>
          <xdr:spPr>
            <a:xfrm>
              <a:off x="7115174" y="649287"/>
              <a:ext cx="3895725" cy="179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Terminal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Value: 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S(T)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r>
                    <a:rPr lang="en-HK" sz="11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𝑆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exp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⁡(</m:t>
                  </m:r>
                </m:oMath>
              </a14:m>
              <a:r>
                <a:rPr lang="en-HK" sz="1100"/>
                <a:t>-0.5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𝜎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en-HK" sz="1100">
                  <a:latin typeface="Symbol" panose="05050102010706020507" pitchFamily="18" charset="2"/>
                </a:rPr>
                <a:t>(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T-t)+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</m:oMath>
              </a14:m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(W(T)-W(t))</a:t>
              </a:r>
            </a:p>
          </xdr:txBody>
        </xdr:sp>
      </mc:Choice>
      <mc:Fallback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8FFFE10D-20DB-490D-83A7-1ADF6AA805F9}"/>
                </a:ext>
              </a:extLst>
            </xdr:cNvPr>
            <xdr:cNvSpPr txBox="1"/>
          </xdr:nvSpPr>
          <xdr:spPr>
            <a:xfrm>
              <a:off x="7115174" y="649287"/>
              <a:ext cx="3895725" cy="179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Terminal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Value: 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S(T)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HK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𝑆(t)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exp⁡(</a:t>
              </a:r>
              <a:r>
                <a:rPr lang="en-HK" sz="1100"/>
                <a:t>-0.5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HK" sz="1100">
                  <a:latin typeface="Symbol" panose="05050102010706020507" pitchFamily="18" charset="2"/>
                </a:rPr>
                <a:t>(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T-t)+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(W(T)-W(t))</a:t>
              </a:r>
            </a:p>
          </xdr:txBody>
        </xdr:sp>
      </mc:Fallback>
    </mc:AlternateContent>
    <xdr:clientData/>
  </xdr:oneCellAnchor>
  <xdr:oneCellAnchor>
    <xdr:from>
      <xdr:col>3</xdr:col>
      <xdr:colOff>1189006</xdr:colOff>
      <xdr:row>4</xdr:row>
      <xdr:rowOff>927576</xdr:rowOff>
    </xdr:from>
    <xdr:ext cx="155382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BA32A97F-445F-4FA5-86D0-B2FBE7D87DF4}"/>
                </a:ext>
              </a:extLst>
            </xdr:cNvPr>
            <xdr:cNvSpPr txBox="1"/>
          </xdr:nvSpPr>
          <xdr:spPr>
            <a:xfrm>
              <a:off x="8275606" y="1480026"/>
              <a:ext cx="15538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HK" sz="1100"/>
                <a:t>C</a:t>
              </a:r>
              <a:r>
                <a:rPr lang="en-HK" sz="1100" baseline="-25000"/>
                <a:t>rep</a:t>
              </a:r>
              <a:r>
                <a:rPr lang="en-HK" sz="1100"/>
                <a:t>(t)</a:t>
              </a:r>
              <a14:m>
                <m:oMath xmlns:m="http://schemas.openxmlformats.org/officeDocument/2006/math">
                  <m:r>
                    <a:rPr lang="en-US" sz="1100" b="0" i="0">
                      <a:latin typeface="Cambria Math" panose="02040503050406030204" pitchFamily="18" charset="0"/>
                    </a:rPr>
                    <m:t> </m:t>
                  </m:r>
                  <m:r>
                    <a:rPr lang="en-HK" sz="1100" i="1">
                      <a:latin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S</m:t>
                  </m:r>
                  <m:d>
                    <m:dPr>
                      <m:ctrlPr>
                        <a:rPr lang="en-US" sz="1100" b="0" i="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∙∆</m:t>
                  </m:r>
                  <m:d>
                    <m:dPr>
                      <m:ctrlPr>
                        <a:rPr lang="en-US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B</m:t>
                  </m:r>
                  <m:r>
                    <a:rPr lang="en-US" sz="1100" b="0" i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t</m:t>
                  </m:r>
                  <m:r>
                    <a:rPr lang="en-US" sz="1100" b="0" i="0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HK" sz="1100" i="0"/>
            </a:p>
          </xdr:txBody>
        </xdr:sp>
      </mc:Choice>
      <mc:Fallback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BA32A97F-445F-4FA5-86D0-B2FBE7D87DF4}"/>
                </a:ext>
              </a:extLst>
            </xdr:cNvPr>
            <xdr:cNvSpPr txBox="1"/>
          </xdr:nvSpPr>
          <xdr:spPr>
            <a:xfrm>
              <a:off x="8275606" y="1480026"/>
              <a:ext cx="15538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HK" sz="1100"/>
                <a:t>C</a:t>
              </a:r>
              <a:r>
                <a:rPr lang="en-HK" sz="1100" baseline="-25000"/>
                <a:t>rep</a:t>
              </a:r>
              <a:r>
                <a:rPr lang="en-HK" sz="1100"/>
                <a:t>(t)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HK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S(T)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∙∆(t)+</a:t>
              </a:r>
              <a:r>
                <a:rPr lang="en-US" sz="1100" b="0" i="0">
                  <a:latin typeface="Cambria Math" panose="02040503050406030204" pitchFamily="18" charset="0"/>
                </a:rPr>
                <a:t>B(t)</a:t>
              </a:r>
              <a:endParaRPr lang="en-HK" sz="1100" i="0"/>
            </a:p>
          </xdr:txBody>
        </xdr:sp>
      </mc:Fallback>
    </mc:AlternateContent>
    <xdr:clientData/>
  </xdr:oneCellAnchor>
  <xdr:oneCellAnchor>
    <xdr:from>
      <xdr:col>3</xdr:col>
      <xdr:colOff>28574</xdr:colOff>
      <xdr:row>5</xdr:row>
      <xdr:rowOff>96837</xdr:rowOff>
    </xdr:from>
    <xdr:ext cx="3895725" cy="17972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1586F66D-6639-4229-B8F0-0434A407841B}"/>
                </a:ext>
              </a:extLst>
            </xdr:cNvPr>
            <xdr:cNvSpPr txBox="1"/>
          </xdr:nvSpPr>
          <xdr:spPr>
            <a:xfrm>
              <a:off x="7115174" y="649287"/>
              <a:ext cx="3895725" cy="179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Terminal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Value: 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S(T)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14:m>
                <m:oMath xmlns:m="http://schemas.openxmlformats.org/officeDocument/2006/math">
                  <m:r>
                    <a:rPr lang="en-HK" sz="11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𝑆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exp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⁡(</m:t>
                  </m:r>
                </m:oMath>
              </a14:m>
              <a:r>
                <a:rPr lang="en-HK" sz="1100"/>
                <a:t>-0.5</a:t>
              </a:r>
              <a14:m>
                <m:oMath xmlns:m="http://schemas.openxmlformats.org/officeDocument/2006/math"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𝜎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en-HK" sz="1100">
                  <a:latin typeface="Symbol" panose="05050102010706020507" pitchFamily="18" charset="2"/>
                </a:rPr>
                <a:t>(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T-t)+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𝜎</m:t>
                  </m:r>
                </m:oMath>
              </a14:m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(W(T)-W(t))</a:t>
              </a:r>
            </a:p>
          </xdr:txBody>
        </xdr:sp>
      </mc:Choice>
      <mc:Fallback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1586F66D-6639-4229-B8F0-0434A407841B}"/>
                </a:ext>
              </a:extLst>
            </xdr:cNvPr>
            <xdr:cNvSpPr txBox="1"/>
          </xdr:nvSpPr>
          <xdr:spPr>
            <a:xfrm>
              <a:off x="7115174" y="649287"/>
              <a:ext cx="3895725" cy="179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Terminal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Value: 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S(T)</a:t>
              </a:r>
              <a:r>
                <a:rPr lang="en-HK" sz="110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n-HK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𝑆(t)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exp⁡(</a:t>
              </a:r>
              <a:r>
                <a:rPr lang="en-HK" sz="1100"/>
                <a:t>-0.5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HK" sz="1100">
                  <a:latin typeface="Symbol" panose="05050102010706020507" pitchFamily="18" charset="2"/>
                </a:rPr>
                <a:t>(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T-t)+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</a:t>
              </a:r>
              <a:r>
                <a:rPr lang="en-HK" sz="1100">
                  <a:latin typeface="Cambria Math" panose="02040503050406030204" pitchFamily="18" charset="0"/>
                  <a:ea typeface="Cambria Math" panose="02040503050406030204" pitchFamily="18" charset="0"/>
                </a:rPr>
                <a:t>(W(T)-W(t))</a:t>
              </a:r>
            </a:p>
          </xdr:txBody>
        </xdr:sp>
      </mc:Fallback>
    </mc:AlternateContent>
    <xdr:clientData/>
  </xdr:oneCellAnchor>
  <xdr:oneCellAnchor>
    <xdr:from>
      <xdr:col>3</xdr:col>
      <xdr:colOff>1189006</xdr:colOff>
      <xdr:row>5</xdr:row>
      <xdr:rowOff>927576</xdr:rowOff>
    </xdr:from>
    <xdr:ext cx="1553823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A1B8212-4030-4421-8D89-A423687C7897}"/>
                </a:ext>
              </a:extLst>
            </xdr:cNvPr>
            <xdr:cNvSpPr txBox="1"/>
          </xdr:nvSpPr>
          <xdr:spPr>
            <a:xfrm>
              <a:off x="8275606" y="1480026"/>
              <a:ext cx="15538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HK" sz="1100"/>
                <a:t>C</a:t>
              </a:r>
              <a:r>
                <a:rPr lang="en-HK" sz="1100" baseline="-25000"/>
                <a:t>rep</a:t>
              </a:r>
              <a:r>
                <a:rPr lang="en-HK" sz="1100"/>
                <a:t>(t)</a:t>
              </a:r>
              <a14:m>
                <m:oMath xmlns:m="http://schemas.openxmlformats.org/officeDocument/2006/math">
                  <m:r>
                    <a:rPr lang="en-US" sz="1100" b="0" i="0">
                      <a:latin typeface="Cambria Math" panose="02040503050406030204" pitchFamily="18" charset="0"/>
                    </a:rPr>
                    <m:t> </m:t>
                  </m:r>
                  <m:r>
                    <a:rPr lang="en-HK" sz="1100" i="1">
                      <a:latin typeface="Cambria Math" panose="02040503050406030204" pitchFamily="18" charset="0"/>
                    </a:rPr>
                    <m:t>=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S</m:t>
                  </m:r>
                  <m:d>
                    <m:dPr>
                      <m:ctrlPr>
                        <a:rPr lang="en-US" sz="1100" b="0" i="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∙∆</m:t>
                  </m:r>
                  <m:d>
                    <m:dPr>
                      <m:ctrlPr>
                        <a:rPr lang="en-US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n-US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</m:t>
                      </m:r>
                    </m:e>
                  </m:d>
                  <m:r>
                    <a:rPr lang="en-US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B</m:t>
                  </m:r>
                  <m:r>
                    <a:rPr lang="en-US" sz="1100" b="0" i="0">
                      <a:latin typeface="Cambria Math" panose="02040503050406030204" pitchFamily="18" charset="0"/>
                    </a:rPr>
                    <m:t>(</m:t>
                  </m:r>
                  <m:r>
                    <m:rPr>
                      <m:sty m:val="p"/>
                    </m:rPr>
                    <a:rPr lang="en-US" sz="1100" b="0" i="0">
                      <a:latin typeface="Cambria Math" panose="02040503050406030204" pitchFamily="18" charset="0"/>
                    </a:rPr>
                    <m:t>t</m:t>
                  </m:r>
                  <m:r>
                    <a:rPr lang="en-US" sz="1100" b="0" i="0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HK" sz="1100" i="0"/>
            </a:p>
          </xdr:txBody>
        </xdr:sp>
      </mc:Choice>
      <mc:Fallback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A1B8212-4030-4421-8D89-A423687C7897}"/>
                </a:ext>
              </a:extLst>
            </xdr:cNvPr>
            <xdr:cNvSpPr txBox="1"/>
          </xdr:nvSpPr>
          <xdr:spPr>
            <a:xfrm>
              <a:off x="8275606" y="1480026"/>
              <a:ext cx="15538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HK" sz="1100"/>
                <a:t>C</a:t>
              </a:r>
              <a:r>
                <a:rPr lang="en-HK" sz="1100" baseline="-25000"/>
                <a:t>rep</a:t>
              </a:r>
              <a:r>
                <a:rPr lang="en-HK" sz="1100"/>
                <a:t>(t)</a:t>
              </a:r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r>
                <a:rPr lang="en-HK" sz="1100" i="0">
                  <a:latin typeface="Cambria Math" panose="02040503050406030204" pitchFamily="18" charset="0"/>
                </a:rPr>
                <a:t>=</a:t>
              </a:r>
              <a:r>
                <a:rPr lang="en-US" sz="1100" b="0" i="0">
                  <a:latin typeface="Cambria Math" panose="02040503050406030204" pitchFamily="18" charset="0"/>
                </a:rPr>
                <a:t>S(T)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∙∆(t)+</a:t>
              </a:r>
              <a:r>
                <a:rPr lang="en-US" sz="1100" b="0" i="0">
                  <a:latin typeface="Cambria Math" panose="02040503050406030204" pitchFamily="18" charset="0"/>
                </a:rPr>
                <a:t>B(t)</a:t>
              </a:r>
              <a:endParaRPr lang="en-HK" sz="1100" i="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117231</xdr:colOff>
      <xdr:row>22</xdr:row>
      <xdr:rowOff>115763</xdr:rowOff>
    </xdr:from>
    <xdr:to>
      <xdr:col>7</xdr:col>
      <xdr:colOff>205153</xdr:colOff>
      <xdr:row>33</xdr:row>
      <xdr:rowOff>124556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140678</xdr:colOff>
      <xdr:row>22</xdr:row>
      <xdr:rowOff>108438</xdr:rowOff>
    </xdr:from>
    <xdr:to>
      <xdr:col>13</xdr:col>
      <xdr:colOff>161192</xdr:colOff>
      <xdr:row>33</xdr:row>
      <xdr:rowOff>117230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80597</xdr:colOff>
      <xdr:row>34</xdr:row>
      <xdr:rowOff>109905</xdr:rowOff>
    </xdr:from>
    <xdr:to>
      <xdr:col>7</xdr:col>
      <xdr:colOff>190499</xdr:colOff>
      <xdr:row>44</xdr:row>
      <xdr:rowOff>73269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622" y="6653580"/>
              <a:ext cx="3300777" cy="18683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HK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24</xdr:row>
      <xdr:rowOff>0</xdr:rowOff>
    </xdr:from>
    <xdr:to>
      <xdr:col>6</xdr:col>
      <xdr:colOff>685800</xdr:colOff>
      <xdr:row>32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414337</xdr:colOff>
      <xdr:row>22</xdr:row>
      <xdr:rowOff>9525</xdr:rowOff>
    </xdr:from>
    <xdr:to>
      <xdr:col>12</xdr:col>
      <xdr:colOff>57150</xdr:colOff>
      <xdr:row>34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90487</xdr:colOff>
      <xdr:row>35</xdr:row>
      <xdr:rowOff>0</xdr:rowOff>
    </xdr:from>
    <xdr:to>
      <xdr:col>8</xdr:col>
      <xdr:colOff>652462</xdr:colOff>
      <xdr:row>49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1512" y="67341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HK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</xdr:colOff>
      <xdr:row>21</xdr:row>
      <xdr:rowOff>171450</xdr:rowOff>
    </xdr:from>
    <xdr:to>
      <xdr:col>8</xdr:col>
      <xdr:colOff>623887</xdr:colOff>
      <xdr:row>36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233362</xdr:colOff>
      <xdr:row>25</xdr:row>
      <xdr:rowOff>104775</xdr:rowOff>
    </xdr:from>
    <xdr:to>
      <xdr:col>15</xdr:col>
      <xdr:colOff>376237</xdr:colOff>
      <xdr:row>39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519111</xdr:colOff>
      <xdr:row>38</xdr:row>
      <xdr:rowOff>171450</xdr:rowOff>
    </xdr:from>
    <xdr:to>
      <xdr:col>11</xdr:col>
      <xdr:colOff>171449</xdr:colOff>
      <xdr:row>57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9111" y="7477125"/>
              <a:ext cx="6376988" cy="3467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HK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6"/>
  <sheetViews>
    <sheetView topLeftCell="A5" workbookViewId="0">
      <selection activeCell="D6" sqref="D6"/>
    </sheetView>
  </sheetViews>
  <sheetFormatPr defaultRowHeight="14.25" x14ac:dyDescent="0.2"/>
  <cols>
    <col min="1" max="1" width="34.5703125" style="25" customWidth="1"/>
    <col min="2" max="2" width="50.7109375" style="25" customWidth="1"/>
    <col min="3" max="3" width="21" style="25" customWidth="1"/>
    <col min="4" max="4" width="62.5703125" style="25" customWidth="1"/>
    <col min="5" max="6" width="50.7109375" style="25" customWidth="1"/>
    <col min="7" max="16384" width="9.140625" style="25"/>
  </cols>
  <sheetData>
    <row r="1" spans="1:6" ht="15" thickBot="1" x14ac:dyDescent="0.25"/>
    <row r="2" spans="1:6" x14ac:dyDescent="0.2">
      <c r="A2" s="26"/>
      <c r="B2" s="27" t="s">
        <v>22</v>
      </c>
      <c r="C2" s="27"/>
      <c r="D2" s="28" t="s">
        <v>30</v>
      </c>
      <c r="E2" s="29"/>
      <c r="F2" s="30"/>
    </row>
    <row r="3" spans="1:6" x14ac:dyDescent="0.2">
      <c r="A3" s="31"/>
      <c r="B3" s="32" t="s">
        <v>23</v>
      </c>
      <c r="C3" s="32" t="s">
        <v>24</v>
      </c>
      <c r="D3" s="32" t="s">
        <v>29</v>
      </c>
      <c r="E3" s="33" t="s">
        <v>28</v>
      </c>
      <c r="F3" s="32" t="s">
        <v>27</v>
      </c>
    </row>
    <row r="4" spans="1:6" ht="161.25" customHeight="1" x14ac:dyDescent="0.2">
      <c r="A4" s="34" t="s">
        <v>18</v>
      </c>
      <c r="B4" s="35"/>
      <c r="C4" s="36" t="s">
        <v>21</v>
      </c>
      <c r="D4" s="37" t="s">
        <v>31</v>
      </c>
      <c r="E4" s="38"/>
      <c r="F4" s="35"/>
    </row>
    <row r="5" spans="1:6" ht="161.25" customHeight="1" x14ac:dyDescent="0.2">
      <c r="A5" s="34" t="s">
        <v>32</v>
      </c>
      <c r="B5" s="35"/>
      <c r="C5" s="36" t="s">
        <v>21</v>
      </c>
      <c r="D5" s="37" t="s">
        <v>31</v>
      </c>
      <c r="E5" s="38"/>
      <c r="F5" s="35"/>
    </row>
    <row r="6" spans="1:6" ht="161.25" customHeight="1" thickBot="1" x14ac:dyDescent="0.25">
      <c r="A6" s="39" t="s">
        <v>33</v>
      </c>
      <c r="B6" s="40"/>
      <c r="C6" s="41" t="s">
        <v>21</v>
      </c>
      <c r="D6" s="37" t="s">
        <v>31</v>
      </c>
      <c r="E6" s="42"/>
      <c r="F6" s="40"/>
    </row>
  </sheetData>
  <mergeCells count="2">
    <mergeCell ref="B2:C2"/>
    <mergeCell ref="D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Simulation_BSCall">
                <anchor moveWithCells="1" sizeWithCells="1">
                  <from>
                    <xdr:col>0</xdr:col>
                    <xdr:colOff>352425</xdr:colOff>
                    <xdr:row>3</xdr:row>
                    <xdr:rowOff>1295400</xdr:rowOff>
                  </from>
                  <to>
                    <xdr:col>0</xdr:col>
                    <xdr:colOff>1895475</xdr:colOff>
                    <xdr:row>3</xdr:row>
                    <xdr:rowOff>1809750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_Simulation_CashorNothing">
                <anchor moveWithCells="1" sizeWithCells="1">
                  <from>
                    <xdr:col>0</xdr:col>
                    <xdr:colOff>381000</xdr:colOff>
                    <xdr:row>4</xdr:row>
                    <xdr:rowOff>1304925</xdr:rowOff>
                  </from>
                  <to>
                    <xdr:col>0</xdr:col>
                    <xdr:colOff>1924050</xdr:colOff>
                    <xdr:row>4</xdr:row>
                    <xdr:rowOff>1819275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_Simulation_AssetorNothing">
                <anchor moveWithCells="1" sizeWithCells="1">
                  <from>
                    <xdr:col>0</xdr:col>
                    <xdr:colOff>342900</xdr:colOff>
                    <xdr:row>5</xdr:row>
                    <xdr:rowOff>1314450</xdr:rowOff>
                  </from>
                  <to>
                    <xdr:col>0</xdr:col>
                    <xdr:colOff>1885950</xdr:colOff>
                    <xdr:row>5</xdr:row>
                    <xdr:rowOff>1828800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001"/>
  <sheetViews>
    <sheetView tabSelected="1" topLeftCell="A16" zoomScaleNormal="100" workbookViewId="0">
      <selection activeCell="J19" sqref="J19"/>
    </sheetView>
  </sheetViews>
  <sheetFormatPr defaultRowHeight="15" x14ac:dyDescent="0.25"/>
  <cols>
    <col min="1" max="1" width="8.7109375" style="1" bestFit="1" customWidth="1"/>
    <col min="2" max="2" width="9.140625" style="1"/>
    <col min="3" max="3" width="2.140625" style="1" customWidth="1"/>
    <col min="4" max="6" width="8.5703125" style="1" customWidth="1"/>
    <col min="7" max="7" width="8.5703125" style="3" customWidth="1"/>
    <col min="8" max="14" width="8.5703125" style="1" customWidth="1"/>
    <col min="15" max="15" width="2" style="1" customWidth="1"/>
    <col min="16" max="20" width="8.5703125" style="1" customWidth="1"/>
    <col min="21" max="22" width="9.140625" style="1"/>
    <col min="23" max="23" width="10.28515625" style="1" bestFit="1" customWidth="1"/>
    <col min="24" max="16384" width="9.140625" style="1"/>
  </cols>
  <sheetData>
    <row r="1" spans="1:23" s="2" customFormat="1" ht="18" x14ac:dyDescent="0.35">
      <c r="D1" s="7" t="s">
        <v>4</v>
      </c>
      <c r="E1" s="8" t="s">
        <v>4</v>
      </c>
      <c r="F1" s="9" t="s">
        <v>15</v>
      </c>
      <c r="G1" s="24" t="s">
        <v>17</v>
      </c>
      <c r="H1" s="9" t="s">
        <v>9</v>
      </c>
      <c r="I1" s="9" t="s">
        <v>10</v>
      </c>
      <c r="J1" s="9" t="s">
        <v>13</v>
      </c>
      <c r="K1" s="8" t="s">
        <v>14</v>
      </c>
      <c r="L1" s="9" t="s">
        <v>6</v>
      </c>
      <c r="M1" s="9" t="s">
        <v>7</v>
      </c>
      <c r="N1" s="10" t="s">
        <v>8</v>
      </c>
      <c r="P1" s="7" t="s">
        <v>16</v>
      </c>
      <c r="Q1" s="9" t="s">
        <v>17</v>
      </c>
      <c r="R1" s="9" t="s">
        <v>13</v>
      </c>
      <c r="S1" s="9" t="s">
        <v>8</v>
      </c>
      <c r="T1" s="10" t="s">
        <v>19</v>
      </c>
      <c r="V1" s="2" t="s">
        <v>34</v>
      </c>
      <c r="W1" s="2" t="s">
        <v>35</v>
      </c>
    </row>
    <row r="2" spans="1:23" x14ac:dyDescent="0.25">
      <c r="D2" s="45">
        <v>0</v>
      </c>
      <c r="E2" s="43">
        <f>$B$8-D2</f>
        <v>1</v>
      </c>
      <c r="F2" s="43"/>
      <c r="G2" s="43">
        <v>100</v>
      </c>
      <c r="H2" s="43">
        <f>(LN(G2/$B$5)+($B$6+($B$7^2)/2)*E2)/($B$7*SQRT(E2))</f>
        <v>0.28333333333333333</v>
      </c>
      <c r="I2" s="43">
        <f>(LN(G2/$B$5)+($B$6+($B$7^2)/2)*E2)/($B$7*SQRT(E2))-$B$7*SQRT(E2)</f>
        <v>-1.6666666666666663E-2</v>
      </c>
      <c r="J2" s="53">
        <f>G2*NORMSDIST(H2)-$B$5*EXP(-$B$6*E2)*NORMSDIST(I2)</f>
        <v>13.753264647243569</v>
      </c>
      <c r="K2" s="43">
        <f>NORMSDIST(H2)</f>
        <v>0.61153933629473389</v>
      </c>
      <c r="L2" s="43"/>
      <c r="M2" s="43">
        <f>-(J2-K2*G2)</f>
        <v>47.400668982229817</v>
      </c>
      <c r="N2" s="46">
        <f>K2*G2-M2</f>
        <v>13.753264647243569</v>
      </c>
      <c r="P2" s="18">
        <v>1</v>
      </c>
      <c r="Q2" s="50">
        <v>102.161</v>
      </c>
      <c r="R2" s="50">
        <v>2.161</v>
      </c>
      <c r="S2" s="50">
        <v>-1.6129</v>
      </c>
      <c r="T2" s="46">
        <v>-3.7738</v>
      </c>
      <c r="V2" s="58">
        <f>MIN($T$2:$T$1001)</f>
        <v>-8.0797000000000008</v>
      </c>
    </row>
    <row r="3" spans="1:23" ht="15.75" thickBot="1" x14ac:dyDescent="0.3">
      <c r="D3" s="45">
        <f>(D2)+$B$8/19</f>
        <v>5.2631578947368418E-2</v>
      </c>
      <c r="E3" s="43">
        <f t="shared" ref="E3:E20" si="0">$B$8-D3</f>
        <v>0.94736842105263164</v>
      </c>
      <c r="F3" s="43">
        <f ca="1">NORMINV(RAND(),0,1)</f>
        <v>-0.50314934310009596</v>
      </c>
      <c r="G3" s="43">
        <f ca="1">G2*EXP((($B$6-0.5*$B$7^2))*$B$9+$B$7*SQRT($B$9)*F4)</f>
        <v>91.437578516796847</v>
      </c>
      <c r="H3" s="43">
        <f ca="1">(LN(G3/$B$5)+($B$6+($B$7^2)/2)*E3)/($B$7*SQRT(E3))</f>
        <v>-3.0778688721969146E-2</v>
      </c>
      <c r="I3" s="43">
        <f t="shared" ref="I3:I21" ca="1" si="1">(LN(G3/$B$5)+($B$6+($B$7^2)/2)*E3)/($B$7*SQRT(E3))-$B$7*SQRT(E3)</f>
        <v>-0.32277724675734171</v>
      </c>
      <c r="J3" s="53">
        <f ca="1">G3*NORMSDIST(H3)-$B$5*EXP(-$B$6*E3)*NORMSDIST(I3)</f>
        <v>8.6416479847179275</v>
      </c>
      <c r="K3" s="43">
        <f t="shared" ref="K3:K20" ca="1" si="2">NORMSDIST(H3)</f>
        <v>0.48772301815154318</v>
      </c>
      <c r="L3" s="43">
        <f ca="1">(K3-K2)*G3</f>
        <v>-11.3214643118787</v>
      </c>
      <c r="M3" s="43">
        <f ca="1">M2*EXP($B$6*$B$9)+L3</f>
        <v>36.179100669205944</v>
      </c>
      <c r="N3" s="46">
        <f ca="1">K3*G3-M3</f>
        <v>8.4171110974749155</v>
      </c>
      <c r="P3" s="18">
        <v>2</v>
      </c>
      <c r="Q3" s="50">
        <v>93.2624</v>
      </c>
      <c r="R3" s="50">
        <v>0</v>
      </c>
      <c r="S3" s="50">
        <v>1.8676999999999999</v>
      </c>
      <c r="T3" s="46">
        <v>1.8676999999999999</v>
      </c>
      <c r="V3" s="1">
        <f>V2+(($V$21-$V$2)/19)</f>
        <v>-7.2552052631578956</v>
      </c>
    </row>
    <row r="4" spans="1:23" x14ac:dyDescent="0.25">
      <c r="A4" s="20" t="s">
        <v>0</v>
      </c>
      <c r="B4" s="11">
        <v>100</v>
      </c>
      <c r="D4" s="45">
        <f t="shared" ref="D4:D21" si="3">(D3)+$B$8/19</f>
        <v>0.10526315789473684</v>
      </c>
      <c r="E4" s="43">
        <f t="shared" si="0"/>
        <v>0.89473684210526316</v>
      </c>
      <c r="F4" s="43">
        <f t="shared" ref="F4:F21" ca="1" si="4">NORMINV(RAND(),0,1)</f>
        <v>-1.2967795642433619</v>
      </c>
      <c r="G4" s="43">
        <f t="shared" ref="G4:G21" ca="1" si="5">G3*EXP((($B$6-0.5*$B$7^2))*$B$9+$B$7*SQRT($B$9)*F5)</f>
        <v>96.06830515739064</v>
      </c>
      <c r="H4" s="43">
        <f ca="1">(LN(G4/$B$5)+($B$6+($B$7^2)/2)*E4)/($B$7*SQRT(E4))</f>
        <v>0.12665783773114889</v>
      </c>
      <c r="I4" s="43">
        <f t="shared" ca="1" si="1"/>
        <v>-0.1571137531469263</v>
      </c>
      <c r="J4" s="53">
        <f t="shared" ref="J3:J20" ca="1" si="6">G4*NORMSDIST(H4)-$B$5*EXP(-$B$6*E4)*NORMSDIST(I4)</f>
        <v>10.656070585299254</v>
      </c>
      <c r="K4" s="43">
        <f t="shared" ca="1" si="2"/>
        <v>0.55039439119142153</v>
      </c>
      <c r="L4" s="43">
        <f ca="1">(K4-K3)*G4</f>
        <v>6.0207325898276984</v>
      </c>
      <c r="M4" s="43">
        <f ca="1">M3*EXP($B$6*$B$9)+L4</f>
        <v>42.276080018343606</v>
      </c>
      <c r="N4" s="46">
        <f t="shared" ref="N3:N21" ca="1" si="7">K4*G4-M4</f>
        <v>10.599376311550117</v>
      </c>
      <c r="P4" s="18">
        <v>3</v>
      </c>
      <c r="Q4" s="50">
        <v>115.81910000000001</v>
      </c>
      <c r="R4" s="50">
        <v>15.819100000000001</v>
      </c>
      <c r="S4" s="50">
        <v>18.523</v>
      </c>
      <c r="T4" s="46">
        <v>2.7039</v>
      </c>
      <c r="V4" s="1">
        <f t="shared" ref="V4:V20" si="8">V3+(($V$21-$V$2)/19)</f>
        <v>-6.4307105263157904</v>
      </c>
    </row>
    <row r="5" spans="1:23" x14ac:dyDescent="0.25">
      <c r="A5" s="21" t="s">
        <v>1</v>
      </c>
      <c r="B5" s="12">
        <v>100</v>
      </c>
      <c r="D5" s="45">
        <f t="shared" si="3"/>
        <v>0.15789473684210525</v>
      </c>
      <c r="E5" s="43">
        <f t="shared" si="0"/>
        <v>0.84210526315789469</v>
      </c>
      <c r="F5" s="43">
        <f t="shared" ca="1" si="4"/>
        <v>0.72163128050704317</v>
      </c>
      <c r="G5" s="43">
        <f t="shared" ca="1" si="5"/>
        <v>95.337699646681443</v>
      </c>
      <c r="H5" s="43">
        <f t="shared" ref="H5:H20" ca="1" si="9">(LN(G5/$B$5)+($B$6+($B$7^2)/2)*E5)/($B$7*SQRT(E5))</f>
        <v>8.6575299242462489E-2</v>
      </c>
      <c r="I5" s="43">
        <f t="shared" ca="1" si="1"/>
        <v>-0.18872358140221163</v>
      </c>
      <c r="J5" s="53">
        <f t="shared" ca="1" si="6"/>
        <v>9.8503423564349433</v>
      </c>
      <c r="K5" s="43">
        <f ca="1">NORMSDIST(H5)</f>
        <v>0.5344954497438732</v>
      </c>
      <c r="L5" s="43">
        <f t="shared" ref="L4:L21" ca="1" si="10">(K5-K4)*G5</f>
        <v>-1.5157685044265374</v>
      </c>
      <c r="M5" s="43">
        <f t="shared" ref="M5:M21" ca="1" si="11">M4*EXP($B$6*$B$9)+L5</f>
        <v>40.849407540023414</v>
      </c>
      <c r="N5" s="46">
        <f t="shared" ca="1" si="7"/>
        <v>10.108159110175883</v>
      </c>
      <c r="P5" s="18">
        <v>4</v>
      </c>
      <c r="Q5" s="50">
        <v>89.268299999999996</v>
      </c>
      <c r="R5" s="50">
        <v>0</v>
      </c>
      <c r="S5" s="50">
        <v>-0.2611</v>
      </c>
      <c r="T5" s="46">
        <v>-0.2611</v>
      </c>
      <c r="V5" s="1">
        <f t="shared" si="8"/>
        <v>-5.6062157894736853</v>
      </c>
    </row>
    <row r="6" spans="1:23" x14ac:dyDescent="0.25">
      <c r="A6" s="21" t="s">
        <v>2</v>
      </c>
      <c r="B6" s="13">
        <v>0.04</v>
      </c>
      <c r="D6" s="45">
        <f t="shared" si="3"/>
        <v>0.21052631578947367</v>
      </c>
      <c r="E6" s="43">
        <f t="shared" si="0"/>
        <v>0.78947368421052633</v>
      </c>
      <c r="F6" s="43">
        <f t="shared" ca="1" si="4"/>
        <v>-0.10709772614684786</v>
      </c>
      <c r="G6" s="43">
        <f t="shared" ca="1" si="5"/>
        <v>99.18326999536221</v>
      </c>
      <c r="H6" s="43">
        <f t="shared" ca="1" si="9"/>
        <v>0.22098248818908703</v>
      </c>
      <c r="I6" s="43">
        <f t="shared" ca="1" si="1"/>
        <v>-4.557450680250455E-2</v>
      </c>
      <c r="J6" s="53">
        <f ca="1">G6*NORMSDIST(H6)-$B$5*EXP(-$B$6*E6)*NORMSDIST(I6)</f>
        <v>11.580219658468174</v>
      </c>
      <c r="K6" s="43">
        <f t="shared" ca="1" si="2"/>
        <v>0.58744696583616041</v>
      </c>
      <c r="L6" s="43">
        <f ca="1">(K6-K5)*G6</f>
        <v>5.2519045172450891</v>
      </c>
      <c r="M6" s="43">
        <f t="shared" ca="1" si="11"/>
        <v>46.18740139854696</v>
      </c>
      <c r="N6" s="46">
        <f ca="1">K6*G6-M6</f>
        <v>12.07750962193726</v>
      </c>
      <c r="P6" s="18">
        <v>5</v>
      </c>
      <c r="Q6" s="50">
        <v>109.2516</v>
      </c>
      <c r="R6" s="50">
        <v>9.2515999999999998</v>
      </c>
      <c r="S6" s="50">
        <v>9.8305000000000007</v>
      </c>
      <c r="T6" s="46">
        <v>0.57889999999999997</v>
      </c>
      <c r="V6" s="1">
        <f t="shared" si="8"/>
        <v>-4.7817210526315801</v>
      </c>
    </row>
    <row r="7" spans="1:23" x14ac:dyDescent="0.25">
      <c r="A7" s="22" t="s">
        <v>11</v>
      </c>
      <c r="B7" s="14">
        <v>0.3</v>
      </c>
      <c r="D7" s="45">
        <f>(D6)+$B$8/19</f>
        <v>0.26315789473684209</v>
      </c>
      <c r="E7" s="43">
        <f t="shared" si="0"/>
        <v>0.73684210526315796</v>
      </c>
      <c r="F7" s="43">
        <f t="shared" ca="1" si="4"/>
        <v>0.57838501975112844</v>
      </c>
      <c r="G7" s="43">
        <f t="shared" ca="1" si="5"/>
        <v>101.55618156854976</v>
      </c>
      <c r="H7" s="43">
        <f t="shared" ca="1" si="9"/>
        <v>0.30317644927686505</v>
      </c>
      <c r="I7" s="43">
        <f ca="1">(LN(G7/$B$5)+($B$6+($B$7^2)/2)*E7)/($B$7*SQRT(E7))-$B$7*SQRT(E7)</f>
        <v>4.5657926693179418E-2</v>
      </c>
      <c r="J7" s="53">
        <f ca="1">G7*NORMSDIST(H7)-$B$5*EXP(-$B$6*E7)*NORMSDIST(I7)</f>
        <v>12.559904548979091</v>
      </c>
      <c r="K7" s="43">
        <f t="shared" ca="1" si="2"/>
        <v>0.61912230216637376</v>
      </c>
      <c r="L7" s="43">
        <f t="shared" ca="1" si="10"/>
        <v>3.2168262075960281</v>
      </c>
      <c r="M7" s="43">
        <f ca="1">M6*EXP($B$6*$B$9)+L7</f>
        <v>49.501566666883804</v>
      </c>
      <c r="N7" s="46">
        <f ca="1">K7*G7-M7</f>
        <v>13.374130265062981</v>
      </c>
      <c r="P7" s="18">
        <v>6</v>
      </c>
      <c r="Q7" s="50">
        <v>91.637</v>
      </c>
      <c r="R7" s="50">
        <v>0</v>
      </c>
      <c r="S7" s="50">
        <v>-2.7239</v>
      </c>
      <c r="T7" s="46">
        <v>-2.7239</v>
      </c>
      <c r="V7" s="1">
        <f t="shared" si="8"/>
        <v>-3.9572263157894749</v>
      </c>
    </row>
    <row r="8" spans="1:23" x14ac:dyDescent="0.25">
      <c r="A8" s="21" t="s">
        <v>3</v>
      </c>
      <c r="B8" s="15">
        <v>1</v>
      </c>
      <c r="D8" s="45">
        <f t="shared" si="3"/>
        <v>0.31578947368421051</v>
      </c>
      <c r="E8" s="43">
        <f t="shared" si="0"/>
        <v>0.68421052631578949</v>
      </c>
      <c r="F8" s="43">
        <f t="shared" ca="1" si="4"/>
        <v>0.34734562453403489</v>
      </c>
      <c r="G8" s="43">
        <f t="shared" ca="1" si="5"/>
        <v>107.92916279269434</v>
      </c>
      <c r="H8" s="43">
        <f t="shared" ca="1" si="9"/>
        <v>0.54185874495401343</v>
      </c>
      <c r="I8" s="43">
        <f t="shared" ca="1" si="1"/>
        <v>0.29370768739346009</v>
      </c>
      <c r="J8" s="53">
        <f t="shared" ca="1" si="6"/>
        <v>16.313304748250744</v>
      </c>
      <c r="K8" s="43">
        <f ca="1">NORMSDIST(H8)</f>
        <v>0.70604209058612177</v>
      </c>
      <c r="L8" s="43">
        <f ca="1">(K8-K7)*G8</f>
        <v>9.3811799942615313</v>
      </c>
      <c r="M8" s="43">
        <f ca="1">M7*EXP($B$6*$B$9)+L8</f>
        <v>58.987070261492008</v>
      </c>
      <c r="N8" s="46">
        <f ca="1">K8*G8-M8</f>
        <v>17.215461471871777</v>
      </c>
      <c r="P8" s="18">
        <v>7</v>
      </c>
      <c r="Q8" s="50">
        <v>140.2543</v>
      </c>
      <c r="R8" s="50">
        <v>40.254300000000001</v>
      </c>
      <c r="S8" s="50">
        <v>40.654699999999998</v>
      </c>
      <c r="T8" s="46">
        <v>0.40029999999999999</v>
      </c>
      <c r="V8" s="1">
        <f t="shared" si="8"/>
        <v>-3.1327315789473698</v>
      </c>
    </row>
    <row r="9" spans="1:23" x14ac:dyDescent="0.25">
      <c r="A9" s="22" t="s">
        <v>12</v>
      </c>
      <c r="B9" s="16">
        <f>B8/19</f>
        <v>5.2631578947368418E-2</v>
      </c>
      <c r="D9" s="45">
        <f t="shared" si="3"/>
        <v>0.36842105263157893</v>
      </c>
      <c r="E9" s="43">
        <f t="shared" si="0"/>
        <v>0.63157894736842102</v>
      </c>
      <c r="F9" s="43">
        <f t="shared" ca="1" si="4"/>
        <v>0.88814180821875088</v>
      </c>
      <c r="G9" s="43">
        <f t="shared" ca="1" si="5"/>
        <v>111.84368831458499</v>
      </c>
      <c r="H9" s="43">
        <f t="shared" ca="1" si="9"/>
        <v>0.69465305618119733</v>
      </c>
      <c r="I9" s="43">
        <f t="shared" ca="1" si="1"/>
        <v>0.45623723190948945</v>
      </c>
      <c r="J9" s="53">
        <f t="shared" ca="1" si="6"/>
        <v>18.691591303256288</v>
      </c>
      <c r="K9" s="43">
        <f ca="1">NORMSDIST(H9)</f>
        <v>0.75636362306603488</v>
      </c>
      <c r="L9" s="43">
        <f t="shared" ca="1" si="10"/>
        <v>5.6281457941956674</v>
      </c>
      <c r="M9" s="43">
        <f ca="1">M8*EXP($B$6*$B$9)+L9</f>
        <v>64.739530172551738</v>
      </c>
      <c r="N9" s="46">
        <f t="shared" ca="1" si="7"/>
        <v>19.854967138136118</v>
      </c>
      <c r="P9" s="18">
        <v>8</v>
      </c>
      <c r="Q9" s="50">
        <v>90.3249</v>
      </c>
      <c r="R9" s="50">
        <v>0</v>
      </c>
      <c r="S9" s="50">
        <v>1.1815</v>
      </c>
      <c r="T9" s="46">
        <v>1.1815</v>
      </c>
      <c r="V9" s="1">
        <f t="shared" si="8"/>
        <v>-2.3082368421052646</v>
      </c>
    </row>
    <row r="10" spans="1:23" x14ac:dyDescent="0.25">
      <c r="A10" s="21" t="s">
        <v>5</v>
      </c>
      <c r="B10" s="17">
        <v>9.9999999999999995E-7</v>
      </c>
      <c r="D10" s="45">
        <f t="shared" si="3"/>
        <v>0.42105263157894735</v>
      </c>
      <c r="E10" s="43">
        <f t="shared" si="0"/>
        <v>0.57894736842105265</v>
      </c>
      <c r="F10" s="43">
        <f t="shared" ca="1" si="4"/>
        <v>0.52147400504857133</v>
      </c>
      <c r="G10" s="43">
        <f ca="1">G9*EXP((($B$6-0.5*$B$7^2))*$B$9+$B$7*SQRT($B$9)*F11)</f>
        <v>127.9480568934316</v>
      </c>
      <c r="H10" s="43">
        <f t="shared" ca="1" si="9"/>
        <v>1.2952652181793367</v>
      </c>
      <c r="I10" s="43">
        <f t="shared" ca="1" si="1"/>
        <v>1.0669994451035321</v>
      </c>
      <c r="J10" s="53">
        <f t="shared" ca="1" si="6"/>
        <v>31.718951344196753</v>
      </c>
      <c r="K10" s="43">
        <f t="shared" ca="1" si="2"/>
        <v>0.90238562328500105</v>
      </c>
      <c r="L10" s="43">
        <f t="shared" ca="1" si="10"/>
        <v>18.683231191708963</v>
      </c>
      <c r="M10" s="43">
        <f ca="1">M9*EXP($B$6*$B$9)+L10</f>
        <v>83.559198679826949</v>
      </c>
      <c r="N10" s="46">
        <f t="shared" ca="1" si="7"/>
        <v>31.899288388057101</v>
      </c>
      <c r="P10" s="18">
        <v>9</v>
      </c>
      <c r="Q10" s="50">
        <v>101.4902</v>
      </c>
      <c r="R10" s="50">
        <v>1.4902</v>
      </c>
      <c r="S10" s="50">
        <v>5.5862999999999996</v>
      </c>
      <c r="T10" s="46">
        <v>4.0960999999999999</v>
      </c>
      <c r="V10" s="1">
        <f t="shared" si="8"/>
        <v>-1.4837421052631592</v>
      </c>
    </row>
    <row r="11" spans="1:23" ht="15.75" thickBot="1" x14ac:dyDescent="0.3">
      <c r="A11" s="23" t="s">
        <v>20</v>
      </c>
      <c r="B11" s="6">
        <f ca="1">N21-J21</f>
        <v>-5.4271367167487483E-2</v>
      </c>
      <c r="D11" s="45">
        <f t="shared" si="3"/>
        <v>0.47368421052631576</v>
      </c>
      <c r="E11" s="43">
        <f t="shared" si="0"/>
        <v>0.52631578947368429</v>
      </c>
      <c r="F11" s="43">
        <f t="shared" ca="1" si="4"/>
        <v>1.9583846789821902</v>
      </c>
      <c r="G11" s="43">
        <f t="shared" ca="1" si="5"/>
        <v>145.69088462833949</v>
      </c>
      <c r="H11" s="43">
        <f ca="1">(LN(G11/$B$5)+($B$6+($B$7^2)/2)*E11)/($B$7*SQRT(E11))</f>
        <v>1.9346087240006904</v>
      </c>
      <c r="I11" s="43">
        <f t="shared" ca="1" si="1"/>
        <v>1.7169658489676869</v>
      </c>
      <c r="J11" s="53">
        <f ca="1">G11*NORMSDIST(H11)-$B$5*EXP(-$B$6*E11)*NORMSDIST(I11)</f>
        <v>48.120247045978033</v>
      </c>
      <c r="K11" s="43">
        <f t="shared" ca="1" si="2"/>
        <v>0.97348083566761257</v>
      </c>
      <c r="L11" s="43">
        <f t="shared" ca="1" si="10"/>
        <v>10.357924384862347</v>
      </c>
      <c r="M11" s="43">
        <f ca="1">M10*EXP($B$6*$B$9)+L11</f>
        <v>94.093222469926786</v>
      </c>
      <c r="N11" s="46">
        <f t="shared" ca="1" si="7"/>
        <v>47.734061647222859</v>
      </c>
      <c r="P11" s="18">
        <v>10</v>
      </c>
      <c r="Q11" s="50">
        <v>47.792299999999997</v>
      </c>
      <c r="R11" s="50">
        <v>0</v>
      </c>
      <c r="S11" s="50">
        <v>-1.9331</v>
      </c>
      <c r="T11" s="46">
        <v>-1.9331</v>
      </c>
      <c r="V11" s="1">
        <f t="shared" si="8"/>
        <v>-0.6592473684210538</v>
      </c>
    </row>
    <row r="12" spans="1:23" x14ac:dyDescent="0.25">
      <c r="D12" s="45">
        <f t="shared" si="3"/>
        <v>0.52631578947368418</v>
      </c>
      <c r="E12" s="43">
        <f t="shared" si="0"/>
        <v>0.47368421052631582</v>
      </c>
      <c r="F12" s="43">
        <f t="shared" ca="1" si="4"/>
        <v>1.8906859365367221</v>
      </c>
      <c r="G12" s="43">
        <f ca="1">G11*EXP((($B$6-0.5*$B$7^2))*$B$9+$B$7*SQRT($B$9)*F13)</f>
        <v>141.08283179882363</v>
      </c>
      <c r="H12" s="43">
        <f t="shared" ca="1" si="9"/>
        <v>1.8619286232420773</v>
      </c>
      <c r="I12" s="43">
        <f ca="1">(LN(G12/$B$5)+($B$6+($B$7^2)/2)*E12)/($B$7*SQRT(E12))-$B$7*SQRT(E12)</f>
        <v>1.6554544627585717</v>
      </c>
      <c r="J12" s="53">
        <f ca="1">G12*NORMSDIST(H12)-$B$5*EXP(-$B$6*E12)*NORMSDIST(I12)</f>
        <v>43.34271752124117</v>
      </c>
      <c r="K12" s="43">
        <f ca="1">NORMSDIST(H12)</f>
        <v>0.96869342408788106</v>
      </c>
      <c r="L12" s="43">
        <f t="shared" ca="1" si="10"/>
        <v>-0.6754215826550003</v>
      </c>
      <c r="M12" s="43">
        <f ca="1">M11*EXP($B$6*$B$9)+L12</f>
        <v>93.616100545186455</v>
      </c>
      <c r="N12" s="46">
        <f t="shared" ca="1" si="7"/>
        <v>43.049910870030587</v>
      </c>
      <c r="P12" s="18">
        <v>11</v>
      </c>
      <c r="Q12" s="50">
        <v>106.5472</v>
      </c>
      <c r="R12" s="50">
        <v>6.5472000000000001</v>
      </c>
      <c r="S12" s="50">
        <v>6.3985000000000003</v>
      </c>
      <c r="T12" s="46">
        <v>-0.1487</v>
      </c>
      <c r="V12" s="1">
        <f t="shared" si="8"/>
        <v>0.16524736842105159</v>
      </c>
    </row>
    <row r="13" spans="1:23" x14ac:dyDescent="0.25">
      <c r="D13" s="45">
        <f t="shared" si="3"/>
        <v>0.57894736842105265</v>
      </c>
      <c r="E13" s="43">
        <f t="shared" si="0"/>
        <v>0.42105263157894735</v>
      </c>
      <c r="F13" s="43">
        <f t="shared" ca="1" si="4"/>
        <v>-0.46315935918683904</v>
      </c>
      <c r="G13" s="43">
        <f t="shared" ca="1" si="5"/>
        <v>136.49557172794417</v>
      </c>
      <c r="H13" s="43">
        <f t="shared" ca="1" si="9"/>
        <v>1.7820882194186098</v>
      </c>
      <c r="I13" s="43">
        <f t="shared" ca="1" si="1"/>
        <v>1.5874225140616949</v>
      </c>
      <c r="J13" s="53">
        <f ca="1">G13*NORMSDIST(H13)-$B$5*EXP(-$B$6*E13)*NORMSDIST(I13)</f>
        <v>38.592165891983768</v>
      </c>
      <c r="K13" s="43">
        <f t="shared" ca="1" si="2"/>
        <v>0.96263257669896785</v>
      </c>
      <c r="L13" s="43">
        <f ca="1">(K13-K12)*G13</f>
        <v>-0.82727882950552689</v>
      </c>
      <c r="M13" s="43">
        <f ca="1">M12*EXP($B$6*$B$9)+L13</f>
        <v>92.986115848309339</v>
      </c>
      <c r="N13" s="46">
        <f t="shared" ca="1" si="7"/>
        <v>38.408968072160349</v>
      </c>
      <c r="P13" s="18">
        <v>12</v>
      </c>
      <c r="Q13" s="50">
        <v>67.899100000000004</v>
      </c>
      <c r="R13" s="50">
        <v>0</v>
      </c>
      <c r="S13" s="50">
        <v>0.29260000000000003</v>
      </c>
      <c r="T13" s="46">
        <v>0.29260000000000003</v>
      </c>
      <c r="V13" s="1">
        <f t="shared" si="8"/>
        <v>0.98974210526315698</v>
      </c>
    </row>
    <row r="14" spans="1:23" x14ac:dyDescent="0.25">
      <c r="D14" s="45">
        <f t="shared" si="3"/>
        <v>0.63157894736842102</v>
      </c>
      <c r="E14" s="43">
        <f t="shared" si="0"/>
        <v>0.36842105263157898</v>
      </c>
      <c r="F14" s="43">
        <f t="shared" ca="1" si="4"/>
        <v>-0.47645449107082688</v>
      </c>
      <c r="G14" s="43">
        <f t="shared" ca="1" si="5"/>
        <v>147.29313143999005</v>
      </c>
      <c r="H14" s="43">
        <f t="shared" ca="1" si="9"/>
        <v>2.2986610192421155</v>
      </c>
      <c r="I14" s="43">
        <f ca="1">(LN(G14/$B$5)+($B$6+($B$7^2)/2)*E14)/($B$7*SQRT(E14))-$B$7*SQRT(E14)</f>
        <v>2.1165679256420504</v>
      </c>
      <c r="J14" s="53">
        <f ca="1">G14*NORMSDIST(H14)-$B$5*EXP(-$B$6*E14)*NORMSDIST(I14)</f>
        <v>48.860567879011953</v>
      </c>
      <c r="K14" s="43">
        <f ca="1">NORMSDIST(H14)</f>
        <v>0.98923790216653529</v>
      </c>
      <c r="L14" s="43">
        <f t="shared" ca="1" si="10"/>
        <v>3.9187817010981258</v>
      </c>
      <c r="M14" s="43">
        <f t="shared" ca="1" si="11"/>
        <v>97.100864001395308</v>
      </c>
      <c r="N14" s="46">
        <f t="shared" ca="1" si="7"/>
        <v>48.607084347840186</v>
      </c>
      <c r="P14" s="18">
        <v>13</v>
      </c>
      <c r="Q14" s="50">
        <v>110.81189999999999</v>
      </c>
      <c r="R14" s="50">
        <v>10.8119</v>
      </c>
      <c r="S14" s="50">
        <v>15.136100000000001</v>
      </c>
      <c r="T14" s="46">
        <v>4.3242000000000003</v>
      </c>
      <c r="V14" s="1">
        <f t="shared" si="8"/>
        <v>1.8142368421052624</v>
      </c>
    </row>
    <row r="15" spans="1:23" x14ac:dyDescent="0.25">
      <c r="D15" s="45">
        <f t="shared" si="3"/>
        <v>0.68421052631578938</v>
      </c>
      <c r="E15" s="43">
        <f t="shared" si="0"/>
        <v>0.31578947368421062</v>
      </c>
      <c r="F15" s="43">
        <f t="shared" ca="1" si="4"/>
        <v>1.1100034670198271</v>
      </c>
      <c r="G15" s="43">
        <f t="shared" ca="1" si="5"/>
        <v>145.47102338841665</v>
      </c>
      <c r="H15" s="43">
        <f ca="1">(LN(G15/$B$5)+($B$6+($B$7^2)/2)*E15)/($B$7*SQRT(E15))</f>
        <v>2.3824644618597479</v>
      </c>
      <c r="I15" s="43">
        <f t="shared" ca="1" si="1"/>
        <v>2.213879015775043</v>
      </c>
      <c r="J15" s="53">
        <f ca="1">G15*NORMSDIST(H15)-$B$5*EXP(-$B$6*E15)*NORMSDIST(I15)</f>
        <v>46.800402367564956</v>
      </c>
      <c r="K15" s="43">
        <f ca="1">NORMSDIST(H15)</f>
        <v>0.99140140410276889</v>
      </c>
      <c r="L15" s="43">
        <f t="shared" ca="1" si="10"/>
        <v>0.31472684076672314</v>
      </c>
      <c r="M15" s="43">
        <f t="shared" ca="1" si="11"/>
        <v>97.6202290467984</v>
      </c>
      <c r="N15" s="46">
        <f ca="1">K15*G15-M15</f>
        <v>46.599947796744615</v>
      </c>
      <c r="P15" s="18">
        <v>14</v>
      </c>
      <c r="Q15" s="50">
        <v>77.881299999999996</v>
      </c>
      <c r="R15" s="50">
        <v>0</v>
      </c>
      <c r="S15" s="50">
        <v>0.35070000000000001</v>
      </c>
      <c r="T15" s="46">
        <v>0.35070000000000001</v>
      </c>
      <c r="V15" s="1">
        <f t="shared" si="8"/>
        <v>2.6387315789473678</v>
      </c>
    </row>
    <row r="16" spans="1:23" x14ac:dyDescent="0.25">
      <c r="D16" s="45">
        <f t="shared" si="3"/>
        <v>0.73684210526315774</v>
      </c>
      <c r="E16" s="43">
        <f t="shared" si="0"/>
        <v>0.26315789473684226</v>
      </c>
      <c r="F16" s="43">
        <f t="shared" ca="1" si="4"/>
        <v>-0.17703842332082981</v>
      </c>
      <c r="G16" s="43">
        <f t="shared" ca="1" si="5"/>
        <v>137.83999568242049</v>
      </c>
      <c r="H16" s="43">
        <f t="shared" ca="1" si="9"/>
        <v>2.2306630236619043</v>
      </c>
      <c r="I16" s="43">
        <f t="shared" ca="1" si="1"/>
        <v>2.0767662708491312</v>
      </c>
      <c r="J16" s="53">
        <f t="shared" ca="1" si="6"/>
        <v>38.986978492716773</v>
      </c>
      <c r="K16" s="43">
        <f t="shared" ca="1" si="2"/>
        <v>0.98714827065246913</v>
      </c>
      <c r="L16" s="43">
        <f t="shared" ca="1" si="10"/>
        <v>-0.58625189642607733</v>
      </c>
      <c r="M16" s="43">
        <f ca="1">M15*EXP($B$6*$B$9)+L16</f>
        <v>97.239709906859844</v>
      </c>
      <c r="N16" s="46">
        <f t="shared" ca="1" si="7"/>
        <v>38.828803457785369</v>
      </c>
      <c r="P16" s="18">
        <v>15</v>
      </c>
      <c r="Q16" s="50">
        <v>122.16670000000001</v>
      </c>
      <c r="R16" s="50">
        <v>22.166699999999999</v>
      </c>
      <c r="S16" s="50">
        <v>17.738499999999998</v>
      </c>
      <c r="T16" s="46">
        <v>-4.4282000000000004</v>
      </c>
      <c r="V16" s="1">
        <f t="shared" si="8"/>
        <v>3.4632263157894734</v>
      </c>
    </row>
    <row r="17" spans="4:23" x14ac:dyDescent="0.25">
      <c r="D17" s="45">
        <f t="shared" si="3"/>
        <v>0.78947368421052611</v>
      </c>
      <c r="E17" s="43">
        <f t="shared" si="0"/>
        <v>0.21052631578947389</v>
      </c>
      <c r="F17" s="43">
        <f t="shared" ca="1" si="4"/>
        <v>-0.77908338590648629</v>
      </c>
      <c r="G17" s="43">
        <f t="shared" ca="1" si="5"/>
        <v>139.5439591415857</v>
      </c>
      <c r="H17" s="43">
        <f t="shared" ca="1" si="9"/>
        <v>2.5507130355787067</v>
      </c>
      <c r="I17" s="43">
        <f t="shared" ca="1" si="1"/>
        <v>2.4130635952563697</v>
      </c>
      <c r="J17" s="53">
        <f t="shared" ca="1" si="6"/>
        <v>40.416780576532688</v>
      </c>
      <c r="K17" s="43">
        <f t="shared" ca="1" si="2"/>
        <v>0.99462485997043271</v>
      </c>
      <c r="L17" s="43">
        <f t="shared" ca="1" si="10"/>
        <v>1.0433128743043256</v>
      </c>
      <c r="M17" s="43">
        <f ca="1">M16*EXP($B$6*$B$9)+L17</f>
        <v>98.487953600877717</v>
      </c>
      <c r="N17" s="46">
        <f t="shared" ca="1" si="7"/>
        <v>40.305937220041756</v>
      </c>
      <c r="P17" s="18">
        <v>16</v>
      </c>
      <c r="Q17" s="50">
        <v>84.145300000000006</v>
      </c>
      <c r="R17" s="50">
        <v>0</v>
      </c>
      <c r="S17" s="50">
        <v>8.2500000000000004E-2</v>
      </c>
      <c r="T17" s="46">
        <v>8.2500000000000004E-2</v>
      </c>
      <c r="V17" s="1">
        <f t="shared" si="8"/>
        <v>4.2877210526315785</v>
      </c>
    </row>
    <row r="18" spans="4:23" x14ac:dyDescent="0.25">
      <c r="D18" s="45">
        <f t="shared" si="3"/>
        <v>0.84210526315789447</v>
      </c>
      <c r="E18" s="43">
        <f t="shared" si="0"/>
        <v>0.15789473684210553</v>
      </c>
      <c r="F18" s="43">
        <f t="shared" ca="1" si="4"/>
        <v>0.18233663551534315</v>
      </c>
      <c r="G18" s="43">
        <f t="shared" ca="1" si="5"/>
        <v>138.66398696276531</v>
      </c>
      <c r="H18" s="43">
        <f ca="1">(LN(G18/$B$5)+($B$6+($B$7^2)/2)*E18)/($B$7*SQRT(E18))</f>
        <v>2.8547141474497137</v>
      </c>
      <c r="I18" s="43">
        <f t="shared" ca="1" si="1"/>
        <v>2.7355062353138595</v>
      </c>
      <c r="J18" s="53">
        <f t="shared" ca="1" si="6"/>
        <v>39.304385411102913</v>
      </c>
      <c r="K18" s="43">
        <f t="shared" ca="1" si="2"/>
        <v>0.99784622098625608</v>
      </c>
      <c r="L18" s="43">
        <f t="shared" ca="1" si="10"/>
        <v>0.44668676190049306</v>
      </c>
      <c r="M18" s="43">
        <f t="shared" ca="1" si="11"/>
        <v>99.142201832086073</v>
      </c>
      <c r="N18" s="46">
        <f t="shared" ca="1" si="7"/>
        <v>39.223133545596767</v>
      </c>
      <c r="P18" s="18">
        <v>17</v>
      </c>
      <c r="Q18" s="50">
        <v>128.67250000000001</v>
      </c>
      <c r="R18" s="50">
        <v>28.672499999999999</v>
      </c>
      <c r="S18" s="50">
        <v>28.5806</v>
      </c>
      <c r="T18" s="46">
        <v>-9.1899999999999996E-2</v>
      </c>
      <c r="V18" s="1">
        <f t="shared" si="8"/>
        <v>5.1122157894736837</v>
      </c>
    </row>
    <row r="19" spans="4:23" x14ac:dyDescent="0.25">
      <c r="D19" s="45">
        <f t="shared" si="3"/>
        <v>0.89473684210526283</v>
      </c>
      <c r="E19" s="43">
        <f t="shared" si="0"/>
        <v>0.10526315789473717</v>
      </c>
      <c r="F19" s="43">
        <f t="shared" ca="1" si="4"/>
        <v>-8.809140652766688E-2</v>
      </c>
      <c r="G19" s="43">
        <f t="shared" ca="1" si="5"/>
        <v>134.51488026805285</v>
      </c>
      <c r="H19" s="43">
        <f t="shared" ca="1" si="9"/>
        <v>3.1382210724641828</v>
      </c>
      <c r="I19" s="43">
        <f t="shared" ca="1" si="1"/>
        <v>3.040888219785725</v>
      </c>
      <c r="J19" s="53">
        <f t="shared" ca="1" si="6"/>
        <v>34.938170932791621</v>
      </c>
      <c r="K19" s="43">
        <f t="shared" ca="1" si="2"/>
        <v>0.999150116877355</v>
      </c>
      <c r="L19" s="43">
        <f t="shared" ca="1" si="10"/>
        <v>0.1753933996731768</v>
      </c>
      <c r="M19" s="43">
        <f t="shared" ca="1" si="11"/>
        <v>99.526535516639967</v>
      </c>
      <c r="N19" s="46">
        <f t="shared" ca="1" si="7"/>
        <v>34.87402282492846</v>
      </c>
      <c r="P19" s="18">
        <v>18</v>
      </c>
      <c r="Q19" s="50">
        <v>88.079400000000007</v>
      </c>
      <c r="R19" s="50">
        <v>0</v>
      </c>
      <c r="S19" s="50">
        <v>-1.7758</v>
      </c>
      <c r="T19" s="46">
        <v>-1.7758</v>
      </c>
      <c r="V19" s="1">
        <f t="shared" si="8"/>
        <v>5.9367105263157889</v>
      </c>
    </row>
    <row r="20" spans="4:23" x14ac:dyDescent="0.25">
      <c r="D20" s="45">
        <f t="shared" si="3"/>
        <v>0.94736842105263119</v>
      </c>
      <c r="E20" s="43">
        <f t="shared" si="0"/>
        <v>5.2631578947368807E-2</v>
      </c>
      <c r="F20" s="43">
        <f t="shared" ca="1" si="4"/>
        <v>-0.43757042190351697</v>
      </c>
      <c r="G20" s="43">
        <f t="shared" ca="1" si="5"/>
        <v>126.64453319829423</v>
      </c>
      <c r="H20" s="43">
        <f t="shared" ca="1" si="9"/>
        <v>3.4971113363698563</v>
      </c>
      <c r="I20" s="43">
        <f t="shared" ca="1" si="1"/>
        <v>3.4282866162086876</v>
      </c>
      <c r="J20" s="53">
        <f t="shared" ca="1" si="6"/>
        <v>26.855362307404391</v>
      </c>
      <c r="K20" s="43">
        <f t="shared" ca="1" si="2"/>
        <v>0.99976483725119014</v>
      </c>
      <c r="L20" s="43">
        <f t="shared" ca="1" si="10"/>
        <v>7.7850974791832547E-2</v>
      </c>
      <c r="M20" s="43">
        <f t="shared" ca="1" si="11"/>
        <v>99.814136752165936</v>
      </c>
      <c r="N20" s="46">
        <f t="shared" ca="1" si="7"/>
        <v>26.800614369579634</v>
      </c>
      <c r="P20" s="18">
        <v>19</v>
      </c>
      <c r="Q20" s="50">
        <v>144.5891</v>
      </c>
      <c r="R20" s="50">
        <v>44.589100000000002</v>
      </c>
      <c r="S20" s="50">
        <v>45.853700000000003</v>
      </c>
      <c r="T20" s="46">
        <v>1.2645999999999999</v>
      </c>
      <c r="V20" s="1">
        <f>V19+(($V$21-$V$2)/19)</f>
        <v>6.7612052631578941</v>
      </c>
    </row>
    <row r="21" spans="4:23" ht="15.75" thickBot="1" x14ac:dyDescent="0.3">
      <c r="D21" s="47">
        <f t="shared" si="3"/>
        <v>0.99999999999999956</v>
      </c>
      <c r="E21" s="44">
        <f>$B$8-D21+B10</f>
        <v>1.0000000004440892E-6</v>
      </c>
      <c r="F21" s="44">
        <f t="shared" ca="1" si="4"/>
        <v>-0.87217874587285715</v>
      </c>
      <c r="G21" s="48">
        <f t="shared" ca="1" si="5"/>
        <v>126.6112100743717</v>
      </c>
      <c r="H21" s="44">
        <f ca="1">(LN(G21/$B$5)+($B$6+($B$7^2)/2)*E21)/($B$7*SQRT(E21))</f>
        <v>786.50317313483833</v>
      </c>
      <c r="I21" s="44">
        <f t="shared" ca="1" si="1"/>
        <v>786.5028731348383</v>
      </c>
      <c r="J21" s="54">
        <f ca="1">G21*NORMSDIST(H21)-$B$5*EXP(-$B$6*E21)*NORMSDIST(I21)</f>
        <v>26.611214074371617</v>
      </c>
      <c r="K21" s="44">
        <f ca="1">NORMSDIST(H21)</f>
        <v>1</v>
      </c>
      <c r="L21" s="44">
        <f t="shared" ca="1" si="10"/>
        <v>2.9774240191231691E-2</v>
      </c>
      <c r="M21" s="44">
        <f t="shared" ca="1" si="11"/>
        <v>100.05426736716757</v>
      </c>
      <c r="N21" s="49">
        <f t="shared" ca="1" si="7"/>
        <v>26.556942707204129</v>
      </c>
      <c r="P21" s="18">
        <v>20</v>
      </c>
      <c r="Q21" s="50">
        <v>79.443700000000007</v>
      </c>
      <c r="R21" s="50">
        <v>0</v>
      </c>
      <c r="S21" s="50">
        <v>3.0257000000000001</v>
      </c>
      <c r="T21" s="46">
        <v>3.0257000000000001</v>
      </c>
      <c r="V21" s="58">
        <f>MAX($T$2:$T$1001)</f>
        <v>7.5857000000000001</v>
      </c>
      <c r="W21" s="58"/>
    </row>
    <row r="22" spans="4:23" x14ac:dyDescent="0.25">
      <c r="D22" s="4"/>
      <c r="J22" s="5"/>
      <c r="P22" s="18">
        <v>21</v>
      </c>
      <c r="Q22" s="50">
        <v>135.3527</v>
      </c>
      <c r="R22" s="50">
        <v>35.352699999999999</v>
      </c>
      <c r="S22" s="50">
        <v>34.908700000000003</v>
      </c>
      <c r="T22" s="46">
        <v>-0.44409999999999999</v>
      </c>
    </row>
    <row r="23" spans="4:23" x14ac:dyDescent="0.25">
      <c r="D23" s="4"/>
      <c r="P23" s="18">
        <v>22</v>
      </c>
      <c r="Q23" s="50">
        <v>98.382400000000004</v>
      </c>
      <c r="R23" s="50">
        <v>0</v>
      </c>
      <c r="S23" s="50">
        <v>5.8181000000000003</v>
      </c>
      <c r="T23" s="46">
        <v>5.8181000000000003</v>
      </c>
    </row>
    <row r="24" spans="4:23" x14ac:dyDescent="0.25">
      <c r="P24" s="18">
        <v>23</v>
      </c>
      <c r="Q24" s="50">
        <v>158.33189999999999</v>
      </c>
      <c r="R24" s="50">
        <v>58.331899999999997</v>
      </c>
      <c r="S24" s="50">
        <v>58.771999999999998</v>
      </c>
      <c r="T24" s="46">
        <v>0.44009999999999999</v>
      </c>
    </row>
    <row r="25" spans="4:23" x14ac:dyDescent="0.25">
      <c r="P25" s="18">
        <v>24</v>
      </c>
      <c r="Q25" s="50">
        <v>90.836500000000001</v>
      </c>
      <c r="R25" s="50">
        <v>0</v>
      </c>
      <c r="S25" s="50">
        <v>1.5341</v>
      </c>
      <c r="T25" s="46">
        <v>1.5341</v>
      </c>
    </row>
    <row r="26" spans="4:23" x14ac:dyDescent="0.25">
      <c r="P26" s="18">
        <v>25</v>
      </c>
      <c r="Q26" s="50">
        <v>69.322500000000005</v>
      </c>
      <c r="R26" s="50">
        <v>0</v>
      </c>
      <c r="S26" s="50">
        <v>1.4793000000000001</v>
      </c>
      <c r="T26" s="46">
        <v>1.4793000000000001</v>
      </c>
    </row>
    <row r="27" spans="4:23" x14ac:dyDescent="0.25">
      <c r="P27" s="18">
        <v>26</v>
      </c>
      <c r="Q27" s="50">
        <v>67.534599999999998</v>
      </c>
      <c r="R27" s="50">
        <v>0</v>
      </c>
      <c r="S27" s="50">
        <v>-1.6700999999999999</v>
      </c>
      <c r="T27" s="46">
        <v>-1.6700999999999999</v>
      </c>
    </row>
    <row r="28" spans="4:23" x14ac:dyDescent="0.25">
      <c r="P28" s="18">
        <v>27</v>
      </c>
      <c r="Q28" s="50">
        <v>120.3506</v>
      </c>
      <c r="R28" s="50">
        <v>20.3506</v>
      </c>
      <c r="S28" s="50">
        <v>21.2666</v>
      </c>
      <c r="T28" s="46">
        <v>0.91600000000000004</v>
      </c>
    </row>
    <row r="29" spans="4:23" x14ac:dyDescent="0.25">
      <c r="P29" s="18">
        <v>28</v>
      </c>
      <c r="Q29" s="50">
        <v>164.16079999999999</v>
      </c>
      <c r="R29" s="50">
        <v>64.160799999999995</v>
      </c>
      <c r="S29" s="50">
        <v>62.6068</v>
      </c>
      <c r="T29" s="46">
        <v>-1.554</v>
      </c>
    </row>
    <row r="30" spans="4:23" x14ac:dyDescent="0.25">
      <c r="P30" s="18">
        <v>29</v>
      </c>
      <c r="Q30" s="50">
        <v>114.384</v>
      </c>
      <c r="R30" s="50">
        <v>14.384</v>
      </c>
      <c r="S30" s="50">
        <v>16.052</v>
      </c>
      <c r="T30" s="46">
        <v>1.6679999999999999</v>
      </c>
    </row>
    <row r="31" spans="4:23" x14ac:dyDescent="0.25">
      <c r="P31" s="18">
        <v>30</v>
      </c>
      <c r="Q31" s="50">
        <v>149.0121</v>
      </c>
      <c r="R31" s="50">
        <v>49.012099999999997</v>
      </c>
      <c r="S31" s="50">
        <v>49.863</v>
      </c>
      <c r="T31" s="46">
        <v>0.85089999999999999</v>
      </c>
    </row>
    <row r="32" spans="4:23" x14ac:dyDescent="0.25">
      <c r="P32" s="18">
        <v>31</v>
      </c>
      <c r="Q32" s="50">
        <v>134.983</v>
      </c>
      <c r="R32" s="50">
        <v>34.982999999999997</v>
      </c>
      <c r="S32" s="50">
        <v>34.198700000000002</v>
      </c>
      <c r="T32" s="46">
        <v>-0.7843</v>
      </c>
    </row>
    <row r="33" spans="16:20" x14ac:dyDescent="0.25">
      <c r="P33" s="18">
        <v>32</v>
      </c>
      <c r="Q33" s="50">
        <v>98.646699999999996</v>
      </c>
      <c r="R33" s="50">
        <v>0</v>
      </c>
      <c r="S33" s="50">
        <v>2.3355999999999999</v>
      </c>
      <c r="T33" s="46">
        <v>2.3355999999999999</v>
      </c>
    </row>
    <row r="34" spans="16:20" x14ac:dyDescent="0.25">
      <c r="P34" s="18">
        <v>33</v>
      </c>
      <c r="Q34" s="50">
        <v>66.658000000000001</v>
      </c>
      <c r="R34" s="50">
        <v>0</v>
      </c>
      <c r="S34" s="50">
        <v>-0.21340000000000001</v>
      </c>
      <c r="T34" s="46">
        <v>-0.21340000000000001</v>
      </c>
    </row>
    <row r="35" spans="16:20" x14ac:dyDescent="0.25">
      <c r="P35" s="18">
        <v>34</v>
      </c>
      <c r="Q35" s="50">
        <v>202.93260000000001</v>
      </c>
      <c r="R35" s="50">
        <v>102.93259999999999</v>
      </c>
      <c r="S35" s="50">
        <v>102.58759999999999</v>
      </c>
      <c r="T35" s="46">
        <v>-0.34499999999999997</v>
      </c>
    </row>
    <row r="36" spans="16:20" x14ac:dyDescent="0.25">
      <c r="P36" s="18">
        <v>35</v>
      </c>
      <c r="Q36" s="50">
        <v>85.751000000000005</v>
      </c>
      <c r="R36" s="50">
        <v>0</v>
      </c>
      <c r="S36" s="50">
        <v>1.3942000000000001</v>
      </c>
      <c r="T36" s="46">
        <v>1.3942000000000001</v>
      </c>
    </row>
    <row r="37" spans="16:20" x14ac:dyDescent="0.25">
      <c r="P37" s="18">
        <v>36</v>
      </c>
      <c r="Q37" s="50">
        <v>116.27760000000001</v>
      </c>
      <c r="R37" s="50">
        <v>16.2776</v>
      </c>
      <c r="S37" s="50">
        <v>17.548400000000001</v>
      </c>
      <c r="T37" s="46">
        <v>1.2708999999999999</v>
      </c>
    </row>
    <row r="38" spans="16:20" x14ac:dyDescent="0.25">
      <c r="P38" s="18">
        <v>37</v>
      </c>
      <c r="Q38" s="50">
        <v>80.528300000000002</v>
      </c>
      <c r="R38" s="50">
        <v>0</v>
      </c>
      <c r="S38" s="50">
        <v>2.4733999999999998</v>
      </c>
      <c r="T38" s="46">
        <v>2.4733999999999998</v>
      </c>
    </row>
    <row r="39" spans="16:20" x14ac:dyDescent="0.25">
      <c r="P39" s="18">
        <v>38</v>
      </c>
      <c r="Q39" s="50">
        <v>75.726699999999994</v>
      </c>
      <c r="R39" s="50">
        <v>0</v>
      </c>
      <c r="S39" s="50">
        <v>-4.8110999999999997</v>
      </c>
      <c r="T39" s="46">
        <v>-4.8110999999999997</v>
      </c>
    </row>
    <row r="40" spans="16:20" x14ac:dyDescent="0.25">
      <c r="P40" s="18">
        <v>39</v>
      </c>
      <c r="Q40" s="50">
        <v>89.218599999999995</v>
      </c>
      <c r="R40" s="50">
        <v>0</v>
      </c>
      <c r="S40" s="50">
        <v>-3.0402999999999998</v>
      </c>
      <c r="T40" s="46">
        <v>-3.0402999999999998</v>
      </c>
    </row>
    <row r="41" spans="16:20" x14ac:dyDescent="0.25">
      <c r="P41" s="18">
        <v>40</v>
      </c>
      <c r="Q41" s="50">
        <v>69.918400000000005</v>
      </c>
      <c r="R41" s="50">
        <v>0</v>
      </c>
      <c r="S41" s="50">
        <v>-0.1167</v>
      </c>
      <c r="T41" s="46">
        <v>-0.1167</v>
      </c>
    </row>
    <row r="42" spans="16:20" x14ac:dyDescent="0.25">
      <c r="P42" s="18">
        <v>41</v>
      </c>
      <c r="Q42" s="50">
        <v>138.5453</v>
      </c>
      <c r="R42" s="50">
        <v>38.545299999999997</v>
      </c>
      <c r="S42" s="50">
        <v>39.752299999999998</v>
      </c>
      <c r="T42" s="46">
        <v>1.2070000000000001</v>
      </c>
    </row>
    <row r="43" spans="16:20" x14ac:dyDescent="0.25">
      <c r="P43" s="18">
        <v>42</v>
      </c>
      <c r="Q43" s="50">
        <v>66.743200000000002</v>
      </c>
      <c r="R43" s="50">
        <v>0</v>
      </c>
      <c r="S43" s="50">
        <v>0.54069999999999996</v>
      </c>
      <c r="T43" s="46">
        <v>0.54069999999999996</v>
      </c>
    </row>
    <row r="44" spans="16:20" x14ac:dyDescent="0.25">
      <c r="P44" s="18">
        <v>43</v>
      </c>
      <c r="Q44" s="50">
        <v>76.639099999999999</v>
      </c>
      <c r="R44" s="50">
        <v>0</v>
      </c>
      <c r="S44" s="50">
        <v>0.59970000000000001</v>
      </c>
      <c r="T44" s="46">
        <v>0.59970000000000001</v>
      </c>
    </row>
    <row r="45" spans="16:20" x14ac:dyDescent="0.25">
      <c r="P45" s="18">
        <v>44</v>
      </c>
      <c r="Q45" s="50">
        <v>129.7671</v>
      </c>
      <c r="R45" s="50">
        <v>29.767099999999999</v>
      </c>
      <c r="S45" s="50">
        <v>30.1508</v>
      </c>
      <c r="T45" s="46">
        <v>0.3836</v>
      </c>
    </row>
    <row r="46" spans="16:20" x14ac:dyDescent="0.25">
      <c r="P46" s="18">
        <v>45</v>
      </c>
      <c r="Q46" s="50">
        <v>80.173500000000004</v>
      </c>
      <c r="R46" s="50">
        <v>0</v>
      </c>
      <c r="S46" s="50">
        <v>0.95730000000000004</v>
      </c>
      <c r="T46" s="46">
        <v>0.95730000000000004</v>
      </c>
    </row>
    <row r="47" spans="16:20" x14ac:dyDescent="0.25">
      <c r="P47" s="18">
        <v>46</v>
      </c>
      <c r="Q47" s="50">
        <v>95.573800000000006</v>
      </c>
      <c r="R47" s="50">
        <v>0</v>
      </c>
      <c r="S47" s="50">
        <v>-0.12429999999999999</v>
      </c>
      <c r="T47" s="46">
        <v>-0.12429999999999999</v>
      </c>
    </row>
    <row r="48" spans="16:20" x14ac:dyDescent="0.25">
      <c r="P48" s="18">
        <v>47</v>
      </c>
      <c r="Q48" s="50">
        <v>74.484499999999997</v>
      </c>
      <c r="R48" s="50">
        <v>0</v>
      </c>
      <c r="S48" s="50">
        <v>-1.3381000000000001</v>
      </c>
      <c r="T48" s="46">
        <v>-1.3381000000000001</v>
      </c>
    </row>
    <row r="49" spans="16:20" x14ac:dyDescent="0.25">
      <c r="P49" s="18">
        <v>48</v>
      </c>
      <c r="Q49" s="50">
        <v>73.590100000000007</v>
      </c>
      <c r="R49" s="50">
        <v>0</v>
      </c>
      <c r="S49" s="50">
        <v>-1.5657000000000001</v>
      </c>
      <c r="T49" s="46">
        <v>-1.5657000000000001</v>
      </c>
    </row>
    <row r="50" spans="16:20" x14ac:dyDescent="0.25">
      <c r="P50" s="18">
        <v>49</v>
      </c>
      <c r="Q50" s="50">
        <v>79.963200000000001</v>
      </c>
      <c r="R50" s="50">
        <v>0</v>
      </c>
      <c r="S50" s="50">
        <v>-0.76729999999999998</v>
      </c>
      <c r="T50" s="46">
        <v>-0.76729999999999998</v>
      </c>
    </row>
    <row r="51" spans="16:20" x14ac:dyDescent="0.25">
      <c r="P51" s="18">
        <v>50</v>
      </c>
      <c r="Q51" s="50">
        <v>84.153300000000002</v>
      </c>
      <c r="R51" s="50">
        <v>0</v>
      </c>
      <c r="S51" s="50">
        <v>-2.6135000000000002</v>
      </c>
      <c r="T51" s="46">
        <v>-2.6135000000000002</v>
      </c>
    </row>
    <row r="52" spans="16:20" x14ac:dyDescent="0.25">
      <c r="P52" s="18">
        <v>51</v>
      </c>
      <c r="Q52" s="50">
        <v>100.66840000000001</v>
      </c>
      <c r="R52" s="50">
        <v>0.66839999999999999</v>
      </c>
      <c r="S52" s="50">
        <v>1.3113999999999999</v>
      </c>
      <c r="T52" s="46">
        <v>0.64300000000000002</v>
      </c>
    </row>
    <row r="53" spans="16:20" x14ac:dyDescent="0.25">
      <c r="P53" s="18">
        <v>52</v>
      </c>
      <c r="Q53" s="50">
        <v>184.38040000000001</v>
      </c>
      <c r="R53" s="50">
        <v>84.380399999999995</v>
      </c>
      <c r="S53" s="50">
        <v>84.613299999999995</v>
      </c>
      <c r="T53" s="46">
        <v>0.2329</v>
      </c>
    </row>
    <row r="54" spans="16:20" x14ac:dyDescent="0.25">
      <c r="P54" s="18">
        <v>53</v>
      </c>
      <c r="Q54" s="50">
        <v>121.4898</v>
      </c>
      <c r="R54" s="50">
        <v>21.489799999999999</v>
      </c>
      <c r="S54" s="50">
        <v>20.9556</v>
      </c>
      <c r="T54" s="46">
        <v>-0.53420000000000001</v>
      </c>
    </row>
    <row r="55" spans="16:20" x14ac:dyDescent="0.25">
      <c r="P55" s="18">
        <v>54</v>
      </c>
      <c r="Q55" s="50">
        <v>196.56829999999999</v>
      </c>
      <c r="R55" s="50">
        <v>96.568299999999994</v>
      </c>
      <c r="S55" s="50">
        <v>92.648899999999998</v>
      </c>
      <c r="T55" s="46">
        <v>-3.9194</v>
      </c>
    </row>
    <row r="56" spans="16:20" x14ac:dyDescent="0.25">
      <c r="P56" s="18">
        <v>55</v>
      </c>
      <c r="Q56" s="50">
        <v>118.4062</v>
      </c>
      <c r="R56" s="50">
        <v>18.406199999999998</v>
      </c>
      <c r="S56" s="50">
        <v>20.7971</v>
      </c>
      <c r="T56" s="46">
        <v>2.3908999999999998</v>
      </c>
    </row>
    <row r="57" spans="16:20" x14ac:dyDescent="0.25">
      <c r="P57" s="18">
        <v>56</v>
      </c>
      <c r="Q57" s="50">
        <v>86.978999999999999</v>
      </c>
      <c r="R57" s="50">
        <v>0</v>
      </c>
      <c r="S57" s="50">
        <v>1.0686</v>
      </c>
      <c r="T57" s="46">
        <v>1.0686</v>
      </c>
    </row>
    <row r="58" spans="16:20" x14ac:dyDescent="0.25">
      <c r="P58" s="18">
        <v>57</v>
      </c>
      <c r="Q58" s="50">
        <v>124.6451</v>
      </c>
      <c r="R58" s="50">
        <v>24.645099999999999</v>
      </c>
      <c r="S58" s="50">
        <v>24.788499999999999</v>
      </c>
      <c r="T58" s="46">
        <v>0.1434</v>
      </c>
    </row>
    <row r="59" spans="16:20" x14ac:dyDescent="0.25">
      <c r="P59" s="18">
        <v>58</v>
      </c>
      <c r="Q59" s="50">
        <v>158.04220000000001</v>
      </c>
      <c r="R59" s="50">
        <v>58.042200000000001</v>
      </c>
      <c r="S59" s="50">
        <v>57.625900000000001</v>
      </c>
      <c r="T59" s="46">
        <v>-0.4163</v>
      </c>
    </row>
    <row r="60" spans="16:20" x14ac:dyDescent="0.25">
      <c r="P60" s="18">
        <v>59</v>
      </c>
      <c r="Q60" s="50">
        <v>59.467399999999998</v>
      </c>
      <c r="R60" s="50">
        <v>0</v>
      </c>
      <c r="S60" s="50">
        <v>-0.77900000000000003</v>
      </c>
      <c r="T60" s="46">
        <v>-0.77900000000000003</v>
      </c>
    </row>
    <row r="61" spans="16:20" x14ac:dyDescent="0.25">
      <c r="P61" s="18">
        <v>60</v>
      </c>
      <c r="Q61" s="50">
        <v>73.816900000000004</v>
      </c>
      <c r="R61" s="50">
        <v>0</v>
      </c>
      <c r="S61" s="50">
        <v>2.0044</v>
      </c>
      <c r="T61" s="46">
        <v>2.0044</v>
      </c>
    </row>
    <row r="62" spans="16:20" x14ac:dyDescent="0.25">
      <c r="P62" s="18">
        <v>61</v>
      </c>
      <c r="Q62" s="50">
        <v>127.03489999999999</v>
      </c>
      <c r="R62" s="50">
        <v>27.0349</v>
      </c>
      <c r="S62" s="50">
        <v>29.736599999999999</v>
      </c>
      <c r="T62" s="46">
        <v>2.7017000000000002</v>
      </c>
    </row>
    <row r="63" spans="16:20" x14ac:dyDescent="0.25">
      <c r="P63" s="18">
        <v>62</v>
      </c>
      <c r="Q63" s="50">
        <v>79.055300000000003</v>
      </c>
      <c r="R63" s="50">
        <v>0</v>
      </c>
      <c r="S63" s="50">
        <v>-0.60409999999999997</v>
      </c>
      <c r="T63" s="46">
        <v>-0.60409999999999997</v>
      </c>
    </row>
    <row r="64" spans="16:20" x14ac:dyDescent="0.25">
      <c r="P64" s="18">
        <v>63</v>
      </c>
      <c r="Q64" s="50">
        <v>138.40469999999999</v>
      </c>
      <c r="R64" s="50">
        <v>38.404699999999998</v>
      </c>
      <c r="S64" s="50">
        <v>37.046399999999998</v>
      </c>
      <c r="T64" s="46">
        <v>-1.3583000000000001</v>
      </c>
    </row>
    <row r="65" spans="16:20" x14ac:dyDescent="0.25">
      <c r="P65" s="18">
        <v>64</v>
      </c>
      <c r="Q65" s="50">
        <v>167.6011</v>
      </c>
      <c r="R65" s="50">
        <v>67.601100000000002</v>
      </c>
      <c r="S65" s="50">
        <v>64.613699999999994</v>
      </c>
      <c r="T65" s="46">
        <v>-2.9874000000000001</v>
      </c>
    </row>
    <row r="66" spans="16:20" x14ac:dyDescent="0.25">
      <c r="P66" s="18">
        <v>65</v>
      </c>
      <c r="Q66" s="50">
        <v>112.1292</v>
      </c>
      <c r="R66" s="50">
        <v>12.129200000000001</v>
      </c>
      <c r="S66" s="50">
        <v>14.8812</v>
      </c>
      <c r="T66" s="46">
        <v>2.7519</v>
      </c>
    </row>
    <row r="67" spans="16:20" x14ac:dyDescent="0.25">
      <c r="P67" s="18">
        <v>66</v>
      </c>
      <c r="Q67" s="50">
        <v>137.47640000000001</v>
      </c>
      <c r="R67" s="50">
        <v>37.476399999999998</v>
      </c>
      <c r="S67" s="50">
        <v>37.6907</v>
      </c>
      <c r="T67" s="46">
        <v>0.21429999999999999</v>
      </c>
    </row>
    <row r="68" spans="16:20" x14ac:dyDescent="0.25">
      <c r="P68" s="18">
        <v>67</v>
      </c>
      <c r="Q68" s="50">
        <v>118.908</v>
      </c>
      <c r="R68" s="50">
        <v>18.908000000000001</v>
      </c>
      <c r="S68" s="50">
        <v>20.911899999999999</v>
      </c>
      <c r="T68" s="46">
        <v>2.0038999999999998</v>
      </c>
    </row>
    <row r="69" spans="16:20" x14ac:dyDescent="0.25">
      <c r="P69" s="18">
        <v>68</v>
      </c>
      <c r="Q69" s="50">
        <v>98.614999999999995</v>
      </c>
      <c r="R69" s="50">
        <v>0</v>
      </c>
      <c r="S69" s="50">
        <v>5.7374999999999998</v>
      </c>
      <c r="T69" s="46">
        <v>5.7374999999999998</v>
      </c>
    </row>
    <row r="70" spans="16:20" x14ac:dyDescent="0.25">
      <c r="P70" s="18">
        <v>69</v>
      </c>
      <c r="Q70" s="50">
        <v>120.8374</v>
      </c>
      <c r="R70" s="50">
        <v>20.837399999999999</v>
      </c>
      <c r="S70" s="50">
        <v>19.157499999999999</v>
      </c>
      <c r="T70" s="46">
        <v>-1.6798999999999999</v>
      </c>
    </row>
    <row r="71" spans="16:20" x14ac:dyDescent="0.25">
      <c r="P71" s="18">
        <v>70</v>
      </c>
      <c r="Q71" s="50">
        <v>104.98820000000001</v>
      </c>
      <c r="R71" s="50">
        <v>4.9882</v>
      </c>
      <c r="S71" s="50">
        <v>5.6893000000000002</v>
      </c>
      <c r="T71" s="46">
        <v>0.70109999999999995</v>
      </c>
    </row>
    <row r="72" spans="16:20" x14ac:dyDescent="0.25">
      <c r="P72" s="18">
        <v>71</v>
      </c>
      <c r="Q72" s="50">
        <v>77.662300000000002</v>
      </c>
      <c r="R72" s="50">
        <v>0</v>
      </c>
      <c r="S72" s="50">
        <v>0.17829999999999999</v>
      </c>
      <c r="T72" s="46">
        <v>0.17829999999999999</v>
      </c>
    </row>
    <row r="73" spans="16:20" x14ac:dyDescent="0.25">
      <c r="P73" s="18">
        <v>72</v>
      </c>
      <c r="Q73" s="50">
        <v>116.748</v>
      </c>
      <c r="R73" s="50">
        <v>16.748000000000001</v>
      </c>
      <c r="S73" s="50">
        <v>18.447700000000001</v>
      </c>
      <c r="T73" s="46">
        <v>1.6997</v>
      </c>
    </row>
    <row r="74" spans="16:20" x14ac:dyDescent="0.25">
      <c r="P74" s="18">
        <v>73</v>
      </c>
      <c r="Q74" s="50">
        <v>143.71420000000001</v>
      </c>
      <c r="R74" s="50">
        <v>43.714199999999998</v>
      </c>
      <c r="S74" s="50">
        <v>45.236699999999999</v>
      </c>
      <c r="T74" s="46">
        <v>1.5225</v>
      </c>
    </row>
    <row r="75" spans="16:20" x14ac:dyDescent="0.25">
      <c r="P75" s="18">
        <v>74</v>
      </c>
      <c r="Q75" s="50">
        <v>88.054299999999998</v>
      </c>
      <c r="R75" s="50">
        <v>0</v>
      </c>
      <c r="S75" s="50">
        <v>-3.5999999999999997E-2</v>
      </c>
      <c r="T75" s="46">
        <v>-3.5999999999999997E-2</v>
      </c>
    </row>
    <row r="76" spans="16:20" x14ac:dyDescent="0.25">
      <c r="P76" s="18">
        <v>75</v>
      </c>
      <c r="Q76" s="50">
        <v>103.9628</v>
      </c>
      <c r="R76" s="50">
        <v>3.9628000000000001</v>
      </c>
      <c r="S76" s="50">
        <v>9.6742000000000008</v>
      </c>
      <c r="T76" s="46">
        <v>5.7114000000000003</v>
      </c>
    </row>
    <row r="77" spans="16:20" x14ac:dyDescent="0.25">
      <c r="P77" s="18">
        <v>76</v>
      </c>
      <c r="Q77" s="50">
        <v>130.57830000000001</v>
      </c>
      <c r="R77" s="50">
        <v>30.578299999999999</v>
      </c>
      <c r="S77" s="50">
        <v>27.5519</v>
      </c>
      <c r="T77" s="46">
        <v>-3.0264000000000002</v>
      </c>
    </row>
    <row r="78" spans="16:20" x14ac:dyDescent="0.25">
      <c r="P78" s="18">
        <v>77</v>
      </c>
      <c r="Q78" s="50">
        <v>58.470100000000002</v>
      </c>
      <c r="R78" s="50">
        <v>0</v>
      </c>
      <c r="S78" s="50">
        <v>0.4456</v>
      </c>
      <c r="T78" s="46">
        <v>0.4456</v>
      </c>
    </row>
    <row r="79" spans="16:20" x14ac:dyDescent="0.25">
      <c r="P79" s="18">
        <v>78</v>
      </c>
      <c r="Q79" s="50">
        <v>125.50530000000001</v>
      </c>
      <c r="R79" s="50">
        <v>25.505299999999998</v>
      </c>
      <c r="S79" s="50">
        <v>28.340599999999998</v>
      </c>
      <c r="T79" s="46">
        <v>2.8353000000000002</v>
      </c>
    </row>
    <row r="80" spans="16:20" x14ac:dyDescent="0.25">
      <c r="P80" s="18">
        <v>79</v>
      </c>
      <c r="Q80" s="50">
        <v>182.75190000000001</v>
      </c>
      <c r="R80" s="50">
        <v>82.751900000000006</v>
      </c>
      <c r="S80" s="50">
        <v>83.311099999999996</v>
      </c>
      <c r="T80" s="46">
        <v>0.55920000000000003</v>
      </c>
    </row>
    <row r="81" spans="16:20" x14ac:dyDescent="0.25">
      <c r="P81" s="18">
        <v>80</v>
      </c>
      <c r="Q81" s="50">
        <v>122.63079999999999</v>
      </c>
      <c r="R81" s="50">
        <v>22.630800000000001</v>
      </c>
      <c r="S81" s="50">
        <v>22.148599999999998</v>
      </c>
      <c r="T81" s="46">
        <v>-0.48220000000000002</v>
      </c>
    </row>
    <row r="82" spans="16:20" x14ac:dyDescent="0.25">
      <c r="P82" s="18">
        <v>81</v>
      </c>
      <c r="Q82" s="50">
        <v>96.363500000000002</v>
      </c>
      <c r="R82" s="50">
        <v>0</v>
      </c>
      <c r="S82" s="50">
        <v>-0.83089999999999997</v>
      </c>
      <c r="T82" s="46">
        <v>-0.83089999999999997</v>
      </c>
    </row>
    <row r="83" spans="16:20" x14ac:dyDescent="0.25">
      <c r="P83" s="18">
        <v>82</v>
      </c>
      <c r="Q83" s="50">
        <v>98.425399999999996</v>
      </c>
      <c r="R83" s="50">
        <v>0</v>
      </c>
      <c r="S83" s="50">
        <v>2.1844000000000001</v>
      </c>
      <c r="T83" s="46">
        <v>2.1844000000000001</v>
      </c>
    </row>
    <row r="84" spans="16:20" x14ac:dyDescent="0.25">
      <c r="P84" s="18">
        <v>83</v>
      </c>
      <c r="Q84" s="50">
        <v>105.5986</v>
      </c>
      <c r="R84" s="50">
        <v>5.5986000000000002</v>
      </c>
      <c r="S84" s="50">
        <v>8.9301999999999992</v>
      </c>
      <c r="T84" s="46">
        <v>3.3315999999999999</v>
      </c>
    </row>
    <row r="85" spans="16:20" x14ac:dyDescent="0.25">
      <c r="P85" s="18">
        <v>84</v>
      </c>
      <c r="Q85" s="50">
        <v>100.3331</v>
      </c>
      <c r="R85" s="50">
        <v>0.33310000000000001</v>
      </c>
      <c r="S85" s="50">
        <v>6.8232999999999997</v>
      </c>
      <c r="T85" s="46">
        <v>6.4901999999999997</v>
      </c>
    </row>
    <row r="86" spans="16:20" x14ac:dyDescent="0.25">
      <c r="P86" s="18">
        <v>85</v>
      </c>
      <c r="Q86" s="50">
        <v>109.33</v>
      </c>
      <c r="R86" s="50">
        <v>9.33</v>
      </c>
      <c r="S86" s="50">
        <v>9.3513000000000002</v>
      </c>
      <c r="T86" s="46">
        <v>2.1299999999999999E-2</v>
      </c>
    </row>
    <row r="87" spans="16:20" x14ac:dyDescent="0.25">
      <c r="P87" s="18">
        <v>86</v>
      </c>
      <c r="Q87" s="50">
        <v>80.024100000000004</v>
      </c>
      <c r="R87" s="50">
        <v>0</v>
      </c>
      <c r="S87" s="50">
        <v>-1.7079</v>
      </c>
      <c r="T87" s="46">
        <v>-1.7079</v>
      </c>
    </row>
    <row r="88" spans="16:20" x14ac:dyDescent="0.25">
      <c r="P88" s="18">
        <v>87</v>
      </c>
      <c r="Q88" s="50">
        <v>72.604900000000001</v>
      </c>
      <c r="R88" s="50">
        <v>0</v>
      </c>
      <c r="S88" s="50">
        <v>-0.95299999999999996</v>
      </c>
      <c r="T88" s="46">
        <v>-0.95299999999999996</v>
      </c>
    </row>
    <row r="89" spans="16:20" x14ac:dyDescent="0.25">
      <c r="P89" s="18">
        <v>88</v>
      </c>
      <c r="Q89" s="50">
        <v>115.71599999999999</v>
      </c>
      <c r="R89" s="50">
        <v>15.715999999999999</v>
      </c>
      <c r="S89" s="50">
        <v>12.6898</v>
      </c>
      <c r="T89" s="46">
        <v>-3.0261999999999998</v>
      </c>
    </row>
    <row r="90" spans="16:20" x14ac:dyDescent="0.25">
      <c r="P90" s="18">
        <v>89</v>
      </c>
      <c r="Q90" s="50">
        <v>129.19540000000001</v>
      </c>
      <c r="R90" s="50">
        <v>29.195399999999999</v>
      </c>
      <c r="S90" s="50">
        <v>28.7105</v>
      </c>
      <c r="T90" s="46">
        <v>-0.4849</v>
      </c>
    </row>
    <row r="91" spans="16:20" x14ac:dyDescent="0.25">
      <c r="P91" s="18">
        <v>90</v>
      </c>
      <c r="Q91" s="50">
        <v>87.167599999999993</v>
      </c>
      <c r="R91" s="50">
        <v>0</v>
      </c>
      <c r="S91" s="50">
        <v>2.2065999999999999</v>
      </c>
      <c r="T91" s="46">
        <v>2.2065999999999999</v>
      </c>
    </row>
    <row r="92" spans="16:20" x14ac:dyDescent="0.25">
      <c r="P92" s="18">
        <v>91</v>
      </c>
      <c r="Q92" s="50">
        <v>83.626800000000003</v>
      </c>
      <c r="R92" s="50">
        <v>0</v>
      </c>
      <c r="S92" s="50">
        <v>0.97870000000000001</v>
      </c>
      <c r="T92" s="46">
        <v>0.97870000000000001</v>
      </c>
    </row>
    <row r="93" spans="16:20" x14ac:dyDescent="0.25">
      <c r="P93" s="18">
        <v>92</v>
      </c>
      <c r="Q93" s="50">
        <v>123.2749</v>
      </c>
      <c r="R93" s="50">
        <v>23.274899999999999</v>
      </c>
      <c r="S93" s="50">
        <v>19.986000000000001</v>
      </c>
      <c r="T93" s="46">
        <v>-3.2888999999999999</v>
      </c>
    </row>
    <row r="94" spans="16:20" x14ac:dyDescent="0.25">
      <c r="P94" s="18">
        <v>93</v>
      </c>
      <c r="Q94" s="50">
        <v>135.46719999999999</v>
      </c>
      <c r="R94" s="50">
        <v>35.467199999999998</v>
      </c>
      <c r="S94" s="50">
        <v>36.0822</v>
      </c>
      <c r="T94" s="46">
        <v>0.61499999999999999</v>
      </c>
    </row>
    <row r="95" spans="16:20" x14ac:dyDescent="0.25">
      <c r="P95" s="18">
        <v>94</v>
      </c>
      <c r="Q95" s="50">
        <v>111.5441</v>
      </c>
      <c r="R95" s="50">
        <v>11.5441</v>
      </c>
      <c r="S95" s="50">
        <v>11.299099999999999</v>
      </c>
      <c r="T95" s="46">
        <v>-0.245</v>
      </c>
    </row>
    <row r="96" spans="16:20" x14ac:dyDescent="0.25">
      <c r="P96" s="18">
        <v>95</v>
      </c>
      <c r="Q96" s="50">
        <v>97.346000000000004</v>
      </c>
      <c r="R96" s="50">
        <v>0</v>
      </c>
      <c r="S96" s="50">
        <v>-0.18440000000000001</v>
      </c>
      <c r="T96" s="46">
        <v>-0.18440000000000001</v>
      </c>
    </row>
    <row r="97" spans="16:20" x14ac:dyDescent="0.25">
      <c r="P97" s="18">
        <v>96</v>
      </c>
      <c r="Q97" s="50">
        <v>80.496899999999997</v>
      </c>
      <c r="R97" s="50">
        <v>0</v>
      </c>
      <c r="S97" s="50">
        <v>-9.2499999999999999E-2</v>
      </c>
      <c r="T97" s="46">
        <v>-9.2499999999999999E-2</v>
      </c>
    </row>
    <row r="98" spans="16:20" x14ac:dyDescent="0.25">
      <c r="P98" s="18">
        <v>97</v>
      </c>
      <c r="Q98" s="50">
        <v>124.1759</v>
      </c>
      <c r="R98" s="50">
        <v>24.175999999999998</v>
      </c>
      <c r="S98" s="50">
        <v>21.741</v>
      </c>
      <c r="T98" s="46">
        <v>-2.4348999999999998</v>
      </c>
    </row>
    <row r="99" spans="16:20" x14ac:dyDescent="0.25">
      <c r="P99" s="18">
        <v>98</v>
      </c>
      <c r="Q99" s="50">
        <v>61.837899999999998</v>
      </c>
      <c r="R99" s="50">
        <v>0</v>
      </c>
      <c r="S99" s="50">
        <v>-1.3120000000000001</v>
      </c>
      <c r="T99" s="46">
        <v>-1.3120000000000001</v>
      </c>
    </row>
    <row r="100" spans="16:20" x14ac:dyDescent="0.25">
      <c r="P100" s="18">
        <v>99</v>
      </c>
      <c r="Q100" s="50">
        <v>51.597700000000003</v>
      </c>
      <c r="R100" s="50">
        <v>0</v>
      </c>
      <c r="S100" s="50">
        <v>1.5862000000000001</v>
      </c>
      <c r="T100" s="46">
        <v>1.5862000000000001</v>
      </c>
    </row>
    <row r="101" spans="16:20" x14ac:dyDescent="0.25">
      <c r="P101" s="18">
        <v>100</v>
      </c>
      <c r="Q101" s="50">
        <v>85.471500000000006</v>
      </c>
      <c r="R101" s="50">
        <v>0</v>
      </c>
      <c r="S101" s="50">
        <v>2.4742000000000002</v>
      </c>
      <c r="T101" s="46">
        <v>2.4742000000000002</v>
      </c>
    </row>
    <row r="102" spans="16:20" x14ac:dyDescent="0.25">
      <c r="P102" s="18">
        <v>101</v>
      </c>
      <c r="Q102" s="50">
        <v>89.339200000000005</v>
      </c>
      <c r="R102" s="50">
        <v>0</v>
      </c>
      <c r="S102" s="50">
        <v>0.35859999999999997</v>
      </c>
      <c r="T102" s="46">
        <v>0.35859999999999997</v>
      </c>
    </row>
    <row r="103" spans="16:20" x14ac:dyDescent="0.25">
      <c r="P103" s="18">
        <v>102</v>
      </c>
      <c r="Q103" s="50">
        <v>193.57560000000001</v>
      </c>
      <c r="R103" s="50">
        <v>93.575599999999994</v>
      </c>
      <c r="S103" s="50">
        <v>93.911799999999999</v>
      </c>
      <c r="T103" s="46">
        <v>0.3362</v>
      </c>
    </row>
    <row r="104" spans="16:20" x14ac:dyDescent="0.25">
      <c r="P104" s="18">
        <v>103</v>
      </c>
      <c r="Q104" s="50">
        <v>125.0626</v>
      </c>
      <c r="R104" s="50">
        <v>25.0626</v>
      </c>
      <c r="S104" s="50">
        <v>25.133299999999998</v>
      </c>
      <c r="T104" s="46">
        <v>7.0699999999999999E-2</v>
      </c>
    </row>
    <row r="105" spans="16:20" x14ac:dyDescent="0.25">
      <c r="P105" s="18">
        <v>104</v>
      </c>
      <c r="Q105" s="50">
        <v>124.9054</v>
      </c>
      <c r="R105" s="50">
        <v>24.9054</v>
      </c>
      <c r="S105" s="50">
        <v>25.903400000000001</v>
      </c>
      <c r="T105" s="46">
        <v>0.998</v>
      </c>
    </row>
    <row r="106" spans="16:20" x14ac:dyDescent="0.25">
      <c r="P106" s="18">
        <v>105</v>
      </c>
      <c r="Q106" s="50">
        <v>123.5891</v>
      </c>
      <c r="R106" s="50">
        <v>23.589099999999998</v>
      </c>
      <c r="S106" s="50">
        <v>22.459900000000001</v>
      </c>
      <c r="T106" s="46">
        <v>-1.1293</v>
      </c>
    </row>
    <row r="107" spans="16:20" x14ac:dyDescent="0.25">
      <c r="P107" s="18">
        <v>106</v>
      </c>
      <c r="Q107" s="50">
        <v>99.206199999999995</v>
      </c>
      <c r="R107" s="50">
        <v>0</v>
      </c>
      <c r="S107" s="50">
        <v>7.1844999999999999</v>
      </c>
      <c r="T107" s="46">
        <v>7.1844999999999999</v>
      </c>
    </row>
    <row r="108" spans="16:20" x14ac:dyDescent="0.25">
      <c r="P108" s="18">
        <v>107</v>
      </c>
      <c r="Q108" s="50">
        <v>67.836399999999998</v>
      </c>
      <c r="R108" s="50">
        <v>0</v>
      </c>
      <c r="S108" s="50">
        <v>-0.73780000000000001</v>
      </c>
      <c r="T108" s="46">
        <v>-0.73780000000000001</v>
      </c>
    </row>
    <row r="109" spans="16:20" x14ac:dyDescent="0.25">
      <c r="P109" s="18">
        <v>108</v>
      </c>
      <c r="Q109" s="50">
        <v>45.508600000000001</v>
      </c>
      <c r="R109" s="50">
        <v>0</v>
      </c>
      <c r="S109" s="50">
        <v>-0.92230000000000001</v>
      </c>
      <c r="T109" s="46">
        <v>-0.92230000000000001</v>
      </c>
    </row>
    <row r="110" spans="16:20" x14ac:dyDescent="0.25">
      <c r="P110" s="18">
        <v>109</v>
      </c>
      <c r="Q110" s="50">
        <v>55.467500000000001</v>
      </c>
      <c r="R110" s="50">
        <v>0</v>
      </c>
      <c r="S110" s="50">
        <v>1.9900000000000001E-2</v>
      </c>
      <c r="T110" s="46">
        <v>1.9900000000000001E-2</v>
      </c>
    </row>
    <row r="111" spans="16:20" x14ac:dyDescent="0.25">
      <c r="P111" s="18">
        <v>110</v>
      </c>
      <c r="Q111" s="50">
        <v>208.75479999999999</v>
      </c>
      <c r="R111" s="50">
        <v>108.7548</v>
      </c>
      <c r="S111" s="50">
        <v>108.7516</v>
      </c>
      <c r="T111" s="46">
        <v>-3.2000000000000002E-3</v>
      </c>
    </row>
    <row r="112" spans="16:20" x14ac:dyDescent="0.25">
      <c r="P112" s="18">
        <v>111</v>
      </c>
      <c r="Q112" s="50">
        <v>135.23769999999999</v>
      </c>
      <c r="R112" s="50">
        <v>35.237699999999997</v>
      </c>
      <c r="S112" s="50">
        <v>33.865900000000003</v>
      </c>
      <c r="T112" s="46">
        <v>-1.3717999999999999</v>
      </c>
    </row>
    <row r="113" spans="16:20" x14ac:dyDescent="0.25">
      <c r="P113" s="18">
        <v>112</v>
      </c>
      <c r="Q113" s="50">
        <v>110.2722</v>
      </c>
      <c r="R113" s="50">
        <v>10.2722</v>
      </c>
      <c r="S113" s="50">
        <v>12.5242</v>
      </c>
      <c r="T113" s="46">
        <v>2.2519999999999998</v>
      </c>
    </row>
    <row r="114" spans="16:20" x14ac:dyDescent="0.25">
      <c r="P114" s="18">
        <v>113</v>
      </c>
      <c r="Q114" s="50">
        <v>93.218800000000002</v>
      </c>
      <c r="R114" s="50">
        <v>0</v>
      </c>
      <c r="S114" s="50">
        <v>0.57330000000000003</v>
      </c>
      <c r="T114" s="46">
        <v>0.57330000000000003</v>
      </c>
    </row>
    <row r="115" spans="16:20" x14ac:dyDescent="0.25">
      <c r="P115" s="18">
        <v>114</v>
      </c>
      <c r="Q115" s="50">
        <v>82.784000000000006</v>
      </c>
      <c r="R115" s="50">
        <v>0</v>
      </c>
      <c r="S115" s="50">
        <v>-0.40389999999999998</v>
      </c>
      <c r="T115" s="46">
        <v>-0.40389999999999998</v>
      </c>
    </row>
    <row r="116" spans="16:20" x14ac:dyDescent="0.25">
      <c r="P116" s="18">
        <v>115</v>
      </c>
      <c r="Q116" s="50">
        <v>105.5449</v>
      </c>
      <c r="R116" s="50">
        <v>5.5449000000000002</v>
      </c>
      <c r="S116" s="50">
        <v>9.6812000000000005</v>
      </c>
      <c r="T116" s="46">
        <v>4.1364000000000001</v>
      </c>
    </row>
    <row r="117" spans="16:20" x14ac:dyDescent="0.25">
      <c r="P117" s="18">
        <v>116</v>
      </c>
      <c r="Q117" s="50">
        <v>94.881299999999996</v>
      </c>
      <c r="R117" s="50">
        <v>0</v>
      </c>
      <c r="S117" s="50">
        <v>3.3658000000000001</v>
      </c>
      <c r="T117" s="46">
        <v>3.3658000000000001</v>
      </c>
    </row>
    <row r="118" spans="16:20" x14ac:dyDescent="0.25">
      <c r="P118" s="18">
        <v>117</v>
      </c>
      <c r="Q118" s="50">
        <v>61.726999999999997</v>
      </c>
      <c r="R118" s="50">
        <v>0</v>
      </c>
      <c r="S118" s="50">
        <v>-5.6680999999999999</v>
      </c>
      <c r="T118" s="46">
        <v>-5.6680999999999999</v>
      </c>
    </row>
    <row r="119" spans="16:20" x14ac:dyDescent="0.25">
      <c r="P119" s="18">
        <v>118</v>
      </c>
      <c r="Q119" s="50">
        <v>96.268699999999995</v>
      </c>
      <c r="R119" s="50">
        <v>0</v>
      </c>
      <c r="S119" s="50">
        <v>-0.56089999999999995</v>
      </c>
      <c r="T119" s="46">
        <v>-0.56089999999999995</v>
      </c>
    </row>
    <row r="120" spans="16:20" x14ac:dyDescent="0.25">
      <c r="P120" s="18">
        <v>119</v>
      </c>
      <c r="Q120" s="50">
        <v>100.33240000000001</v>
      </c>
      <c r="R120" s="50">
        <v>0.33239999999999997</v>
      </c>
      <c r="S120" s="50">
        <v>4.9692999999999996</v>
      </c>
      <c r="T120" s="46">
        <v>4.6368999999999998</v>
      </c>
    </row>
    <row r="121" spans="16:20" x14ac:dyDescent="0.25">
      <c r="P121" s="18">
        <v>120</v>
      </c>
      <c r="Q121" s="50">
        <v>71.248699999999999</v>
      </c>
      <c r="R121" s="50">
        <v>0</v>
      </c>
      <c r="S121" s="50">
        <v>0.38879999999999998</v>
      </c>
      <c r="T121" s="46">
        <v>0.38879999999999998</v>
      </c>
    </row>
    <row r="122" spans="16:20" x14ac:dyDescent="0.25">
      <c r="P122" s="18">
        <v>121</v>
      </c>
      <c r="Q122" s="50">
        <v>85.296700000000001</v>
      </c>
      <c r="R122" s="50">
        <v>0</v>
      </c>
      <c r="S122" s="50">
        <v>-2.5095999999999998</v>
      </c>
      <c r="T122" s="46">
        <v>-2.5095999999999998</v>
      </c>
    </row>
    <row r="123" spans="16:20" x14ac:dyDescent="0.25">
      <c r="P123" s="18">
        <v>122</v>
      </c>
      <c r="Q123" s="50">
        <v>137.01300000000001</v>
      </c>
      <c r="R123" s="50">
        <v>37.012999999999998</v>
      </c>
      <c r="S123" s="50">
        <v>37.234099999999998</v>
      </c>
      <c r="T123" s="46">
        <v>0.22109999999999999</v>
      </c>
    </row>
    <row r="124" spans="16:20" x14ac:dyDescent="0.25">
      <c r="P124" s="18">
        <v>123</v>
      </c>
      <c r="Q124" s="50">
        <v>113.4096</v>
      </c>
      <c r="R124" s="50">
        <v>13.409599999999999</v>
      </c>
      <c r="S124" s="50">
        <v>12.963800000000001</v>
      </c>
      <c r="T124" s="46">
        <v>-0.44569999999999999</v>
      </c>
    </row>
    <row r="125" spans="16:20" x14ac:dyDescent="0.25">
      <c r="P125" s="18">
        <v>124</v>
      </c>
      <c r="Q125" s="50">
        <v>156.73410000000001</v>
      </c>
      <c r="R125" s="50">
        <v>56.734099999999998</v>
      </c>
      <c r="S125" s="50">
        <v>51.532499999999999</v>
      </c>
      <c r="T125" s="46">
        <v>-5.2016</v>
      </c>
    </row>
    <row r="126" spans="16:20" x14ac:dyDescent="0.25">
      <c r="P126" s="18">
        <v>125</v>
      </c>
      <c r="Q126" s="50">
        <v>106.8381</v>
      </c>
      <c r="R126" s="50">
        <v>6.8380999999999998</v>
      </c>
      <c r="S126" s="50">
        <v>9.4882000000000009</v>
      </c>
      <c r="T126" s="46">
        <v>2.6501000000000001</v>
      </c>
    </row>
    <row r="127" spans="16:20" x14ac:dyDescent="0.25">
      <c r="P127" s="18">
        <v>126</v>
      </c>
      <c r="Q127" s="50">
        <v>94.275899999999993</v>
      </c>
      <c r="R127" s="50">
        <v>0</v>
      </c>
      <c r="S127" s="50">
        <v>2.7404000000000002</v>
      </c>
      <c r="T127" s="46">
        <v>2.7404000000000002</v>
      </c>
    </row>
    <row r="128" spans="16:20" x14ac:dyDescent="0.25">
      <c r="P128" s="18">
        <v>127</v>
      </c>
      <c r="Q128" s="50">
        <v>110.1994</v>
      </c>
      <c r="R128" s="50">
        <v>10.199400000000001</v>
      </c>
      <c r="S128" s="50">
        <v>11.950799999999999</v>
      </c>
      <c r="T128" s="46">
        <v>1.7514000000000001</v>
      </c>
    </row>
    <row r="129" spans="16:20" x14ac:dyDescent="0.25">
      <c r="P129" s="18">
        <v>128</v>
      </c>
      <c r="Q129" s="50">
        <v>133.22190000000001</v>
      </c>
      <c r="R129" s="50">
        <v>33.221899999999998</v>
      </c>
      <c r="S129" s="50">
        <v>31.998699999999999</v>
      </c>
      <c r="T129" s="46">
        <v>-1.2232000000000001</v>
      </c>
    </row>
    <row r="130" spans="16:20" x14ac:dyDescent="0.25">
      <c r="P130" s="18">
        <v>129</v>
      </c>
      <c r="Q130" s="50">
        <v>90.071299999999994</v>
      </c>
      <c r="R130" s="50">
        <v>0</v>
      </c>
      <c r="S130" s="50">
        <v>0.96489999999999998</v>
      </c>
      <c r="T130" s="46">
        <v>0.96489999999999998</v>
      </c>
    </row>
    <row r="131" spans="16:20" x14ac:dyDescent="0.25">
      <c r="P131" s="18">
        <v>130</v>
      </c>
      <c r="Q131" s="50">
        <v>151.7372</v>
      </c>
      <c r="R131" s="50">
        <v>51.737200000000001</v>
      </c>
      <c r="S131" s="50">
        <v>52.477200000000003</v>
      </c>
      <c r="T131" s="46">
        <v>0.74</v>
      </c>
    </row>
    <row r="132" spans="16:20" x14ac:dyDescent="0.25">
      <c r="P132" s="18">
        <v>131</v>
      </c>
      <c r="Q132" s="50">
        <v>98.585899999999995</v>
      </c>
      <c r="R132" s="50">
        <v>0</v>
      </c>
      <c r="S132" s="50">
        <v>2.8014000000000001</v>
      </c>
      <c r="T132" s="46">
        <v>2.8014000000000001</v>
      </c>
    </row>
    <row r="133" spans="16:20" x14ac:dyDescent="0.25">
      <c r="P133" s="18">
        <v>132</v>
      </c>
      <c r="Q133" s="50">
        <v>82.016199999999998</v>
      </c>
      <c r="R133" s="50">
        <v>0</v>
      </c>
      <c r="S133" s="50">
        <v>0.70569999999999999</v>
      </c>
      <c r="T133" s="46">
        <v>0.70569999999999999</v>
      </c>
    </row>
    <row r="134" spans="16:20" x14ac:dyDescent="0.25">
      <c r="P134" s="18">
        <v>133</v>
      </c>
      <c r="Q134" s="50">
        <v>160.7568</v>
      </c>
      <c r="R134" s="50">
        <v>60.756799999999998</v>
      </c>
      <c r="S134" s="50">
        <v>59.426900000000003</v>
      </c>
      <c r="T134" s="46">
        <v>-1.3299000000000001</v>
      </c>
    </row>
    <row r="135" spans="16:20" x14ac:dyDescent="0.25">
      <c r="P135" s="18">
        <v>134</v>
      </c>
      <c r="Q135" s="50">
        <v>100.63679999999999</v>
      </c>
      <c r="R135" s="50">
        <v>0.63680000000000003</v>
      </c>
      <c r="S135" s="50">
        <v>4.5148000000000001</v>
      </c>
      <c r="T135" s="46">
        <v>3.8778999999999999</v>
      </c>
    </row>
    <row r="136" spans="16:20" x14ac:dyDescent="0.25">
      <c r="P136" s="18">
        <v>135</v>
      </c>
      <c r="Q136" s="50">
        <v>84.763499999999993</v>
      </c>
      <c r="R136" s="50">
        <v>0</v>
      </c>
      <c r="S136" s="50">
        <v>-1.9995000000000001</v>
      </c>
      <c r="T136" s="46">
        <v>-1.9995000000000001</v>
      </c>
    </row>
    <row r="137" spans="16:20" x14ac:dyDescent="0.25">
      <c r="P137" s="18">
        <v>136</v>
      </c>
      <c r="Q137" s="50">
        <v>80.941900000000004</v>
      </c>
      <c r="R137" s="50">
        <v>0</v>
      </c>
      <c r="S137" s="50">
        <v>1.2015</v>
      </c>
      <c r="T137" s="46">
        <v>1.2015</v>
      </c>
    </row>
    <row r="138" spans="16:20" x14ac:dyDescent="0.25">
      <c r="P138" s="18">
        <v>137</v>
      </c>
      <c r="Q138" s="50">
        <v>87.447100000000006</v>
      </c>
      <c r="R138" s="50">
        <v>0</v>
      </c>
      <c r="S138" s="50">
        <v>2.4885999999999999</v>
      </c>
      <c r="T138" s="46">
        <v>2.4885999999999999</v>
      </c>
    </row>
    <row r="139" spans="16:20" x14ac:dyDescent="0.25">
      <c r="P139" s="18">
        <v>138</v>
      </c>
      <c r="Q139" s="50">
        <v>101.098</v>
      </c>
      <c r="R139" s="50">
        <v>1.0980000000000001</v>
      </c>
      <c r="S139" s="50">
        <v>6.0128000000000004</v>
      </c>
      <c r="T139" s="46">
        <v>4.9149000000000003</v>
      </c>
    </row>
    <row r="140" spans="16:20" x14ac:dyDescent="0.25">
      <c r="P140" s="18">
        <v>139</v>
      </c>
      <c r="Q140" s="50">
        <v>119.5009</v>
      </c>
      <c r="R140" s="50">
        <v>19.500900000000001</v>
      </c>
      <c r="S140" s="50">
        <v>22.326699999999999</v>
      </c>
      <c r="T140" s="46">
        <v>2.8258000000000001</v>
      </c>
    </row>
    <row r="141" spans="16:20" x14ac:dyDescent="0.25">
      <c r="P141" s="18">
        <v>140</v>
      </c>
      <c r="Q141" s="50">
        <v>136.95660000000001</v>
      </c>
      <c r="R141" s="50">
        <v>36.956600000000002</v>
      </c>
      <c r="S141" s="50">
        <v>36.653700000000001</v>
      </c>
      <c r="T141" s="46">
        <v>-0.3029</v>
      </c>
    </row>
    <row r="142" spans="16:20" x14ac:dyDescent="0.25">
      <c r="P142" s="18">
        <v>141</v>
      </c>
      <c r="Q142" s="50">
        <v>82.216200000000001</v>
      </c>
      <c r="R142" s="50">
        <v>0</v>
      </c>
      <c r="S142" s="50">
        <v>0.79320000000000002</v>
      </c>
      <c r="T142" s="46">
        <v>0.79320000000000002</v>
      </c>
    </row>
    <row r="143" spans="16:20" x14ac:dyDescent="0.25">
      <c r="P143" s="18">
        <v>142</v>
      </c>
      <c r="Q143" s="50">
        <v>121.9568</v>
      </c>
      <c r="R143" s="50">
        <v>21.956800000000001</v>
      </c>
      <c r="S143" s="50">
        <v>24.6005</v>
      </c>
      <c r="T143" s="46">
        <v>2.6436999999999999</v>
      </c>
    </row>
    <row r="144" spans="16:20" x14ac:dyDescent="0.25">
      <c r="P144" s="18">
        <v>143</v>
      </c>
      <c r="Q144" s="50">
        <v>94.197699999999998</v>
      </c>
      <c r="R144" s="50">
        <v>0</v>
      </c>
      <c r="S144" s="50">
        <v>1.4672000000000001</v>
      </c>
      <c r="T144" s="46">
        <v>1.4672000000000001</v>
      </c>
    </row>
    <row r="145" spans="16:20" x14ac:dyDescent="0.25">
      <c r="P145" s="18">
        <v>144</v>
      </c>
      <c r="Q145" s="50">
        <v>111.1284</v>
      </c>
      <c r="R145" s="50">
        <v>11.128399999999999</v>
      </c>
      <c r="S145" s="50">
        <v>6.2474999999999996</v>
      </c>
      <c r="T145" s="46">
        <v>-4.8808999999999996</v>
      </c>
    </row>
    <row r="146" spans="16:20" x14ac:dyDescent="0.25">
      <c r="P146" s="18">
        <v>145</v>
      </c>
      <c r="Q146" s="50">
        <v>150.58519999999999</v>
      </c>
      <c r="R146" s="50">
        <v>50.5852</v>
      </c>
      <c r="S146" s="50">
        <v>49.6004</v>
      </c>
      <c r="T146" s="46">
        <v>-0.9849</v>
      </c>
    </row>
    <row r="147" spans="16:20" x14ac:dyDescent="0.25">
      <c r="P147" s="18">
        <v>146</v>
      </c>
      <c r="Q147" s="50">
        <v>176.7379</v>
      </c>
      <c r="R147" s="50">
        <v>76.737899999999996</v>
      </c>
      <c r="S147" s="50">
        <v>76.886700000000005</v>
      </c>
      <c r="T147" s="46">
        <v>0.14879999999999999</v>
      </c>
    </row>
    <row r="148" spans="16:20" x14ac:dyDescent="0.25">
      <c r="P148" s="18">
        <v>147</v>
      </c>
      <c r="Q148" s="50">
        <v>103.4186</v>
      </c>
      <c r="R148" s="50">
        <v>3.4186999999999999</v>
      </c>
      <c r="S148" s="50">
        <v>9.2116000000000007</v>
      </c>
      <c r="T148" s="46">
        <v>5.7929000000000004</v>
      </c>
    </row>
    <row r="149" spans="16:20" x14ac:dyDescent="0.25">
      <c r="P149" s="18">
        <v>148</v>
      </c>
      <c r="Q149" s="50">
        <v>100.0902</v>
      </c>
      <c r="R149" s="50">
        <v>9.0300000000000005E-2</v>
      </c>
      <c r="S149" s="50">
        <v>6.7110000000000003</v>
      </c>
      <c r="T149" s="46">
        <v>6.6208</v>
      </c>
    </row>
    <row r="150" spans="16:20" x14ac:dyDescent="0.25">
      <c r="P150" s="18">
        <v>149</v>
      </c>
      <c r="Q150" s="50">
        <v>173.5385</v>
      </c>
      <c r="R150" s="50">
        <v>73.538600000000002</v>
      </c>
      <c r="S150" s="50">
        <v>71.665000000000006</v>
      </c>
      <c r="T150" s="46">
        <v>-1.8734999999999999</v>
      </c>
    </row>
    <row r="151" spans="16:20" x14ac:dyDescent="0.25">
      <c r="P151" s="18">
        <v>150</v>
      </c>
      <c r="Q151" s="50">
        <v>72.815200000000004</v>
      </c>
      <c r="R151" s="50">
        <v>0</v>
      </c>
      <c r="S151" s="50">
        <v>-2.4531999999999998</v>
      </c>
      <c r="T151" s="46">
        <v>-2.4531999999999998</v>
      </c>
    </row>
    <row r="152" spans="16:20" x14ac:dyDescent="0.25">
      <c r="P152" s="18">
        <v>151</v>
      </c>
      <c r="Q152" s="50">
        <v>86.535200000000003</v>
      </c>
      <c r="R152" s="50">
        <v>0</v>
      </c>
      <c r="S152" s="50">
        <v>-0.93220000000000003</v>
      </c>
      <c r="T152" s="46">
        <v>-0.93220000000000003</v>
      </c>
    </row>
    <row r="153" spans="16:20" x14ac:dyDescent="0.25">
      <c r="P153" s="18">
        <v>152</v>
      </c>
      <c r="Q153" s="50">
        <v>46.795999999999999</v>
      </c>
      <c r="R153" s="50">
        <v>0</v>
      </c>
      <c r="S153" s="50">
        <v>0.68920000000000003</v>
      </c>
      <c r="T153" s="46">
        <v>0.68920000000000003</v>
      </c>
    </row>
    <row r="154" spans="16:20" x14ac:dyDescent="0.25">
      <c r="P154" s="18">
        <v>153</v>
      </c>
      <c r="Q154" s="50">
        <v>164.61689999999999</v>
      </c>
      <c r="R154" s="50">
        <v>64.616900000000001</v>
      </c>
      <c r="S154" s="50">
        <v>66.813000000000002</v>
      </c>
      <c r="T154" s="46">
        <v>2.1960000000000002</v>
      </c>
    </row>
    <row r="155" spans="16:20" x14ac:dyDescent="0.25">
      <c r="P155" s="18">
        <v>154</v>
      </c>
      <c r="Q155" s="50">
        <v>126.3451</v>
      </c>
      <c r="R155" s="50">
        <v>26.345099999999999</v>
      </c>
      <c r="S155" s="50">
        <v>26.895099999999999</v>
      </c>
      <c r="T155" s="46">
        <v>0.55010000000000003</v>
      </c>
    </row>
    <row r="156" spans="16:20" x14ac:dyDescent="0.25">
      <c r="P156" s="18">
        <v>155</v>
      </c>
      <c r="Q156" s="50">
        <v>91.672399999999996</v>
      </c>
      <c r="R156" s="50">
        <v>0</v>
      </c>
      <c r="S156" s="50">
        <v>1.8249</v>
      </c>
      <c r="T156" s="46">
        <v>1.8249</v>
      </c>
    </row>
    <row r="157" spans="16:20" x14ac:dyDescent="0.25">
      <c r="P157" s="18">
        <v>156</v>
      </c>
      <c r="Q157" s="50">
        <v>73.759399999999999</v>
      </c>
      <c r="R157" s="50">
        <v>0</v>
      </c>
      <c r="S157" s="50">
        <v>-0.28570000000000001</v>
      </c>
      <c r="T157" s="46">
        <v>-0.28570000000000001</v>
      </c>
    </row>
    <row r="158" spans="16:20" x14ac:dyDescent="0.25">
      <c r="P158" s="18">
        <v>157</v>
      </c>
      <c r="Q158" s="50">
        <v>162.23310000000001</v>
      </c>
      <c r="R158" s="50">
        <v>62.2331</v>
      </c>
      <c r="S158" s="50">
        <v>64.210700000000003</v>
      </c>
      <c r="T158" s="46">
        <v>1.9776</v>
      </c>
    </row>
    <row r="159" spans="16:20" x14ac:dyDescent="0.25">
      <c r="P159" s="18">
        <v>158</v>
      </c>
      <c r="Q159" s="50">
        <v>105.6474</v>
      </c>
      <c r="R159" s="50">
        <v>5.6474000000000002</v>
      </c>
      <c r="S159" s="50">
        <v>8.6319999999999997</v>
      </c>
      <c r="T159" s="46">
        <v>2.9845999999999999</v>
      </c>
    </row>
    <row r="160" spans="16:20" x14ac:dyDescent="0.25">
      <c r="P160" s="18">
        <v>159</v>
      </c>
      <c r="Q160" s="50">
        <v>74.594499999999996</v>
      </c>
      <c r="R160" s="50">
        <v>0</v>
      </c>
      <c r="S160" s="50">
        <v>-2.2204999999999999</v>
      </c>
      <c r="T160" s="46">
        <v>-2.2204999999999999</v>
      </c>
    </row>
    <row r="161" spans="16:20" x14ac:dyDescent="0.25">
      <c r="P161" s="18">
        <v>160</v>
      </c>
      <c r="Q161" s="50">
        <v>89.738299999999995</v>
      </c>
      <c r="R161" s="50">
        <v>0</v>
      </c>
      <c r="S161" s="50">
        <v>0.47520000000000001</v>
      </c>
      <c r="T161" s="46">
        <v>0.47520000000000001</v>
      </c>
    </row>
    <row r="162" spans="16:20" x14ac:dyDescent="0.25">
      <c r="P162" s="18">
        <v>161</v>
      </c>
      <c r="Q162" s="50">
        <v>79.492400000000004</v>
      </c>
      <c r="R162" s="50">
        <v>0</v>
      </c>
      <c r="S162" s="50">
        <v>1.1891</v>
      </c>
      <c r="T162" s="46">
        <v>1.1891</v>
      </c>
    </row>
    <row r="163" spans="16:20" x14ac:dyDescent="0.25">
      <c r="P163" s="18">
        <v>162</v>
      </c>
      <c r="Q163" s="50">
        <v>95.706299999999999</v>
      </c>
      <c r="R163" s="50">
        <v>0</v>
      </c>
      <c r="S163" s="50">
        <v>-0.70099999999999996</v>
      </c>
      <c r="T163" s="46">
        <v>-0.70099999999999996</v>
      </c>
    </row>
    <row r="164" spans="16:20" x14ac:dyDescent="0.25">
      <c r="P164" s="18">
        <v>163</v>
      </c>
      <c r="Q164" s="50">
        <v>58.122500000000002</v>
      </c>
      <c r="R164" s="50">
        <v>0</v>
      </c>
      <c r="S164" s="50">
        <v>-0.80420000000000003</v>
      </c>
      <c r="T164" s="46">
        <v>-0.80420000000000003</v>
      </c>
    </row>
    <row r="165" spans="16:20" x14ac:dyDescent="0.25">
      <c r="P165" s="18">
        <v>164</v>
      </c>
      <c r="Q165" s="50">
        <v>83.770700000000005</v>
      </c>
      <c r="R165" s="50">
        <v>0</v>
      </c>
      <c r="S165" s="50">
        <v>-3.2873999999999999</v>
      </c>
      <c r="T165" s="46">
        <v>-3.2873999999999999</v>
      </c>
    </row>
    <row r="166" spans="16:20" x14ac:dyDescent="0.25">
      <c r="P166" s="18">
        <v>165</v>
      </c>
      <c r="Q166" s="50">
        <v>112.2568</v>
      </c>
      <c r="R166" s="50">
        <v>12.2568</v>
      </c>
      <c r="S166" s="50">
        <v>13.3553</v>
      </c>
      <c r="T166" s="46">
        <v>1.0985</v>
      </c>
    </row>
    <row r="167" spans="16:20" x14ac:dyDescent="0.25">
      <c r="P167" s="18">
        <v>166</v>
      </c>
      <c r="Q167" s="50">
        <v>102.7687</v>
      </c>
      <c r="R167" s="50">
        <v>2.7686999999999999</v>
      </c>
      <c r="S167" s="50">
        <v>3.0729000000000002</v>
      </c>
      <c r="T167" s="46">
        <v>0.30420000000000003</v>
      </c>
    </row>
    <row r="168" spans="16:20" x14ac:dyDescent="0.25">
      <c r="P168" s="18">
        <v>167</v>
      </c>
      <c r="Q168" s="50">
        <v>98.402799999999999</v>
      </c>
      <c r="R168" s="50">
        <v>0</v>
      </c>
      <c r="S168" s="50">
        <v>4.0780000000000003</v>
      </c>
      <c r="T168" s="46">
        <v>4.0780000000000003</v>
      </c>
    </row>
    <row r="169" spans="16:20" x14ac:dyDescent="0.25">
      <c r="P169" s="18">
        <v>168</v>
      </c>
      <c r="Q169" s="50">
        <v>78.025899999999993</v>
      </c>
      <c r="R169" s="50">
        <v>0</v>
      </c>
      <c r="S169" s="50">
        <v>0.99199999999999999</v>
      </c>
      <c r="T169" s="46">
        <v>0.99199999999999999</v>
      </c>
    </row>
    <row r="170" spans="16:20" x14ac:dyDescent="0.25">
      <c r="P170" s="18">
        <v>169</v>
      </c>
      <c r="Q170" s="50">
        <v>69.321799999999996</v>
      </c>
      <c r="R170" s="50">
        <v>0</v>
      </c>
      <c r="S170" s="50">
        <v>1.8552</v>
      </c>
      <c r="T170" s="46">
        <v>1.8552</v>
      </c>
    </row>
    <row r="171" spans="16:20" x14ac:dyDescent="0.25">
      <c r="P171" s="18">
        <v>170</v>
      </c>
      <c r="Q171" s="50">
        <v>115.0261</v>
      </c>
      <c r="R171" s="50">
        <v>15.0261</v>
      </c>
      <c r="S171" s="50">
        <v>16.797000000000001</v>
      </c>
      <c r="T171" s="46">
        <v>1.7708999999999999</v>
      </c>
    </row>
    <row r="172" spans="16:20" x14ac:dyDescent="0.25">
      <c r="P172" s="18">
        <v>171</v>
      </c>
      <c r="Q172" s="50">
        <v>94.506399999999999</v>
      </c>
      <c r="R172" s="50">
        <v>0</v>
      </c>
      <c r="S172" s="50">
        <v>4.4584999999999999</v>
      </c>
      <c r="T172" s="46">
        <v>4.4584999999999999</v>
      </c>
    </row>
    <row r="173" spans="16:20" x14ac:dyDescent="0.25">
      <c r="P173" s="18">
        <v>172</v>
      </c>
      <c r="Q173" s="50">
        <v>59.155799999999999</v>
      </c>
      <c r="R173" s="50">
        <v>0</v>
      </c>
      <c r="S173" s="50">
        <v>-0.8911</v>
      </c>
      <c r="T173" s="46">
        <v>-0.8911</v>
      </c>
    </row>
    <row r="174" spans="16:20" x14ac:dyDescent="0.25">
      <c r="P174" s="18">
        <v>173</v>
      </c>
      <c r="Q174" s="50">
        <v>122.3494</v>
      </c>
      <c r="R174" s="50">
        <v>22.349399999999999</v>
      </c>
      <c r="S174" s="50">
        <v>23.9238</v>
      </c>
      <c r="T174" s="46">
        <v>1.5744</v>
      </c>
    </row>
    <row r="175" spans="16:20" x14ac:dyDescent="0.25">
      <c r="P175" s="18">
        <v>174</v>
      </c>
      <c r="Q175" s="50">
        <v>171.39189999999999</v>
      </c>
      <c r="R175" s="50">
        <v>71.391900000000007</v>
      </c>
      <c r="S175" s="50">
        <v>71.929900000000004</v>
      </c>
      <c r="T175" s="46">
        <v>0.53800000000000003</v>
      </c>
    </row>
    <row r="176" spans="16:20" x14ac:dyDescent="0.25">
      <c r="P176" s="18">
        <v>175</v>
      </c>
      <c r="Q176" s="50">
        <v>170.37039999999999</v>
      </c>
      <c r="R176" s="50">
        <v>70.370400000000004</v>
      </c>
      <c r="S176" s="50">
        <v>69.956800000000001</v>
      </c>
      <c r="T176" s="46">
        <v>-0.41360000000000002</v>
      </c>
    </row>
    <row r="177" spans="16:20" x14ac:dyDescent="0.25">
      <c r="P177" s="18">
        <v>176</v>
      </c>
      <c r="Q177" s="50">
        <v>119.8445</v>
      </c>
      <c r="R177" s="50">
        <v>19.8445</v>
      </c>
      <c r="S177" s="50">
        <v>20.9666</v>
      </c>
      <c r="T177" s="46">
        <v>1.1221000000000001</v>
      </c>
    </row>
    <row r="178" spans="16:20" x14ac:dyDescent="0.25">
      <c r="P178" s="18">
        <v>177</v>
      </c>
      <c r="Q178" s="50">
        <v>122.67400000000001</v>
      </c>
      <c r="R178" s="50">
        <v>22.673999999999999</v>
      </c>
      <c r="S178" s="50">
        <v>24.151299999999999</v>
      </c>
      <c r="T178" s="46">
        <v>1.4773000000000001</v>
      </c>
    </row>
    <row r="179" spans="16:20" x14ac:dyDescent="0.25">
      <c r="P179" s="18">
        <v>178</v>
      </c>
      <c r="Q179" s="50">
        <v>101.0106</v>
      </c>
      <c r="R179" s="50">
        <v>1.0105999999999999</v>
      </c>
      <c r="S179" s="50">
        <v>7.7854999999999999</v>
      </c>
      <c r="T179" s="46">
        <v>6.7748999999999997</v>
      </c>
    </row>
    <row r="180" spans="16:20" x14ac:dyDescent="0.25">
      <c r="P180" s="18">
        <v>179</v>
      </c>
      <c r="Q180" s="50">
        <v>119.13379999999999</v>
      </c>
      <c r="R180" s="50">
        <v>19.133800000000001</v>
      </c>
      <c r="S180" s="50">
        <v>20.508099999999999</v>
      </c>
      <c r="T180" s="46">
        <v>1.3743000000000001</v>
      </c>
    </row>
    <row r="181" spans="16:20" x14ac:dyDescent="0.25">
      <c r="P181" s="18">
        <v>180</v>
      </c>
      <c r="Q181" s="50">
        <v>100.1904</v>
      </c>
      <c r="R181" s="50">
        <v>0.19040000000000001</v>
      </c>
      <c r="S181" s="50">
        <v>0.9819</v>
      </c>
      <c r="T181" s="46">
        <v>0.79149999999999998</v>
      </c>
    </row>
    <row r="182" spans="16:20" x14ac:dyDescent="0.25">
      <c r="P182" s="18">
        <v>181</v>
      </c>
      <c r="Q182" s="50">
        <v>85.908699999999996</v>
      </c>
      <c r="R182" s="50">
        <v>0</v>
      </c>
      <c r="S182" s="50">
        <v>0.87460000000000004</v>
      </c>
      <c r="T182" s="46">
        <v>0.87460000000000004</v>
      </c>
    </row>
    <row r="183" spans="16:20" x14ac:dyDescent="0.25">
      <c r="P183" s="18">
        <v>182</v>
      </c>
      <c r="Q183" s="50">
        <v>117.14360000000001</v>
      </c>
      <c r="R183" s="50">
        <v>17.143599999999999</v>
      </c>
      <c r="S183" s="50">
        <v>17.441400000000002</v>
      </c>
      <c r="T183" s="46">
        <v>0.29780000000000001</v>
      </c>
    </row>
    <row r="184" spans="16:20" x14ac:dyDescent="0.25">
      <c r="P184" s="18">
        <v>183</v>
      </c>
      <c r="Q184" s="50">
        <v>94.538899999999998</v>
      </c>
      <c r="R184" s="50">
        <v>0</v>
      </c>
      <c r="S184" s="50">
        <v>1.5780000000000001</v>
      </c>
      <c r="T184" s="46">
        <v>1.5780000000000001</v>
      </c>
    </row>
    <row r="185" spans="16:20" x14ac:dyDescent="0.25">
      <c r="P185" s="18">
        <v>184</v>
      </c>
      <c r="Q185" s="50">
        <v>151.12459999999999</v>
      </c>
      <c r="R185" s="50">
        <v>51.124600000000001</v>
      </c>
      <c r="S185" s="50">
        <v>51.340499999999999</v>
      </c>
      <c r="T185" s="46">
        <v>0.21590000000000001</v>
      </c>
    </row>
    <row r="186" spans="16:20" x14ac:dyDescent="0.25">
      <c r="P186" s="18">
        <v>185</v>
      </c>
      <c r="Q186" s="50">
        <v>120.47539999999999</v>
      </c>
      <c r="R186" s="50">
        <v>20.4754</v>
      </c>
      <c r="S186" s="50">
        <v>17.985700000000001</v>
      </c>
      <c r="T186" s="46">
        <v>-2.4897</v>
      </c>
    </row>
    <row r="187" spans="16:20" x14ac:dyDescent="0.25">
      <c r="P187" s="18">
        <v>186</v>
      </c>
      <c r="Q187" s="50">
        <v>159.10079999999999</v>
      </c>
      <c r="R187" s="50">
        <v>59.1008</v>
      </c>
      <c r="S187" s="50">
        <v>58.359000000000002</v>
      </c>
      <c r="T187" s="46">
        <v>-0.74180000000000001</v>
      </c>
    </row>
    <row r="188" spans="16:20" x14ac:dyDescent="0.25">
      <c r="P188" s="18">
        <v>187</v>
      </c>
      <c r="Q188" s="50">
        <v>265.09440000000001</v>
      </c>
      <c r="R188" s="50">
        <v>165.09440000000001</v>
      </c>
      <c r="S188" s="50">
        <v>163.18770000000001</v>
      </c>
      <c r="T188" s="46">
        <v>-1.9067000000000001</v>
      </c>
    </row>
    <row r="189" spans="16:20" x14ac:dyDescent="0.25">
      <c r="P189" s="18">
        <v>188</v>
      </c>
      <c r="Q189" s="50">
        <v>121.5508</v>
      </c>
      <c r="R189" s="50">
        <v>21.550799999999999</v>
      </c>
      <c r="S189" s="50">
        <v>20.550799999999999</v>
      </c>
      <c r="T189" s="46">
        <v>-1</v>
      </c>
    </row>
    <row r="190" spans="16:20" x14ac:dyDescent="0.25">
      <c r="P190" s="18">
        <v>189</v>
      </c>
      <c r="Q190" s="50">
        <v>77.908799999999999</v>
      </c>
      <c r="R190" s="50">
        <v>0</v>
      </c>
      <c r="S190" s="50">
        <v>2.4965000000000002</v>
      </c>
      <c r="T190" s="46">
        <v>2.4965000000000002</v>
      </c>
    </row>
    <row r="191" spans="16:20" x14ac:dyDescent="0.25">
      <c r="P191" s="18">
        <v>190</v>
      </c>
      <c r="Q191" s="50">
        <v>65.984300000000005</v>
      </c>
      <c r="R191" s="50">
        <v>0</v>
      </c>
      <c r="S191" s="50">
        <v>-0.19939999999999999</v>
      </c>
      <c r="T191" s="46">
        <v>-0.19939999999999999</v>
      </c>
    </row>
    <row r="192" spans="16:20" x14ac:dyDescent="0.25">
      <c r="P192" s="18">
        <v>191</v>
      </c>
      <c r="Q192" s="50">
        <v>87.512200000000007</v>
      </c>
      <c r="R192" s="50">
        <v>0</v>
      </c>
      <c r="S192" s="50">
        <v>-2.3231000000000002</v>
      </c>
      <c r="T192" s="46">
        <v>-2.3231000000000002</v>
      </c>
    </row>
    <row r="193" spans="16:20" x14ac:dyDescent="0.25">
      <c r="P193" s="18">
        <v>192</v>
      </c>
      <c r="Q193" s="50">
        <v>132.2373</v>
      </c>
      <c r="R193" s="50">
        <v>32.237299999999998</v>
      </c>
      <c r="S193" s="50">
        <v>31.818899999999999</v>
      </c>
      <c r="T193" s="46">
        <v>-0.41839999999999999</v>
      </c>
    </row>
    <row r="194" spans="16:20" x14ac:dyDescent="0.25">
      <c r="P194" s="18">
        <v>193</v>
      </c>
      <c r="Q194" s="50">
        <v>90.617000000000004</v>
      </c>
      <c r="R194" s="50">
        <v>0</v>
      </c>
      <c r="S194" s="50">
        <v>-0.79410000000000003</v>
      </c>
      <c r="T194" s="46">
        <v>-0.79410000000000003</v>
      </c>
    </row>
    <row r="195" spans="16:20" x14ac:dyDescent="0.25">
      <c r="P195" s="18">
        <v>194</v>
      </c>
      <c r="Q195" s="50">
        <v>208.1251</v>
      </c>
      <c r="R195" s="50">
        <v>108.1251</v>
      </c>
      <c r="S195" s="50">
        <v>104.3683</v>
      </c>
      <c r="T195" s="46">
        <v>-3.7568999999999999</v>
      </c>
    </row>
    <row r="196" spans="16:20" x14ac:dyDescent="0.25">
      <c r="P196" s="18">
        <v>195</v>
      </c>
      <c r="Q196" s="50">
        <v>85.026499999999999</v>
      </c>
      <c r="R196" s="50">
        <v>0</v>
      </c>
      <c r="S196" s="50">
        <v>-6.6742999999999997</v>
      </c>
      <c r="T196" s="46">
        <v>-6.6742999999999997</v>
      </c>
    </row>
    <row r="197" spans="16:20" x14ac:dyDescent="0.25">
      <c r="P197" s="18">
        <v>196</v>
      </c>
      <c r="Q197" s="50">
        <v>136.46899999999999</v>
      </c>
      <c r="R197" s="50">
        <v>36.469000000000001</v>
      </c>
      <c r="S197" s="50">
        <v>37.108800000000002</v>
      </c>
      <c r="T197" s="46">
        <v>0.63980000000000004</v>
      </c>
    </row>
    <row r="198" spans="16:20" x14ac:dyDescent="0.25">
      <c r="P198" s="18">
        <v>197</v>
      </c>
      <c r="Q198" s="50">
        <v>60.451099999999997</v>
      </c>
      <c r="R198" s="50">
        <v>0</v>
      </c>
      <c r="S198" s="50">
        <v>-0.56440000000000001</v>
      </c>
      <c r="T198" s="46">
        <v>-0.56440000000000001</v>
      </c>
    </row>
    <row r="199" spans="16:20" x14ac:dyDescent="0.25">
      <c r="P199" s="18">
        <v>198</v>
      </c>
      <c r="Q199" s="50">
        <v>114.18510000000001</v>
      </c>
      <c r="R199" s="50">
        <v>14.1851</v>
      </c>
      <c r="S199" s="50">
        <v>16.072500000000002</v>
      </c>
      <c r="T199" s="46">
        <v>1.8873</v>
      </c>
    </row>
    <row r="200" spans="16:20" x14ac:dyDescent="0.25">
      <c r="P200" s="18">
        <v>199</v>
      </c>
      <c r="Q200" s="50">
        <v>94.309399999999997</v>
      </c>
      <c r="R200" s="50">
        <v>0</v>
      </c>
      <c r="S200" s="50">
        <v>1.6672</v>
      </c>
      <c r="T200" s="46">
        <v>1.6672</v>
      </c>
    </row>
    <row r="201" spans="16:20" x14ac:dyDescent="0.25">
      <c r="P201" s="18">
        <v>200</v>
      </c>
      <c r="Q201" s="50">
        <v>142.32390000000001</v>
      </c>
      <c r="R201" s="50">
        <v>42.323900000000002</v>
      </c>
      <c r="S201" s="50">
        <v>42.286799999999999</v>
      </c>
      <c r="T201" s="46">
        <v>-3.7100000000000001E-2</v>
      </c>
    </row>
    <row r="202" spans="16:20" x14ac:dyDescent="0.25">
      <c r="P202" s="18">
        <v>201</v>
      </c>
      <c r="Q202" s="50">
        <v>116.4062</v>
      </c>
      <c r="R202" s="50">
        <v>16.406199999999998</v>
      </c>
      <c r="S202" s="50">
        <v>18.1432</v>
      </c>
      <c r="T202" s="46">
        <v>1.7370000000000001</v>
      </c>
    </row>
    <row r="203" spans="16:20" x14ac:dyDescent="0.25">
      <c r="P203" s="18">
        <v>202</v>
      </c>
      <c r="Q203" s="50">
        <v>102.4014</v>
      </c>
      <c r="R203" s="50">
        <v>2.4014000000000002</v>
      </c>
      <c r="S203" s="50">
        <v>7.2986000000000004</v>
      </c>
      <c r="T203" s="46">
        <v>4.8971999999999998</v>
      </c>
    </row>
    <row r="204" spans="16:20" x14ac:dyDescent="0.25">
      <c r="P204" s="18">
        <v>203</v>
      </c>
      <c r="Q204" s="50">
        <v>132.46639999999999</v>
      </c>
      <c r="R204" s="50">
        <v>32.4664</v>
      </c>
      <c r="S204" s="50">
        <v>31.6541</v>
      </c>
      <c r="T204" s="46">
        <v>-0.81230000000000002</v>
      </c>
    </row>
    <row r="205" spans="16:20" x14ac:dyDescent="0.25">
      <c r="P205" s="18">
        <v>204</v>
      </c>
      <c r="Q205" s="50">
        <v>56.974699999999999</v>
      </c>
      <c r="R205" s="50">
        <v>0</v>
      </c>
      <c r="S205" s="50">
        <v>0.53769999999999996</v>
      </c>
      <c r="T205" s="46">
        <v>0.53769999999999996</v>
      </c>
    </row>
    <row r="206" spans="16:20" x14ac:dyDescent="0.25">
      <c r="P206" s="18">
        <v>205</v>
      </c>
      <c r="Q206" s="50">
        <v>86.096400000000003</v>
      </c>
      <c r="R206" s="50">
        <v>0</v>
      </c>
      <c r="S206" s="50">
        <v>-2.9731999999999998</v>
      </c>
      <c r="T206" s="46">
        <v>-2.9731999999999998</v>
      </c>
    </row>
    <row r="207" spans="16:20" x14ac:dyDescent="0.25">
      <c r="P207" s="18">
        <v>206</v>
      </c>
      <c r="Q207" s="50">
        <v>60.633699999999997</v>
      </c>
      <c r="R207" s="50">
        <v>0</v>
      </c>
      <c r="S207" s="50">
        <v>-5.2698</v>
      </c>
      <c r="T207" s="46">
        <v>-5.2698</v>
      </c>
    </row>
    <row r="208" spans="16:20" x14ac:dyDescent="0.25">
      <c r="P208" s="18">
        <v>207</v>
      </c>
      <c r="Q208" s="50">
        <v>74.124099999999999</v>
      </c>
      <c r="R208" s="50">
        <v>0</v>
      </c>
      <c r="S208" s="50">
        <v>-0.17230000000000001</v>
      </c>
      <c r="T208" s="46">
        <v>-0.17230000000000001</v>
      </c>
    </row>
    <row r="209" spans="16:20" x14ac:dyDescent="0.25">
      <c r="P209" s="18">
        <v>208</v>
      </c>
      <c r="Q209" s="50">
        <v>129.55959999999999</v>
      </c>
      <c r="R209" s="50">
        <v>29.5596</v>
      </c>
      <c r="S209" s="50">
        <v>27.8369</v>
      </c>
      <c r="T209" s="46">
        <v>-1.7226999999999999</v>
      </c>
    </row>
    <row r="210" spans="16:20" x14ac:dyDescent="0.25">
      <c r="P210" s="18">
        <v>209</v>
      </c>
      <c r="Q210" s="50">
        <v>130.46190000000001</v>
      </c>
      <c r="R210" s="50">
        <v>30.4619</v>
      </c>
      <c r="S210" s="50">
        <v>33.0884</v>
      </c>
      <c r="T210" s="46">
        <v>2.6265000000000001</v>
      </c>
    </row>
    <row r="211" spans="16:20" x14ac:dyDescent="0.25">
      <c r="P211" s="18">
        <v>210</v>
      </c>
      <c r="Q211" s="50">
        <v>114.6331</v>
      </c>
      <c r="R211" s="50">
        <v>14.633100000000001</v>
      </c>
      <c r="S211" s="50">
        <v>17.495799999999999</v>
      </c>
      <c r="T211" s="46">
        <v>2.8626999999999998</v>
      </c>
    </row>
    <row r="212" spans="16:20" x14ac:dyDescent="0.25">
      <c r="P212" s="18">
        <v>211</v>
      </c>
      <c r="Q212" s="50">
        <v>99.716099999999997</v>
      </c>
      <c r="R212" s="50">
        <v>0</v>
      </c>
      <c r="S212" s="50">
        <v>6.5090000000000003</v>
      </c>
      <c r="T212" s="46">
        <v>6.5090000000000003</v>
      </c>
    </row>
    <row r="213" spans="16:20" x14ac:dyDescent="0.25">
      <c r="P213" s="18">
        <v>212</v>
      </c>
      <c r="Q213" s="50">
        <v>87.985799999999998</v>
      </c>
      <c r="R213" s="50">
        <v>0</v>
      </c>
      <c r="S213" s="50">
        <v>2.4771999999999998</v>
      </c>
      <c r="T213" s="46">
        <v>2.4771999999999998</v>
      </c>
    </row>
    <row r="214" spans="16:20" x14ac:dyDescent="0.25">
      <c r="P214" s="18">
        <v>213</v>
      </c>
      <c r="Q214" s="50">
        <v>101.9162</v>
      </c>
      <c r="R214" s="50">
        <v>1.9161999999999999</v>
      </c>
      <c r="S214" s="50">
        <v>6.9541000000000004</v>
      </c>
      <c r="T214" s="46">
        <v>5.0378999999999996</v>
      </c>
    </row>
    <row r="215" spans="16:20" x14ac:dyDescent="0.25">
      <c r="P215" s="18">
        <v>214</v>
      </c>
      <c r="Q215" s="50">
        <v>114.1533</v>
      </c>
      <c r="R215" s="50">
        <v>14.1533</v>
      </c>
      <c r="S215" s="50">
        <v>8.6469000000000005</v>
      </c>
      <c r="T215" s="46">
        <v>-5.5064000000000002</v>
      </c>
    </row>
    <row r="216" spans="16:20" x14ac:dyDescent="0.25">
      <c r="P216" s="18">
        <v>215</v>
      </c>
      <c r="Q216" s="50">
        <v>131.84180000000001</v>
      </c>
      <c r="R216" s="50">
        <v>31.841799999999999</v>
      </c>
      <c r="S216" s="50">
        <v>32.5289</v>
      </c>
      <c r="T216" s="46">
        <v>0.68710000000000004</v>
      </c>
    </row>
    <row r="217" spans="16:20" x14ac:dyDescent="0.25">
      <c r="P217" s="18">
        <v>216</v>
      </c>
      <c r="Q217" s="50">
        <v>141.91669999999999</v>
      </c>
      <c r="R217" s="50">
        <v>41.916699999999999</v>
      </c>
      <c r="S217" s="50">
        <v>43.634700000000002</v>
      </c>
      <c r="T217" s="46">
        <v>1.718</v>
      </c>
    </row>
    <row r="218" spans="16:20" x14ac:dyDescent="0.25">
      <c r="P218" s="18">
        <v>217</v>
      </c>
      <c r="Q218" s="50">
        <v>131.76130000000001</v>
      </c>
      <c r="R218" s="50">
        <v>31.761299999999999</v>
      </c>
      <c r="S218" s="50">
        <v>29.9117</v>
      </c>
      <c r="T218" s="46">
        <v>-1.8495999999999999</v>
      </c>
    </row>
    <row r="219" spans="16:20" x14ac:dyDescent="0.25">
      <c r="P219" s="18">
        <v>218</v>
      </c>
      <c r="Q219" s="50">
        <v>103.3896</v>
      </c>
      <c r="R219" s="50">
        <v>3.3896000000000002</v>
      </c>
      <c r="S219" s="50">
        <v>5.8441999999999998</v>
      </c>
      <c r="T219" s="46">
        <v>2.4546000000000001</v>
      </c>
    </row>
    <row r="220" spans="16:20" x14ac:dyDescent="0.25">
      <c r="P220" s="18">
        <v>219</v>
      </c>
      <c r="Q220" s="50">
        <v>77.261499999999998</v>
      </c>
      <c r="R220" s="50">
        <v>0</v>
      </c>
      <c r="S220" s="50">
        <v>-0.3327</v>
      </c>
      <c r="T220" s="46">
        <v>-0.3327</v>
      </c>
    </row>
    <row r="221" spans="16:20" x14ac:dyDescent="0.25">
      <c r="P221" s="18">
        <v>220</v>
      </c>
      <c r="Q221" s="50">
        <v>66.391999999999996</v>
      </c>
      <c r="R221" s="50">
        <v>0</v>
      </c>
      <c r="S221" s="50">
        <v>1.6494</v>
      </c>
      <c r="T221" s="46">
        <v>1.6494</v>
      </c>
    </row>
    <row r="222" spans="16:20" x14ac:dyDescent="0.25">
      <c r="P222" s="18">
        <v>221</v>
      </c>
      <c r="Q222" s="50">
        <v>91.412700000000001</v>
      </c>
      <c r="R222" s="50">
        <v>0</v>
      </c>
      <c r="S222" s="50">
        <v>1.8363</v>
      </c>
      <c r="T222" s="46">
        <v>1.8363</v>
      </c>
    </row>
    <row r="223" spans="16:20" x14ac:dyDescent="0.25">
      <c r="P223" s="18">
        <v>222</v>
      </c>
      <c r="Q223" s="50">
        <v>107.6609</v>
      </c>
      <c r="R223" s="50">
        <v>7.6608999999999998</v>
      </c>
      <c r="S223" s="50">
        <v>8.2406000000000006</v>
      </c>
      <c r="T223" s="46">
        <v>0.57969999999999999</v>
      </c>
    </row>
    <row r="224" spans="16:20" x14ac:dyDescent="0.25">
      <c r="P224" s="18">
        <v>223</v>
      </c>
      <c r="Q224" s="50">
        <v>77.252300000000005</v>
      </c>
      <c r="R224" s="50">
        <v>0</v>
      </c>
      <c r="S224" s="50">
        <v>-0.9395</v>
      </c>
      <c r="T224" s="46">
        <v>-0.9395</v>
      </c>
    </row>
    <row r="225" spans="16:20" x14ac:dyDescent="0.25">
      <c r="P225" s="18">
        <v>224</v>
      </c>
      <c r="Q225" s="50">
        <v>149.19130000000001</v>
      </c>
      <c r="R225" s="50">
        <v>49.191299999999998</v>
      </c>
      <c r="S225" s="50">
        <v>47.990099999999998</v>
      </c>
      <c r="T225" s="46">
        <v>-1.2012</v>
      </c>
    </row>
    <row r="226" spans="16:20" x14ac:dyDescent="0.25">
      <c r="P226" s="18">
        <v>225</v>
      </c>
      <c r="Q226" s="50">
        <v>162.578</v>
      </c>
      <c r="R226" s="50">
        <v>62.578000000000003</v>
      </c>
      <c r="S226" s="50">
        <v>59.6755</v>
      </c>
      <c r="T226" s="46">
        <v>-2.9026000000000001</v>
      </c>
    </row>
    <row r="227" spans="16:20" x14ac:dyDescent="0.25">
      <c r="P227" s="18">
        <v>226</v>
      </c>
      <c r="Q227" s="50">
        <v>66.200100000000006</v>
      </c>
      <c r="R227" s="50">
        <v>0</v>
      </c>
      <c r="S227" s="50">
        <v>0.51859999999999995</v>
      </c>
      <c r="T227" s="46">
        <v>0.51859999999999995</v>
      </c>
    </row>
    <row r="228" spans="16:20" x14ac:dyDescent="0.25">
      <c r="P228" s="18">
        <v>227</v>
      </c>
      <c r="Q228" s="50">
        <v>111.2419</v>
      </c>
      <c r="R228" s="50">
        <v>11.241899999999999</v>
      </c>
      <c r="S228" s="50">
        <v>7.6990999999999996</v>
      </c>
      <c r="T228" s="46">
        <v>-3.5428000000000002</v>
      </c>
    </row>
    <row r="229" spans="16:20" x14ac:dyDescent="0.25">
      <c r="P229" s="18">
        <v>228</v>
      </c>
      <c r="Q229" s="50">
        <v>82.242099999999994</v>
      </c>
      <c r="R229" s="50">
        <v>0</v>
      </c>
      <c r="S229" s="50">
        <v>0.99660000000000004</v>
      </c>
      <c r="T229" s="46">
        <v>0.99660000000000004</v>
      </c>
    </row>
    <row r="230" spans="16:20" x14ac:dyDescent="0.25">
      <c r="P230" s="18">
        <v>229</v>
      </c>
      <c r="Q230" s="50">
        <v>76.747500000000002</v>
      </c>
      <c r="R230" s="50">
        <v>0</v>
      </c>
      <c r="S230" s="50">
        <v>0.45540000000000003</v>
      </c>
      <c r="T230" s="46">
        <v>0.45540000000000003</v>
      </c>
    </row>
    <row r="231" spans="16:20" x14ac:dyDescent="0.25">
      <c r="P231" s="18">
        <v>230</v>
      </c>
      <c r="Q231" s="50">
        <v>90.050899999999999</v>
      </c>
      <c r="R231" s="50">
        <v>0</v>
      </c>
      <c r="S231" s="50">
        <v>1.9956</v>
      </c>
      <c r="T231" s="46">
        <v>1.9956</v>
      </c>
    </row>
    <row r="232" spans="16:20" x14ac:dyDescent="0.25">
      <c r="P232" s="18">
        <v>231</v>
      </c>
      <c r="Q232" s="50">
        <v>107.4588</v>
      </c>
      <c r="R232" s="50">
        <v>7.4588000000000001</v>
      </c>
      <c r="S232" s="50">
        <v>11.0289</v>
      </c>
      <c r="T232" s="46">
        <v>3.5701000000000001</v>
      </c>
    </row>
    <row r="233" spans="16:20" x14ac:dyDescent="0.25">
      <c r="P233" s="18">
        <v>232</v>
      </c>
      <c r="Q233" s="50">
        <v>113.0646</v>
      </c>
      <c r="R233" s="50">
        <v>13.0646</v>
      </c>
      <c r="S233" s="50">
        <v>14.8118</v>
      </c>
      <c r="T233" s="46">
        <v>1.7472000000000001</v>
      </c>
    </row>
    <row r="234" spans="16:20" x14ac:dyDescent="0.25">
      <c r="P234" s="18">
        <v>233</v>
      </c>
      <c r="Q234" s="50">
        <v>125.1439</v>
      </c>
      <c r="R234" s="50">
        <v>25.143899999999999</v>
      </c>
      <c r="S234" s="50">
        <v>24.429500000000001</v>
      </c>
      <c r="T234" s="46">
        <v>-0.71450000000000002</v>
      </c>
    </row>
    <row r="235" spans="16:20" x14ac:dyDescent="0.25">
      <c r="P235" s="18">
        <v>234</v>
      </c>
      <c r="Q235" s="50">
        <v>83.866600000000005</v>
      </c>
      <c r="R235" s="50">
        <v>0</v>
      </c>
      <c r="S235" s="50">
        <v>-1.3309</v>
      </c>
      <c r="T235" s="46">
        <v>-1.3309</v>
      </c>
    </row>
    <row r="236" spans="16:20" x14ac:dyDescent="0.25">
      <c r="P236" s="18">
        <v>235</v>
      </c>
      <c r="Q236" s="50">
        <v>91.8108</v>
      </c>
      <c r="R236" s="50">
        <v>0</v>
      </c>
      <c r="S236" s="50">
        <v>1.5358000000000001</v>
      </c>
      <c r="T236" s="46">
        <v>1.5358000000000001</v>
      </c>
    </row>
    <row r="237" spans="16:20" x14ac:dyDescent="0.25">
      <c r="P237" s="18">
        <v>236</v>
      </c>
      <c r="Q237" s="50">
        <v>83.656000000000006</v>
      </c>
      <c r="R237" s="50">
        <v>0</v>
      </c>
      <c r="S237" s="50">
        <v>1.681</v>
      </c>
      <c r="T237" s="46">
        <v>1.681</v>
      </c>
    </row>
    <row r="238" spans="16:20" x14ac:dyDescent="0.25">
      <c r="P238" s="18">
        <v>237</v>
      </c>
      <c r="Q238" s="50">
        <v>152.77440000000001</v>
      </c>
      <c r="R238" s="50">
        <v>52.7744</v>
      </c>
      <c r="S238" s="50">
        <v>53.626600000000003</v>
      </c>
      <c r="T238" s="46">
        <v>0.85219999999999996</v>
      </c>
    </row>
    <row r="239" spans="16:20" x14ac:dyDescent="0.25">
      <c r="P239" s="18">
        <v>238</v>
      </c>
      <c r="Q239" s="50">
        <v>97.245099999999994</v>
      </c>
      <c r="R239" s="50">
        <v>0</v>
      </c>
      <c r="S239" s="50">
        <v>7.4230999999999998</v>
      </c>
      <c r="T239" s="46">
        <v>7.4230999999999998</v>
      </c>
    </row>
    <row r="240" spans="16:20" x14ac:dyDescent="0.25">
      <c r="P240" s="18">
        <v>239</v>
      </c>
      <c r="Q240" s="50">
        <v>83.112399999999994</v>
      </c>
      <c r="R240" s="50">
        <v>0</v>
      </c>
      <c r="S240" s="50">
        <v>0.93630000000000002</v>
      </c>
      <c r="T240" s="46">
        <v>0.93630000000000002</v>
      </c>
    </row>
    <row r="241" spans="16:20" x14ac:dyDescent="0.25">
      <c r="P241" s="18">
        <v>240</v>
      </c>
      <c r="Q241" s="50">
        <v>86.530600000000007</v>
      </c>
      <c r="R241" s="50">
        <v>0</v>
      </c>
      <c r="S241" s="50">
        <v>1.7073</v>
      </c>
      <c r="T241" s="46">
        <v>1.7073</v>
      </c>
    </row>
    <row r="242" spans="16:20" x14ac:dyDescent="0.25">
      <c r="P242" s="18">
        <v>241</v>
      </c>
      <c r="Q242" s="50">
        <v>97.574399999999997</v>
      </c>
      <c r="R242" s="50">
        <v>0</v>
      </c>
      <c r="S242" s="50">
        <v>4.8430999999999997</v>
      </c>
      <c r="T242" s="46">
        <v>4.8430999999999997</v>
      </c>
    </row>
    <row r="243" spans="16:20" x14ac:dyDescent="0.25">
      <c r="P243" s="18">
        <v>242</v>
      </c>
      <c r="Q243" s="50">
        <v>127.3416</v>
      </c>
      <c r="R243" s="50">
        <v>27.341699999999999</v>
      </c>
      <c r="S243" s="50">
        <v>25.951599999999999</v>
      </c>
      <c r="T243" s="46">
        <v>-1.39</v>
      </c>
    </row>
    <row r="244" spans="16:20" x14ac:dyDescent="0.25">
      <c r="P244" s="18">
        <v>243</v>
      </c>
      <c r="Q244" s="50">
        <v>116.393</v>
      </c>
      <c r="R244" s="50">
        <v>16.393000000000001</v>
      </c>
      <c r="S244" s="50">
        <v>16.9344</v>
      </c>
      <c r="T244" s="46">
        <v>0.5413</v>
      </c>
    </row>
    <row r="245" spans="16:20" x14ac:dyDescent="0.25">
      <c r="P245" s="18">
        <v>244</v>
      </c>
      <c r="Q245" s="50">
        <v>246.02539999999999</v>
      </c>
      <c r="R245" s="50">
        <v>146.02539999999999</v>
      </c>
      <c r="S245" s="50">
        <v>145.3193</v>
      </c>
      <c r="T245" s="46">
        <v>-0.70609999999999995</v>
      </c>
    </row>
    <row r="246" spans="16:20" x14ac:dyDescent="0.25">
      <c r="P246" s="18">
        <v>245</v>
      </c>
      <c r="Q246" s="50">
        <v>161.20259999999999</v>
      </c>
      <c r="R246" s="50">
        <v>61.202599999999997</v>
      </c>
      <c r="S246" s="50">
        <v>63.081600000000002</v>
      </c>
      <c r="T246" s="46">
        <v>1.879</v>
      </c>
    </row>
    <row r="247" spans="16:20" x14ac:dyDescent="0.25">
      <c r="P247" s="18">
        <v>246</v>
      </c>
      <c r="Q247" s="50">
        <v>125.3416</v>
      </c>
      <c r="R247" s="50">
        <v>25.341699999999999</v>
      </c>
      <c r="S247" s="50">
        <v>22.563099999999999</v>
      </c>
      <c r="T247" s="46">
        <v>-2.7786</v>
      </c>
    </row>
    <row r="248" spans="16:20" x14ac:dyDescent="0.25">
      <c r="P248" s="18">
        <v>247</v>
      </c>
      <c r="Q248" s="50">
        <v>104.96429999999999</v>
      </c>
      <c r="R248" s="50">
        <v>4.9642999999999997</v>
      </c>
      <c r="S248" s="50">
        <v>4.5727000000000002</v>
      </c>
      <c r="T248" s="46">
        <v>-0.3916</v>
      </c>
    </row>
    <row r="249" spans="16:20" x14ac:dyDescent="0.25">
      <c r="P249" s="18">
        <v>248</v>
      </c>
      <c r="Q249" s="50">
        <v>106.9524</v>
      </c>
      <c r="R249" s="50">
        <v>6.9523999999999999</v>
      </c>
      <c r="S249" s="50">
        <v>10.6533</v>
      </c>
      <c r="T249" s="46">
        <v>3.7008999999999999</v>
      </c>
    </row>
    <row r="250" spans="16:20" x14ac:dyDescent="0.25">
      <c r="P250" s="18">
        <v>249</v>
      </c>
      <c r="Q250" s="50">
        <v>71.837999999999994</v>
      </c>
      <c r="R250" s="50">
        <v>0</v>
      </c>
      <c r="S250" s="50">
        <v>0.93640000000000001</v>
      </c>
      <c r="T250" s="46">
        <v>0.93640000000000001</v>
      </c>
    </row>
    <row r="251" spans="16:20" x14ac:dyDescent="0.25">
      <c r="P251" s="18">
        <v>250</v>
      </c>
      <c r="Q251" s="50">
        <v>86.149500000000003</v>
      </c>
      <c r="R251" s="50">
        <v>0</v>
      </c>
      <c r="S251" s="50">
        <v>4.5625</v>
      </c>
      <c r="T251" s="46">
        <v>4.5625</v>
      </c>
    </row>
    <row r="252" spans="16:20" x14ac:dyDescent="0.25">
      <c r="P252" s="18">
        <v>251</v>
      </c>
      <c r="Q252" s="50">
        <v>117.1579</v>
      </c>
      <c r="R252" s="50">
        <v>17.157900000000001</v>
      </c>
      <c r="S252" s="50">
        <v>19.029900000000001</v>
      </c>
      <c r="T252" s="46">
        <v>1.8720000000000001</v>
      </c>
    </row>
    <row r="253" spans="16:20" x14ac:dyDescent="0.25">
      <c r="P253" s="18">
        <v>252</v>
      </c>
      <c r="Q253" s="50">
        <v>65.516300000000001</v>
      </c>
      <c r="R253" s="50">
        <v>0</v>
      </c>
      <c r="S253" s="50">
        <v>0.55459999999999998</v>
      </c>
      <c r="T253" s="46">
        <v>0.55459999999999998</v>
      </c>
    </row>
    <row r="254" spans="16:20" x14ac:dyDescent="0.25">
      <c r="P254" s="18">
        <v>253</v>
      </c>
      <c r="Q254" s="50">
        <v>85.675700000000006</v>
      </c>
      <c r="R254" s="50">
        <v>0</v>
      </c>
      <c r="S254" s="50">
        <v>1.7583</v>
      </c>
      <c r="T254" s="46">
        <v>1.7583</v>
      </c>
    </row>
    <row r="255" spans="16:20" x14ac:dyDescent="0.25">
      <c r="P255" s="18">
        <v>254</v>
      </c>
      <c r="Q255" s="50">
        <v>101.0946</v>
      </c>
      <c r="R255" s="50">
        <v>1.0946</v>
      </c>
      <c r="S255" s="50">
        <v>7.4458000000000002</v>
      </c>
      <c r="T255" s="46">
        <v>6.3513000000000002</v>
      </c>
    </row>
    <row r="256" spans="16:20" x14ac:dyDescent="0.25">
      <c r="P256" s="18">
        <v>255</v>
      </c>
      <c r="Q256" s="50">
        <v>55.536099999999998</v>
      </c>
      <c r="R256" s="50">
        <v>0</v>
      </c>
      <c r="S256" s="50">
        <v>-2.2504</v>
      </c>
      <c r="T256" s="46">
        <v>-2.2504</v>
      </c>
    </row>
    <row r="257" spans="16:20" x14ac:dyDescent="0.25">
      <c r="P257" s="18">
        <v>256</v>
      </c>
      <c r="Q257" s="50">
        <v>146.43860000000001</v>
      </c>
      <c r="R257" s="50">
        <v>46.438600000000001</v>
      </c>
      <c r="S257" s="50">
        <v>46.084800000000001</v>
      </c>
      <c r="T257" s="46">
        <v>-0.3538</v>
      </c>
    </row>
    <row r="258" spans="16:20" x14ac:dyDescent="0.25">
      <c r="P258" s="18">
        <v>257</v>
      </c>
      <c r="Q258" s="50">
        <v>62.057200000000002</v>
      </c>
      <c r="R258" s="50">
        <v>0</v>
      </c>
      <c r="S258" s="50">
        <v>-0.86919999999999997</v>
      </c>
      <c r="T258" s="46">
        <v>-0.86919999999999997</v>
      </c>
    </row>
    <row r="259" spans="16:20" x14ac:dyDescent="0.25">
      <c r="P259" s="18">
        <v>258</v>
      </c>
      <c r="Q259" s="50">
        <v>96.251400000000004</v>
      </c>
      <c r="R259" s="50">
        <v>0</v>
      </c>
      <c r="S259" s="50">
        <v>1.8762000000000001</v>
      </c>
      <c r="T259" s="46">
        <v>1.8762000000000001</v>
      </c>
    </row>
    <row r="260" spans="16:20" x14ac:dyDescent="0.25">
      <c r="P260" s="18">
        <v>259</v>
      </c>
      <c r="Q260" s="50">
        <v>95.2119</v>
      </c>
      <c r="R260" s="50">
        <v>0</v>
      </c>
      <c r="S260" s="50">
        <v>4.2869999999999999</v>
      </c>
      <c r="T260" s="46">
        <v>4.2869999999999999</v>
      </c>
    </row>
    <row r="261" spans="16:20" x14ac:dyDescent="0.25">
      <c r="P261" s="18">
        <v>260</v>
      </c>
      <c r="Q261" s="50">
        <v>152.13980000000001</v>
      </c>
      <c r="R261" s="50">
        <v>52.139800000000001</v>
      </c>
      <c r="S261" s="50">
        <v>49.997799999999998</v>
      </c>
      <c r="T261" s="46">
        <v>-2.1421000000000001</v>
      </c>
    </row>
    <row r="262" spans="16:20" x14ac:dyDescent="0.25">
      <c r="P262" s="18">
        <v>261</v>
      </c>
      <c r="Q262" s="50">
        <v>53.337699999999998</v>
      </c>
      <c r="R262" s="50">
        <v>0</v>
      </c>
      <c r="S262" s="50">
        <v>-2.5644999999999998</v>
      </c>
      <c r="T262" s="46">
        <v>-2.5644999999999998</v>
      </c>
    </row>
    <row r="263" spans="16:20" x14ac:dyDescent="0.25">
      <c r="P263" s="18">
        <v>262</v>
      </c>
      <c r="Q263" s="50">
        <v>109.6246</v>
      </c>
      <c r="R263" s="50">
        <v>9.6245999999999992</v>
      </c>
      <c r="S263" s="50">
        <v>3.956</v>
      </c>
      <c r="T263" s="46">
        <v>-5.6685999999999996</v>
      </c>
    </row>
    <row r="264" spans="16:20" x14ac:dyDescent="0.25">
      <c r="P264" s="18">
        <v>263</v>
      </c>
      <c r="Q264" s="50">
        <v>60.131399999999999</v>
      </c>
      <c r="R264" s="50">
        <v>0</v>
      </c>
      <c r="S264" s="50">
        <v>0.6179</v>
      </c>
      <c r="T264" s="46">
        <v>0.6179</v>
      </c>
    </row>
    <row r="265" spans="16:20" x14ac:dyDescent="0.25">
      <c r="P265" s="18">
        <v>264</v>
      </c>
      <c r="Q265" s="50">
        <v>56.418599999999998</v>
      </c>
      <c r="R265" s="50">
        <v>0</v>
      </c>
      <c r="S265" s="50">
        <v>-0.315</v>
      </c>
      <c r="T265" s="46">
        <v>-0.315</v>
      </c>
    </row>
    <row r="266" spans="16:20" x14ac:dyDescent="0.25">
      <c r="P266" s="18">
        <v>265</v>
      </c>
      <c r="Q266" s="50">
        <v>158.59780000000001</v>
      </c>
      <c r="R266" s="50">
        <v>58.597799999999999</v>
      </c>
      <c r="S266" s="50">
        <v>58.664200000000001</v>
      </c>
      <c r="T266" s="46">
        <v>6.6400000000000001E-2</v>
      </c>
    </row>
    <row r="267" spans="16:20" x14ac:dyDescent="0.25">
      <c r="P267" s="18">
        <v>266</v>
      </c>
      <c r="Q267" s="50">
        <v>89.887299999999996</v>
      </c>
      <c r="R267" s="50">
        <v>0</v>
      </c>
      <c r="S267" s="50">
        <v>0.32019999999999998</v>
      </c>
      <c r="T267" s="46">
        <v>0.32019999999999998</v>
      </c>
    </row>
    <row r="268" spans="16:20" x14ac:dyDescent="0.25">
      <c r="P268" s="18">
        <v>267</v>
      </c>
      <c r="Q268" s="50">
        <v>135.78700000000001</v>
      </c>
      <c r="R268" s="50">
        <v>35.786999999999999</v>
      </c>
      <c r="S268" s="50">
        <v>33.272599999999997</v>
      </c>
      <c r="T268" s="46">
        <v>-2.5144000000000002</v>
      </c>
    </row>
    <row r="269" spans="16:20" x14ac:dyDescent="0.25">
      <c r="P269" s="18">
        <v>268</v>
      </c>
      <c r="Q269" s="50">
        <v>63.603999999999999</v>
      </c>
      <c r="R269" s="50">
        <v>0</v>
      </c>
      <c r="S269" s="50">
        <v>-0.86060000000000003</v>
      </c>
      <c r="T269" s="46">
        <v>-0.86060000000000003</v>
      </c>
    </row>
    <row r="270" spans="16:20" x14ac:dyDescent="0.25">
      <c r="P270" s="18">
        <v>269</v>
      </c>
      <c r="Q270" s="50">
        <v>88.569000000000003</v>
      </c>
      <c r="R270" s="50">
        <v>0</v>
      </c>
      <c r="S270" s="50">
        <v>2.2501000000000002</v>
      </c>
      <c r="T270" s="46">
        <v>2.2501000000000002</v>
      </c>
    </row>
    <row r="271" spans="16:20" x14ac:dyDescent="0.25">
      <c r="P271" s="18">
        <v>270</v>
      </c>
      <c r="Q271" s="50">
        <v>56.111899999999999</v>
      </c>
      <c r="R271" s="50">
        <v>0</v>
      </c>
      <c r="S271" s="50">
        <v>-0.17560000000000001</v>
      </c>
      <c r="T271" s="46">
        <v>-0.17560000000000001</v>
      </c>
    </row>
    <row r="272" spans="16:20" x14ac:dyDescent="0.25">
      <c r="P272" s="18">
        <v>271</v>
      </c>
      <c r="Q272" s="50">
        <v>145.67429999999999</v>
      </c>
      <c r="R272" s="50">
        <v>45.674300000000002</v>
      </c>
      <c r="S272" s="50">
        <v>43.9694</v>
      </c>
      <c r="T272" s="46">
        <v>-1.7049000000000001</v>
      </c>
    </row>
    <row r="273" spans="16:20" x14ac:dyDescent="0.25">
      <c r="P273" s="18">
        <v>272</v>
      </c>
      <c r="Q273" s="50">
        <v>155.22389999999999</v>
      </c>
      <c r="R273" s="50">
        <v>55.2239</v>
      </c>
      <c r="S273" s="50">
        <v>54.909399999999998</v>
      </c>
      <c r="T273" s="46">
        <v>-0.3145</v>
      </c>
    </row>
    <row r="274" spans="16:20" x14ac:dyDescent="0.25">
      <c r="P274" s="18">
        <v>273</v>
      </c>
      <c r="Q274" s="50">
        <v>116.0534</v>
      </c>
      <c r="R274" s="50">
        <v>16.0534</v>
      </c>
      <c r="S274" s="50">
        <v>15.6755</v>
      </c>
      <c r="T274" s="46">
        <v>-0.37790000000000001</v>
      </c>
    </row>
    <row r="275" spans="16:20" x14ac:dyDescent="0.25">
      <c r="P275" s="18">
        <v>274</v>
      </c>
      <c r="Q275" s="50">
        <v>109.4195</v>
      </c>
      <c r="R275" s="50">
        <v>9.4194999999999993</v>
      </c>
      <c r="S275" s="50">
        <v>13.5731</v>
      </c>
      <c r="T275" s="46">
        <v>4.1536</v>
      </c>
    </row>
    <row r="276" spans="16:20" x14ac:dyDescent="0.25">
      <c r="P276" s="18">
        <v>275</v>
      </c>
      <c r="Q276" s="50">
        <v>143.1934</v>
      </c>
      <c r="R276" s="50">
        <v>43.193399999999997</v>
      </c>
      <c r="S276" s="50">
        <v>41.155000000000001</v>
      </c>
      <c r="T276" s="46">
        <v>-2.0384000000000002</v>
      </c>
    </row>
    <row r="277" spans="16:20" x14ac:dyDescent="0.25">
      <c r="P277" s="18">
        <v>276</v>
      </c>
      <c r="Q277" s="50">
        <v>101.65170000000001</v>
      </c>
      <c r="R277" s="50">
        <v>1.6516999999999999</v>
      </c>
      <c r="S277" s="50">
        <v>3.7187000000000001</v>
      </c>
      <c r="T277" s="46">
        <v>2.0669</v>
      </c>
    </row>
    <row r="278" spans="16:20" x14ac:dyDescent="0.25">
      <c r="P278" s="18">
        <v>277</v>
      </c>
      <c r="Q278" s="50">
        <v>112.48739999999999</v>
      </c>
      <c r="R278" s="50">
        <v>12.487399999999999</v>
      </c>
      <c r="S278" s="50">
        <v>14.510199999999999</v>
      </c>
      <c r="T278" s="46">
        <v>2.0228000000000002</v>
      </c>
    </row>
    <row r="279" spans="16:20" x14ac:dyDescent="0.25">
      <c r="P279" s="18">
        <v>278</v>
      </c>
      <c r="Q279" s="50">
        <v>110.29810000000001</v>
      </c>
      <c r="R279" s="50">
        <v>10.2981</v>
      </c>
      <c r="S279" s="50">
        <v>9.9385999999999992</v>
      </c>
      <c r="T279" s="46">
        <v>-0.35949999999999999</v>
      </c>
    </row>
    <row r="280" spans="16:20" x14ac:dyDescent="0.25">
      <c r="P280" s="18">
        <v>279</v>
      </c>
      <c r="Q280" s="50">
        <v>163.68340000000001</v>
      </c>
      <c r="R280" s="50">
        <v>63.683399999999999</v>
      </c>
      <c r="S280" s="50">
        <v>63.823900000000002</v>
      </c>
      <c r="T280" s="46">
        <v>0.14050000000000001</v>
      </c>
    </row>
    <row r="281" spans="16:20" x14ac:dyDescent="0.25">
      <c r="P281" s="18">
        <v>280</v>
      </c>
      <c r="Q281" s="50">
        <v>148.17779999999999</v>
      </c>
      <c r="R281" s="50">
        <v>48.177799999999998</v>
      </c>
      <c r="S281" s="50">
        <v>45.356900000000003</v>
      </c>
      <c r="T281" s="46">
        <v>-2.8209</v>
      </c>
    </row>
    <row r="282" spans="16:20" x14ac:dyDescent="0.25">
      <c r="P282" s="18">
        <v>281</v>
      </c>
      <c r="Q282" s="50">
        <v>157.58799999999999</v>
      </c>
      <c r="R282" s="50">
        <v>57.588000000000001</v>
      </c>
      <c r="S282" s="50">
        <v>57.868400000000001</v>
      </c>
      <c r="T282" s="46">
        <v>0.28029999999999999</v>
      </c>
    </row>
    <row r="283" spans="16:20" x14ac:dyDescent="0.25">
      <c r="P283" s="18">
        <v>282</v>
      </c>
      <c r="Q283" s="50">
        <v>112.60550000000001</v>
      </c>
      <c r="R283" s="50">
        <v>12.605499999999999</v>
      </c>
      <c r="S283" s="50">
        <v>15.230600000000001</v>
      </c>
      <c r="T283" s="46">
        <v>2.625</v>
      </c>
    </row>
    <row r="284" spans="16:20" x14ac:dyDescent="0.25">
      <c r="P284" s="18">
        <v>283</v>
      </c>
      <c r="Q284" s="50">
        <v>102.5133</v>
      </c>
      <c r="R284" s="50">
        <v>2.5133000000000001</v>
      </c>
      <c r="S284" s="50">
        <v>4.4470999999999998</v>
      </c>
      <c r="T284" s="46">
        <v>1.9338</v>
      </c>
    </row>
    <row r="285" spans="16:20" x14ac:dyDescent="0.25">
      <c r="P285" s="18">
        <v>284</v>
      </c>
      <c r="Q285" s="50">
        <v>101.36150000000001</v>
      </c>
      <c r="R285" s="50">
        <v>1.3614999999999999</v>
      </c>
      <c r="S285" s="50">
        <v>5.0039999999999996</v>
      </c>
      <c r="T285" s="46">
        <v>3.6425000000000001</v>
      </c>
    </row>
    <row r="286" spans="16:20" x14ac:dyDescent="0.25">
      <c r="P286" s="18">
        <v>285</v>
      </c>
      <c r="Q286" s="50">
        <v>135.01259999999999</v>
      </c>
      <c r="R286" s="50">
        <v>35.012599999999999</v>
      </c>
      <c r="S286" s="50">
        <v>34.757100000000001</v>
      </c>
      <c r="T286" s="46">
        <v>-0.2555</v>
      </c>
    </row>
    <row r="287" spans="16:20" x14ac:dyDescent="0.25">
      <c r="P287" s="18">
        <v>286</v>
      </c>
      <c r="Q287" s="50">
        <v>95.639300000000006</v>
      </c>
      <c r="R287" s="50">
        <v>0</v>
      </c>
      <c r="S287" s="50">
        <v>4.9310999999999998</v>
      </c>
      <c r="T287" s="46">
        <v>4.9310999999999998</v>
      </c>
    </row>
    <row r="288" spans="16:20" x14ac:dyDescent="0.25">
      <c r="P288" s="18">
        <v>287</v>
      </c>
      <c r="Q288" s="50">
        <v>84.845100000000002</v>
      </c>
      <c r="R288" s="50">
        <v>0</v>
      </c>
      <c r="S288" s="50">
        <v>-0.74890000000000001</v>
      </c>
      <c r="T288" s="46">
        <v>-0.74890000000000001</v>
      </c>
    </row>
    <row r="289" spans="16:20" x14ac:dyDescent="0.25">
      <c r="P289" s="18">
        <v>288</v>
      </c>
      <c r="Q289" s="50">
        <v>138.0086</v>
      </c>
      <c r="R289" s="50">
        <v>38.008600000000001</v>
      </c>
      <c r="S289" s="50">
        <v>40.049799999999998</v>
      </c>
      <c r="T289" s="46">
        <v>2.0411999999999999</v>
      </c>
    </row>
    <row r="290" spans="16:20" x14ac:dyDescent="0.25">
      <c r="P290" s="18">
        <v>289</v>
      </c>
      <c r="Q290" s="50">
        <v>84.911799999999999</v>
      </c>
      <c r="R290" s="50">
        <v>0</v>
      </c>
      <c r="S290" s="50">
        <v>4.3609</v>
      </c>
      <c r="T290" s="46">
        <v>4.3609</v>
      </c>
    </row>
    <row r="291" spans="16:20" x14ac:dyDescent="0.25">
      <c r="P291" s="18">
        <v>290</v>
      </c>
      <c r="Q291" s="50">
        <v>116.5106</v>
      </c>
      <c r="R291" s="50">
        <v>16.5106</v>
      </c>
      <c r="S291" s="50">
        <v>15.7972</v>
      </c>
      <c r="T291" s="46">
        <v>-0.71330000000000005</v>
      </c>
    </row>
    <row r="292" spans="16:20" x14ac:dyDescent="0.25">
      <c r="P292" s="18">
        <v>291</v>
      </c>
      <c r="Q292" s="50">
        <v>83.042400000000001</v>
      </c>
      <c r="R292" s="50">
        <v>0</v>
      </c>
      <c r="S292" s="50">
        <v>-2.7223000000000002</v>
      </c>
      <c r="T292" s="46">
        <v>-2.7223000000000002</v>
      </c>
    </row>
    <row r="293" spans="16:20" x14ac:dyDescent="0.25">
      <c r="P293" s="18">
        <v>292</v>
      </c>
      <c r="Q293" s="50">
        <v>111.4118</v>
      </c>
      <c r="R293" s="50">
        <v>11.411799999999999</v>
      </c>
      <c r="S293" s="50">
        <v>10.8375</v>
      </c>
      <c r="T293" s="46">
        <v>-0.57430000000000003</v>
      </c>
    </row>
    <row r="294" spans="16:20" x14ac:dyDescent="0.25">
      <c r="P294" s="18">
        <v>293</v>
      </c>
      <c r="Q294" s="50">
        <v>104.407</v>
      </c>
      <c r="R294" s="50">
        <v>4.407</v>
      </c>
      <c r="S294" s="50">
        <v>4.9404000000000003</v>
      </c>
      <c r="T294" s="46">
        <v>0.53339999999999999</v>
      </c>
    </row>
    <row r="295" spans="16:20" x14ac:dyDescent="0.25">
      <c r="P295" s="18">
        <v>294</v>
      </c>
      <c r="Q295" s="50">
        <v>94.292900000000003</v>
      </c>
      <c r="R295" s="50">
        <v>0</v>
      </c>
      <c r="S295" s="50">
        <v>2.1798999999999999</v>
      </c>
      <c r="T295" s="46">
        <v>2.1798999999999999</v>
      </c>
    </row>
    <row r="296" spans="16:20" x14ac:dyDescent="0.25">
      <c r="P296" s="18">
        <v>295</v>
      </c>
      <c r="Q296" s="50">
        <v>139.8425</v>
      </c>
      <c r="R296" s="50">
        <v>39.842500000000001</v>
      </c>
      <c r="S296" s="50">
        <v>37.409999999999997</v>
      </c>
      <c r="T296" s="46">
        <v>-2.4325000000000001</v>
      </c>
    </row>
    <row r="297" spans="16:20" x14ac:dyDescent="0.25">
      <c r="P297" s="18">
        <v>296</v>
      </c>
      <c r="Q297" s="50">
        <v>119.97110000000001</v>
      </c>
      <c r="R297" s="50">
        <v>19.9711</v>
      </c>
      <c r="S297" s="50">
        <v>22.173400000000001</v>
      </c>
      <c r="T297" s="46">
        <v>2.2021999999999999</v>
      </c>
    </row>
    <row r="298" spans="16:20" x14ac:dyDescent="0.25">
      <c r="P298" s="18">
        <v>297</v>
      </c>
      <c r="Q298" s="50">
        <v>87.153099999999995</v>
      </c>
      <c r="R298" s="50">
        <v>0</v>
      </c>
      <c r="S298" s="50">
        <v>1.0863</v>
      </c>
      <c r="T298" s="46">
        <v>1.0863</v>
      </c>
    </row>
    <row r="299" spans="16:20" x14ac:dyDescent="0.25">
      <c r="P299" s="18">
        <v>298</v>
      </c>
      <c r="Q299" s="50">
        <v>82.180199999999999</v>
      </c>
      <c r="R299" s="50">
        <v>0</v>
      </c>
      <c r="S299" s="50">
        <v>2.4693000000000001</v>
      </c>
      <c r="T299" s="46">
        <v>2.4693000000000001</v>
      </c>
    </row>
    <row r="300" spans="16:20" x14ac:dyDescent="0.25">
      <c r="P300" s="18">
        <v>299</v>
      </c>
      <c r="Q300" s="50">
        <v>117.0839</v>
      </c>
      <c r="R300" s="50">
        <v>17.0839</v>
      </c>
      <c r="S300" s="50">
        <v>18.967400000000001</v>
      </c>
      <c r="T300" s="46">
        <v>1.8834</v>
      </c>
    </row>
    <row r="301" spans="16:20" x14ac:dyDescent="0.25">
      <c r="P301" s="18">
        <v>300</v>
      </c>
      <c r="Q301" s="50">
        <v>135.30520000000001</v>
      </c>
      <c r="R301" s="50">
        <v>35.305199999999999</v>
      </c>
      <c r="S301" s="50">
        <v>38.551400000000001</v>
      </c>
      <c r="T301" s="46">
        <v>3.2462</v>
      </c>
    </row>
    <row r="302" spans="16:20" x14ac:dyDescent="0.25">
      <c r="P302" s="18">
        <v>301</v>
      </c>
      <c r="Q302" s="50">
        <v>123.1418</v>
      </c>
      <c r="R302" s="50">
        <v>23.1418</v>
      </c>
      <c r="S302" s="50">
        <v>21.7958</v>
      </c>
      <c r="T302" s="46">
        <v>-1.3460000000000001</v>
      </c>
    </row>
    <row r="303" spans="16:20" x14ac:dyDescent="0.25">
      <c r="P303" s="18">
        <v>302</v>
      </c>
      <c r="Q303" s="50">
        <v>86.045500000000004</v>
      </c>
      <c r="R303" s="50">
        <v>0</v>
      </c>
      <c r="S303" s="50">
        <v>1.6369</v>
      </c>
      <c r="T303" s="46">
        <v>1.6369</v>
      </c>
    </row>
    <row r="304" spans="16:20" x14ac:dyDescent="0.25">
      <c r="P304" s="18">
        <v>303</v>
      </c>
      <c r="Q304" s="50">
        <v>122.1885</v>
      </c>
      <c r="R304" s="50">
        <v>22.188500000000001</v>
      </c>
      <c r="S304" s="50">
        <v>20.871099999999998</v>
      </c>
      <c r="T304" s="46">
        <v>-1.3173999999999999</v>
      </c>
    </row>
    <row r="305" spans="16:20" x14ac:dyDescent="0.25">
      <c r="P305" s="18">
        <v>304</v>
      </c>
      <c r="Q305" s="50">
        <v>122.509</v>
      </c>
      <c r="R305" s="50">
        <v>22.5091</v>
      </c>
      <c r="S305" s="50">
        <v>19.974599999999999</v>
      </c>
      <c r="T305" s="46">
        <v>-2.5345</v>
      </c>
    </row>
    <row r="306" spans="16:20" x14ac:dyDescent="0.25">
      <c r="P306" s="18">
        <v>305</v>
      </c>
      <c r="Q306" s="50">
        <v>114.3015</v>
      </c>
      <c r="R306" s="50">
        <v>14.301500000000001</v>
      </c>
      <c r="S306" s="50">
        <v>16.482700000000001</v>
      </c>
      <c r="T306" s="46">
        <v>2.1812</v>
      </c>
    </row>
    <row r="307" spans="16:20" x14ac:dyDescent="0.25">
      <c r="P307" s="18">
        <v>306</v>
      </c>
      <c r="Q307" s="50">
        <v>143.53460000000001</v>
      </c>
      <c r="R307" s="50">
        <v>43.534599999999998</v>
      </c>
      <c r="S307" s="50">
        <v>44.196599999999997</v>
      </c>
      <c r="T307" s="46">
        <v>0.66200000000000003</v>
      </c>
    </row>
    <row r="308" spans="16:20" x14ac:dyDescent="0.25">
      <c r="P308" s="18">
        <v>307</v>
      </c>
      <c r="Q308" s="50">
        <v>93.361699999999999</v>
      </c>
      <c r="R308" s="50">
        <v>0</v>
      </c>
      <c r="S308" s="50">
        <v>0.99390000000000001</v>
      </c>
      <c r="T308" s="46">
        <v>0.99390000000000001</v>
      </c>
    </row>
    <row r="309" spans="16:20" x14ac:dyDescent="0.25">
      <c r="P309" s="18">
        <v>308</v>
      </c>
      <c r="Q309" s="50">
        <v>91.475800000000007</v>
      </c>
      <c r="R309" s="50">
        <v>0</v>
      </c>
      <c r="S309" s="50">
        <v>4.9058999999999999</v>
      </c>
      <c r="T309" s="46">
        <v>4.9058999999999999</v>
      </c>
    </row>
    <row r="310" spans="16:20" x14ac:dyDescent="0.25">
      <c r="P310" s="18">
        <v>309</v>
      </c>
      <c r="Q310" s="50">
        <v>153.76759999999999</v>
      </c>
      <c r="R310" s="50">
        <v>53.767600000000002</v>
      </c>
      <c r="S310" s="50">
        <v>51.456600000000002</v>
      </c>
      <c r="T310" s="46">
        <v>-2.3109999999999999</v>
      </c>
    </row>
    <row r="311" spans="16:20" x14ac:dyDescent="0.25">
      <c r="P311" s="18">
        <v>310</v>
      </c>
      <c r="Q311" s="50">
        <v>104.3737</v>
      </c>
      <c r="R311" s="50">
        <v>4.3737000000000004</v>
      </c>
      <c r="S311" s="50">
        <v>11.5731</v>
      </c>
      <c r="T311" s="46">
        <v>7.1993999999999998</v>
      </c>
    </row>
    <row r="312" spans="16:20" x14ac:dyDescent="0.25">
      <c r="P312" s="18">
        <v>311</v>
      </c>
      <c r="Q312" s="50">
        <v>128.2251</v>
      </c>
      <c r="R312" s="50">
        <v>28.225100000000001</v>
      </c>
      <c r="S312" s="50">
        <v>28.359000000000002</v>
      </c>
      <c r="T312" s="46">
        <v>0.13389999999999999</v>
      </c>
    </row>
    <row r="313" spans="16:20" x14ac:dyDescent="0.25">
      <c r="P313" s="18">
        <v>312</v>
      </c>
      <c r="Q313" s="50">
        <v>98.814099999999996</v>
      </c>
      <c r="R313" s="50">
        <v>0</v>
      </c>
      <c r="S313" s="50">
        <v>-2.4302999999999999</v>
      </c>
      <c r="T313" s="46">
        <v>-2.4302999999999999</v>
      </c>
    </row>
    <row r="314" spans="16:20" x14ac:dyDescent="0.25">
      <c r="P314" s="18">
        <v>313</v>
      </c>
      <c r="Q314" s="50">
        <v>80.437100000000001</v>
      </c>
      <c r="R314" s="50">
        <v>0</v>
      </c>
      <c r="S314" s="50">
        <v>-2.0424000000000002</v>
      </c>
      <c r="T314" s="46">
        <v>-2.0424000000000002</v>
      </c>
    </row>
    <row r="315" spans="16:20" x14ac:dyDescent="0.25">
      <c r="P315" s="18">
        <v>314</v>
      </c>
      <c r="Q315" s="50">
        <v>64.912199999999999</v>
      </c>
      <c r="R315" s="50">
        <v>0</v>
      </c>
      <c r="S315" s="50">
        <v>-0.61799999999999999</v>
      </c>
      <c r="T315" s="46">
        <v>-0.61799999999999999</v>
      </c>
    </row>
    <row r="316" spans="16:20" x14ac:dyDescent="0.25">
      <c r="P316" s="18">
        <v>315</v>
      </c>
      <c r="Q316" s="50">
        <v>74.786900000000003</v>
      </c>
      <c r="R316" s="50">
        <v>0</v>
      </c>
      <c r="S316" s="50">
        <v>-0.21310000000000001</v>
      </c>
      <c r="T316" s="46">
        <v>-0.21310000000000001</v>
      </c>
    </row>
    <row r="317" spans="16:20" x14ac:dyDescent="0.25">
      <c r="P317" s="18">
        <v>316</v>
      </c>
      <c r="Q317" s="50">
        <v>110.11790000000001</v>
      </c>
      <c r="R317" s="50">
        <v>10.117900000000001</v>
      </c>
      <c r="S317" s="50">
        <v>8.9208999999999996</v>
      </c>
      <c r="T317" s="46">
        <v>-1.1970000000000001</v>
      </c>
    </row>
    <row r="318" spans="16:20" x14ac:dyDescent="0.25">
      <c r="P318" s="18">
        <v>317</v>
      </c>
      <c r="Q318" s="50">
        <v>153.2457</v>
      </c>
      <c r="R318" s="50">
        <v>53.245699999999999</v>
      </c>
      <c r="S318" s="50">
        <v>54.161799999999999</v>
      </c>
      <c r="T318" s="46">
        <v>0.91620000000000001</v>
      </c>
    </row>
    <row r="319" spans="16:20" x14ac:dyDescent="0.25">
      <c r="P319" s="18">
        <v>318</v>
      </c>
      <c r="Q319" s="50">
        <v>142.87379999999999</v>
      </c>
      <c r="R319" s="50">
        <v>42.873800000000003</v>
      </c>
      <c r="S319" s="50">
        <v>42.584099999999999</v>
      </c>
      <c r="T319" s="46">
        <v>-0.28970000000000001</v>
      </c>
    </row>
    <row r="320" spans="16:20" x14ac:dyDescent="0.25">
      <c r="P320" s="18">
        <v>319</v>
      </c>
      <c r="Q320" s="50">
        <v>74.887799999999999</v>
      </c>
      <c r="R320" s="50">
        <v>0</v>
      </c>
      <c r="S320" s="50">
        <v>-1.4211</v>
      </c>
      <c r="T320" s="46">
        <v>-1.4211</v>
      </c>
    </row>
    <row r="321" spans="16:20" x14ac:dyDescent="0.25">
      <c r="P321" s="18">
        <v>320</v>
      </c>
      <c r="Q321" s="50">
        <v>114.8681</v>
      </c>
      <c r="R321" s="50">
        <v>14.8681</v>
      </c>
      <c r="S321" s="50">
        <v>14.2423</v>
      </c>
      <c r="T321" s="46">
        <v>-0.62580000000000002</v>
      </c>
    </row>
    <row r="322" spans="16:20" x14ac:dyDescent="0.25">
      <c r="P322" s="18">
        <v>321</v>
      </c>
      <c r="Q322" s="50">
        <v>133.28389999999999</v>
      </c>
      <c r="R322" s="50">
        <v>33.283900000000003</v>
      </c>
      <c r="S322" s="50">
        <v>33.366799999999998</v>
      </c>
      <c r="T322" s="46">
        <v>8.3000000000000004E-2</v>
      </c>
    </row>
    <row r="323" spans="16:20" x14ac:dyDescent="0.25">
      <c r="P323" s="18">
        <v>322</v>
      </c>
      <c r="Q323" s="50">
        <v>79.561999999999998</v>
      </c>
      <c r="R323" s="50">
        <v>0</v>
      </c>
      <c r="S323" s="50">
        <v>-3.1025</v>
      </c>
      <c r="T323" s="46">
        <v>-3.1025</v>
      </c>
    </row>
    <row r="324" spans="16:20" x14ac:dyDescent="0.25">
      <c r="P324" s="18">
        <v>323</v>
      </c>
      <c r="Q324" s="50">
        <v>109.12309999999999</v>
      </c>
      <c r="R324" s="50">
        <v>9.1231000000000009</v>
      </c>
      <c r="S324" s="50">
        <v>8.0383999999999993</v>
      </c>
      <c r="T324" s="46">
        <v>-1.0848</v>
      </c>
    </row>
    <row r="325" spans="16:20" x14ac:dyDescent="0.25">
      <c r="P325" s="18">
        <v>324</v>
      </c>
      <c r="Q325" s="50">
        <v>105.7889</v>
      </c>
      <c r="R325" s="50">
        <v>5.7888999999999999</v>
      </c>
      <c r="S325" s="50">
        <v>4.7454999999999998</v>
      </c>
      <c r="T325" s="46">
        <v>-1.0434000000000001</v>
      </c>
    </row>
    <row r="326" spans="16:20" x14ac:dyDescent="0.25">
      <c r="P326" s="18">
        <v>325</v>
      </c>
      <c r="Q326" s="50">
        <v>78.856999999999999</v>
      </c>
      <c r="R326" s="50">
        <v>0</v>
      </c>
      <c r="S326" s="50">
        <v>-2.3186</v>
      </c>
      <c r="T326" s="46">
        <v>-2.3186</v>
      </c>
    </row>
    <row r="327" spans="16:20" x14ac:dyDescent="0.25">
      <c r="P327" s="18">
        <v>326</v>
      </c>
      <c r="Q327" s="50">
        <v>56.231900000000003</v>
      </c>
      <c r="R327" s="50">
        <v>0</v>
      </c>
      <c r="S327" s="50">
        <v>-0.41710000000000003</v>
      </c>
      <c r="T327" s="46">
        <v>-0.41710000000000003</v>
      </c>
    </row>
    <row r="328" spans="16:20" x14ac:dyDescent="0.25">
      <c r="P328" s="18">
        <v>327</v>
      </c>
      <c r="Q328" s="50">
        <v>91.677000000000007</v>
      </c>
      <c r="R328" s="50">
        <v>0</v>
      </c>
      <c r="S328" s="50">
        <v>-1.9738</v>
      </c>
      <c r="T328" s="46">
        <v>-1.9738</v>
      </c>
    </row>
    <row r="329" spans="16:20" x14ac:dyDescent="0.25">
      <c r="P329" s="18">
        <v>328</v>
      </c>
      <c r="Q329" s="50">
        <v>131.94470000000001</v>
      </c>
      <c r="R329" s="50">
        <v>31.944700000000001</v>
      </c>
      <c r="S329" s="50">
        <v>29.359000000000002</v>
      </c>
      <c r="T329" s="46">
        <v>-2.5857999999999999</v>
      </c>
    </row>
    <row r="330" spans="16:20" x14ac:dyDescent="0.25">
      <c r="P330" s="18">
        <v>329</v>
      </c>
      <c r="Q330" s="50">
        <v>130.89930000000001</v>
      </c>
      <c r="R330" s="50">
        <v>30.8993</v>
      </c>
      <c r="S330" s="50">
        <v>32.661700000000003</v>
      </c>
      <c r="T330" s="46">
        <v>1.7623</v>
      </c>
    </row>
    <row r="331" spans="16:20" x14ac:dyDescent="0.25">
      <c r="P331" s="18">
        <v>330</v>
      </c>
      <c r="Q331" s="50">
        <v>87.643799999999999</v>
      </c>
      <c r="R331" s="50">
        <v>0</v>
      </c>
      <c r="S331" s="50">
        <v>2.5707</v>
      </c>
      <c r="T331" s="46">
        <v>2.5707</v>
      </c>
    </row>
    <row r="332" spans="16:20" x14ac:dyDescent="0.25">
      <c r="P332" s="18">
        <v>331</v>
      </c>
      <c r="Q332" s="50">
        <v>112.6405</v>
      </c>
      <c r="R332" s="50">
        <v>12.640499999999999</v>
      </c>
      <c r="S332" s="50">
        <v>13.2613</v>
      </c>
      <c r="T332" s="46">
        <v>0.62080000000000002</v>
      </c>
    </row>
    <row r="333" spans="16:20" x14ac:dyDescent="0.25">
      <c r="P333" s="18">
        <v>332</v>
      </c>
      <c r="Q333" s="50">
        <v>90.582300000000004</v>
      </c>
      <c r="R333" s="50">
        <v>0</v>
      </c>
      <c r="S333" s="50">
        <v>-3.8934000000000002</v>
      </c>
      <c r="T333" s="46">
        <v>-3.8934000000000002</v>
      </c>
    </row>
    <row r="334" spans="16:20" x14ac:dyDescent="0.25">
      <c r="P334" s="18">
        <v>333</v>
      </c>
      <c r="Q334" s="50">
        <v>205.8888</v>
      </c>
      <c r="R334" s="50">
        <v>105.8888</v>
      </c>
      <c r="S334" s="50">
        <v>103.785</v>
      </c>
      <c r="T334" s="46">
        <v>-2.1038999999999999</v>
      </c>
    </row>
    <row r="335" spans="16:20" x14ac:dyDescent="0.25">
      <c r="P335" s="18">
        <v>334</v>
      </c>
      <c r="Q335" s="50">
        <v>112.3738</v>
      </c>
      <c r="R335" s="50">
        <v>12.373799999999999</v>
      </c>
      <c r="S335" s="50">
        <v>11.6343</v>
      </c>
      <c r="T335" s="46">
        <v>-0.73950000000000005</v>
      </c>
    </row>
    <row r="336" spans="16:20" x14ac:dyDescent="0.25">
      <c r="P336" s="18">
        <v>335</v>
      </c>
      <c r="Q336" s="50">
        <v>69.706000000000003</v>
      </c>
      <c r="R336" s="50">
        <v>0</v>
      </c>
      <c r="S336" s="50">
        <v>-4.6894</v>
      </c>
      <c r="T336" s="46">
        <v>-4.6894</v>
      </c>
    </row>
    <row r="337" spans="16:20" x14ac:dyDescent="0.25">
      <c r="P337" s="18">
        <v>336</v>
      </c>
      <c r="Q337" s="50">
        <v>109.84690000000001</v>
      </c>
      <c r="R337" s="50">
        <v>9.8468999999999998</v>
      </c>
      <c r="S337" s="50">
        <v>10.6599</v>
      </c>
      <c r="T337" s="46">
        <v>0.81299999999999994</v>
      </c>
    </row>
    <row r="338" spans="16:20" x14ac:dyDescent="0.25">
      <c r="P338" s="18">
        <v>337</v>
      </c>
      <c r="Q338" s="50">
        <v>94.085700000000003</v>
      </c>
      <c r="R338" s="50">
        <v>0</v>
      </c>
      <c r="S338" s="50">
        <v>0.73509999999999998</v>
      </c>
      <c r="T338" s="46">
        <v>0.73509999999999998</v>
      </c>
    </row>
    <row r="339" spans="16:20" x14ac:dyDescent="0.25">
      <c r="P339" s="18">
        <v>338</v>
      </c>
      <c r="Q339" s="50">
        <v>121.2799</v>
      </c>
      <c r="R339" s="50">
        <v>21.279900000000001</v>
      </c>
      <c r="S339" s="50">
        <v>20.3977</v>
      </c>
      <c r="T339" s="46">
        <v>-0.88219999999999998</v>
      </c>
    </row>
    <row r="340" spans="16:20" x14ac:dyDescent="0.25">
      <c r="P340" s="18">
        <v>339</v>
      </c>
      <c r="Q340" s="50">
        <v>112.3951</v>
      </c>
      <c r="R340" s="50">
        <v>12.395099999999999</v>
      </c>
      <c r="S340" s="50">
        <v>10.06</v>
      </c>
      <c r="T340" s="46">
        <v>-2.3351000000000002</v>
      </c>
    </row>
    <row r="341" spans="16:20" x14ac:dyDescent="0.25">
      <c r="P341" s="18">
        <v>340</v>
      </c>
      <c r="Q341" s="50">
        <v>134.91839999999999</v>
      </c>
      <c r="R341" s="50">
        <v>34.918399999999998</v>
      </c>
      <c r="S341" s="50">
        <v>35.243000000000002</v>
      </c>
      <c r="T341" s="46">
        <v>0.3246</v>
      </c>
    </row>
    <row r="342" spans="16:20" x14ac:dyDescent="0.25">
      <c r="P342" s="18">
        <v>341</v>
      </c>
      <c r="Q342" s="50">
        <v>106.9224</v>
      </c>
      <c r="R342" s="50">
        <v>6.9223999999999997</v>
      </c>
      <c r="S342" s="50">
        <v>5.8209</v>
      </c>
      <c r="T342" s="46">
        <v>-1.1014999999999999</v>
      </c>
    </row>
    <row r="343" spans="16:20" x14ac:dyDescent="0.25">
      <c r="P343" s="18">
        <v>342</v>
      </c>
      <c r="Q343" s="50">
        <v>99.383899999999997</v>
      </c>
      <c r="R343" s="50">
        <v>0</v>
      </c>
      <c r="S343" s="50">
        <v>4.7832999999999997</v>
      </c>
      <c r="T343" s="46">
        <v>4.7832999999999997</v>
      </c>
    </row>
    <row r="344" spans="16:20" x14ac:dyDescent="0.25">
      <c r="P344" s="18">
        <v>343</v>
      </c>
      <c r="Q344" s="50">
        <v>85.545000000000002</v>
      </c>
      <c r="R344" s="50">
        <v>0</v>
      </c>
      <c r="S344" s="50">
        <v>1.3665</v>
      </c>
      <c r="T344" s="46">
        <v>1.3665</v>
      </c>
    </row>
    <row r="345" spans="16:20" x14ac:dyDescent="0.25">
      <c r="P345" s="18">
        <v>344</v>
      </c>
      <c r="Q345" s="50">
        <v>55.021999999999998</v>
      </c>
      <c r="R345" s="50">
        <v>0</v>
      </c>
      <c r="S345" s="50">
        <v>-0.4919</v>
      </c>
      <c r="T345" s="46">
        <v>-0.4919</v>
      </c>
    </row>
    <row r="346" spans="16:20" x14ac:dyDescent="0.25">
      <c r="P346" s="18">
        <v>345</v>
      </c>
      <c r="Q346" s="50">
        <v>161.97489999999999</v>
      </c>
      <c r="R346" s="50">
        <v>61.974899999999998</v>
      </c>
      <c r="S346" s="50">
        <v>61.4724</v>
      </c>
      <c r="T346" s="46">
        <v>-0.50239999999999996</v>
      </c>
    </row>
    <row r="347" spans="16:20" x14ac:dyDescent="0.25">
      <c r="P347" s="18">
        <v>346</v>
      </c>
      <c r="Q347" s="50">
        <v>104.3693</v>
      </c>
      <c r="R347" s="50">
        <v>4.3693</v>
      </c>
      <c r="S347" s="50">
        <v>8.8705999999999996</v>
      </c>
      <c r="T347" s="46">
        <v>4.5011999999999999</v>
      </c>
    </row>
    <row r="348" spans="16:20" x14ac:dyDescent="0.25">
      <c r="P348" s="18">
        <v>347</v>
      </c>
      <c r="Q348" s="50">
        <v>135.1814</v>
      </c>
      <c r="R348" s="50">
        <v>35.181399999999996</v>
      </c>
      <c r="S348" s="50">
        <v>35.248399999999997</v>
      </c>
      <c r="T348" s="46">
        <v>6.7100000000000007E-2</v>
      </c>
    </row>
    <row r="349" spans="16:20" x14ac:dyDescent="0.25">
      <c r="P349" s="18">
        <v>348</v>
      </c>
      <c r="Q349" s="50">
        <v>94.778199999999998</v>
      </c>
      <c r="R349" s="50">
        <v>0</v>
      </c>
      <c r="S349" s="50">
        <v>1.3347</v>
      </c>
      <c r="T349" s="46">
        <v>1.3347</v>
      </c>
    </row>
    <row r="350" spans="16:20" x14ac:dyDescent="0.25">
      <c r="P350" s="18">
        <v>349</v>
      </c>
      <c r="Q350" s="50">
        <v>83.244399999999999</v>
      </c>
      <c r="R350" s="50">
        <v>0</v>
      </c>
      <c r="S350" s="50">
        <v>-2.7231999999999998</v>
      </c>
      <c r="T350" s="46">
        <v>-2.7231999999999998</v>
      </c>
    </row>
    <row r="351" spans="16:20" x14ac:dyDescent="0.25">
      <c r="P351" s="18">
        <v>350</v>
      </c>
      <c r="Q351" s="50">
        <v>133.05609999999999</v>
      </c>
      <c r="R351" s="50">
        <v>33.056100000000001</v>
      </c>
      <c r="S351" s="50">
        <v>34.694200000000002</v>
      </c>
      <c r="T351" s="46">
        <v>1.6380999999999999</v>
      </c>
    </row>
    <row r="352" spans="16:20" x14ac:dyDescent="0.25">
      <c r="P352" s="18">
        <v>351</v>
      </c>
      <c r="Q352" s="50">
        <v>87.396199999999993</v>
      </c>
      <c r="R352" s="50">
        <v>0</v>
      </c>
      <c r="S352" s="50">
        <v>4.2352999999999996</v>
      </c>
      <c r="T352" s="46">
        <v>4.2352999999999996</v>
      </c>
    </row>
    <row r="353" spans="16:20" x14ac:dyDescent="0.25">
      <c r="P353" s="18">
        <v>352</v>
      </c>
      <c r="Q353" s="50">
        <v>69.222399999999993</v>
      </c>
      <c r="R353" s="50">
        <v>0</v>
      </c>
      <c r="S353" s="50">
        <v>7.9399999999999998E-2</v>
      </c>
      <c r="T353" s="46">
        <v>7.9399999999999998E-2</v>
      </c>
    </row>
    <row r="354" spans="16:20" x14ac:dyDescent="0.25">
      <c r="P354" s="18">
        <v>353</v>
      </c>
      <c r="Q354" s="50">
        <v>135.458</v>
      </c>
      <c r="R354" s="50">
        <v>35.457999999999998</v>
      </c>
      <c r="S354" s="50">
        <v>36.433</v>
      </c>
      <c r="T354" s="46">
        <v>0.97499999999999998</v>
      </c>
    </row>
    <row r="355" spans="16:20" x14ac:dyDescent="0.25">
      <c r="P355" s="18">
        <v>354</v>
      </c>
      <c r="Q355" s="50">
        <v>112.7269</v>
      </c>
      <c r="R355" s="50">
        <v>12.726900000000001</v>
      </c>
      <c r="S355" s="50">
        <v>11.296200000000001</v>
      </c>
      <c r="T355" s="46">
        <v>-1.4307000000000001</v>
      </c>
    </row>
    <row r="356" spans="16:20" x14ac:dyDescent="0.25">
      <c r="P356" s="18">
        <v>355</v>
      </c>
      <c r="Q356" s="50">
        <v>61.308900000000001</v>
      </c>
      <c r="R356" s="50">
        <v>0</v>
      </c>
      <c r="S356" s="50">
        <v>-1.518</v>
      </c>
      <c r="T356" s="46">
        <v>-1.518</v>
      </c>
    </row>
    <row r="357" spans="16:20" x14ac:dyDescent="0.25">
      <c r="P357" s="18">
        <v>356</v>
      </c>
      <c r="Q357" s="50">
        <v>105.42919999999999</v>
      </c>
      <c r="R357" s="50">
        <v>5.4291999999999998</v>
      </c>
      <c r="S357" s="50">
        <v>6.0674000000000001</v>
      </c>
      <c r="T357" s="46">
        <v>0.63829999999999998</v>
      </c>
    </row>
    <row r="358" spans="16:20" x14ac:dyDescent="0.25">
      <c r="P358" s="18">
        <v>357</v>
      </c>
      <c r="Q358" s="50">
        <v>107.9504</v>
      </c>
      <c r="R358" s="50">
        <v>7.9504000000000001</v>
      </c>
      <c r="S358" s="50">
        <v>10.3903</v>
      </c>
      <c r="T358" s="46">
        <v>2.4399000000000002</v>
      </c>
    </row>
    <row r="359" spans="16:20" x14ac:dyDescent="0.25">
      <c r="P359" s="18">
        <v>358</v>
      </c>
      <c r="Q359" s="50">
        <v>59.501199999999997</v>
      </c>
      <c r="R359" s="50">
        <v>0</v>
      </c>
      <c r="S359" s="50">
        <v>0.81530000000000002</v>
      </c>
      <c r="T359" s="46">
        <v>0.81530000000000002</v>
      </c>
    </row>
    <row r="360" spans="16:20" x14ac:dyDescent="0.25">
      <c r="P360" s="18">
        <v>359</v>
      </c>
      <c r="Q360" s="50">
        <v>78.925899999999999</v>
      </c>
      <c r="R360" s="50">
        <v>0</v>
      </c>
      <c r="S360" s="50">
        <v>-0.86760000000000004</v>
      </c>
      <c r="T360" s="46">
        <v>-0.86760000000000004</v>
      </c>
    </row>
    <row r="361" spans="16:20" x14ac:dyDescent="0.25">
      <c r="P361" s="18">
        <v>360</v>
      </c>
      <c r="Q361" s="50">
        <v>117.1045</v>
      </c>
      <c r="R361" s="50">
        <v>17.104500000000002</v>
      </c>
      <c r="S361" s="50">
        <v>19.6313</v>
      </c>
      <c r="T361" s="46">
        <v>2.5268000000000002</v>
      </c>
    </row>
    <row r="362" spans="16:20" x14ac:dyDescent="0.25">
      <c r="P362" s="18">
        <v>361</v>
      </c>
      <c r="Q362" s="50">
        <v>107.6294</v>
      </c>
      <c r="R362" s="50">
        <v>7.6294000000000004</v>
      </c>
      <c r="S362" s="50">
        <v>13.169700000000001</v>
      </c>
      <c r="T362" s="46">
        <v>5.5403000000000002</v>
      </c>
    </row>
    <row r="363" spans="16:20" x14ac:dyDescent="0.25">
      <c r="P363" s="18">
        <v>362</v>
      </c>
      <c r="Q363" s="50">
        <v>70.752600000000001</v>
      </c>
      <c r="R363" s="50">
        <v>0</v>
      </c>
      <c r="S363" s="50">
        <v>-7.46E-2</v>
      </c>
      <c r="T363" s="46">
        <v>-7.46E-2</v>
      </c>
    </row>
    <row r="364" spans="16:20" x14ac:dyDescent="0.25">
      <c r="P364" s="18">
        <v>363</v>
      </c>
      <c r="Q364" s="50">
        <v>125.8309</v>
      </c>
      <c r="R364" s="50">
        <v>25.831</v>
      </c>
      <c r="S364" s="50">
        <v>23.886600000000001</v>
      </c>
      <c r="T364" s="46">
        <v>-1.9443999999999999</v>
      </c>
    </row>
    <row r="365" spans="16:20" x14ac:dyDescent="0.25">
      <c r="P365" s="18">
        <v>364</v>
      </c>
      <c r="Q365" s="50">
        <v>79.943600000000004</v>
      </c>
      <c r="R365" s="50">
        <v>0</v>
      </c>
      <c r="S365" s="50">
        <v>0.57779999999999998</v>
      </c>
      <c r="T365" s="46">
        <v>0.57779999999999998</v>
      </c>
    </row>
    <row r="366" spans="16:20" x14ac:dyDescent="0.25">
      <c r="P366" s="18">
        <v>365</v>
      </c>
      <c r="Q366" s="50">
        <v>90.574100000000001</v>
      </c>
      <c r="R366" s="50">
        <v>0</v>
      </c>
      <c r="S366" s="50">
        <v>2.9939</v>
      </c>
      <c r="T366" s="46">
        <v>2.9939</v>
      </c>
    </row>
    <row r="367" spans="16:20" x14ac:dyDescent="0.25">
      <c r="P367" s="18">
        <v>366</v>
      </c>
      <c r="Q367" s="50">
        <v>75.938100000000006</v>
      </c>
      <c r="R367" s="50">
        <v>0</v>
      </c>
      <c r="S367" s="50">
        <v>0.86319999999999997</v>
      </c>
      <c r="T367" s="46">
        <v>0.86319999999999997</v>
      </c>
    </row>
    <row r="368" spans="16:20" x14ac:dyDescent="0.25">
      <c r="P368" s="18">
        <v>367</v>
      </c>
      <c r="Q368" s="50">
        <v>145.6645</v>
      </c>
      <c r="R368" s="50">
        <v>45.664499999999997</v>
      </c>
      <c r="S368" s="50">
        <v>46.597499999999997</v>
      </c>
      <c r="T368" s="46">
        <v>0.93300000000000005</v>
      </c>
    </row>
    <row r="369" spans="16:20" x14ac:dyDescent="0.25">
      <c r="P369" s="18">
        <v>368</v>
      </c>
      <c r="Q369" s="50">
        <v>112.5209</v>
      </c>
      <c r="R369" s="50">
        <v>12.520899999999999</v>
      </c>
      <c r="S369" s="50">
        <v>15.056800000000001</v>
      </c>
      <c r="T369" s="46">
        <v>2.5358999999999998</v>
      </c>
    </row>
    <row r="370" spans="16:20" x14ac:dyDescent="0.25">
      <c r="P370" s="18">
        <v>369</v>
      </c>
      <c r="Q370" s="50">
        <v>99.545900000000003</v>
      </c>
      <c r="R370" s="50">
        <v>0</v>
      </c>
      <c r="S370" s="50">
        <v>6.5465</v>
      </c>
      <c r="T370" s="46">
        <v>6.5465</v>
      </c>
    </row>
    <row r="371" spans="16:20" x14ac:dyDescent="0.25">
      <c r="P371" s="18">
        <v>370</v>
      </c>
      <c r="Q371" s="50">
        <v>104.7259</v>
      </c>
      <c r="R371" s="50">
        <v>4.7259000000000002</v>
      </c>
      <c r="S371" s="50">
        <v>10.1686</v>
      </c>
      <c r="T371" s="46">
        <v>5.4427000000000003</v>
      </c>
    </row>
    <row r="372" spans="16:20" x14ac:dyDescent="0.25">
      <c r="P372" s="18">
        <v>371</v>
      </c>
      <c r="Q372" s="50">
        <v>109.3385</v>
      </c>
      <c r="R372" s="50">
        <v>9.3384999999999998</v>
      </c>
      <c r="S372" s="50">
        <v>8.2814999999999994</v>
      </c>
      <c r="T372" s="46">
        <v>-1.0569999999999999</v>
      </c>
    </row>
    <row r="373" spans="16:20" x14ac:dyDescent="0.25">
      <c r="P373" s="18">
        <v>372</v>
      </c>
      <c r="Q373" s="50">
        <v>77.424400000000006</v>
      </c>
      <c r="R373" s="50">
        <v>0</v>
      </c>
      <c r="S373" s="50">
        <v>-2.5289999999999999</v>
      </c>
      <c r="T373" s="46">
        <v>-2.5289999999999999</v>
      </c>
    </row>
    <row r="374" spans="16:20" x14ac:dyDescent="0.25">
      <c r="P374" s="18">
        <v>373</v>
      </c>
      <c r="Q374" s="50">
        <v>70.084800000000001</v>
      </c>
      <c r="R374" s="50">
        <v>0</v>
      </c>
      <c r="S374" s="50">
        <v>0.62729999999999997</v>
      </c>
      <c r="T374" s="46">
        <v>0.62729999999999997</v>
      </c>
    </row>
    <row r="375" spans="16:20" x14ac:dyDescent="0.25">
      <c r="P375" s="18">
        <v>374</v>
      </c>
      <c r="Q375" s="50">
        <v>75.139799999999994</v>
      </c>
      <c r="R375" s="50">
        <v>0</v>
      </c>
      <c r="S375" s="50">
        <v>-4.9599999999999998E-2</v>
      </c>
      <c r="T375" s="46">
        <v>-4.9599999999999998E-2</v>
      </c>
    </row>
    <row r="376" spans="16:20" x14ac:dyDescent="0.25">
      <c r="P376" s="18">
        <v>375</v>
      </c>
      <c r="Q376" s="50">
        <v>114.6998</v>
      </c>
      <c r="R376" s="50">
        <v>14.6998</v>
      </c>
      <c r="S376" s="50">
        <v>15.3148</v>
      </c>
      <c r="T376" s="46">
        <v>0.61499999999999999</v>
      </c>
    </row>
    <row r="377" spans="16:20" x14ac:dyDescent="0.25">
      <c r="P377" s="18">
        <v>376</v>
      </c>
      <c r="Q377" s="50">
        <v>144.33529999999999</v>
      </c>
      <c r="R377" s="50">
        <v>44.335299999999997</v>
      </c>
      <c r="S377" s="50">
        <v>42.2194</v>
      </c>
      <c r="T377" s="46">
        <v>-2.1158999999999999</v>
      </c>
    </row>
    <row r="378" spans="16:20" x14ac:dyDescent="0.25">
      <c r="P378" s="18">
        <v>377</v>
      </c>
      <c r="Q378" s="50">
        <v>85.232399999999998</v>
      </c>
      <c r="R378" s="50">
        <v>0</v>
      </c>
      <c r="S378" s="50">
        <v>1.4201999999999999</v>
      </c>
      <c r="T378" s="46">
        <v>1.4201999999999999</v>
      </c>
    </row>
    <row r="379" spans="16:20" x14ac:dyDescent="0.25">
      <c r="P379" s="18">
        <v>378</v>
      </c>
      <c r="Q379" s="50">
        <v>95.464299999999994</v>
      </c>
      <c r="R379" s="50">
        <v>0</v>
      </c>
      <c r="S379" s="50">
        <v>1.46</v>
      </c>
      <c r="T379" s="46">
        <v>1.46</v>
      </c>
    </row>
    <row r="380" spans="16:20" x14ac:dyDescent="0.25">
      <c r="P380" s="18">
        <v>379</v>
      </c>
      <c r="Q380" s="50">
        <v>41.354100000000003</v>
      </c>
      <c r="R380" s="50">
        <v>0</v>
      </c>
      <c r="S380" s="50">
        <v>-1.9963</v>
      </c>
      <c r="T380" s="46">
        <v>-1.9963</v>
      </c>
    </row>
    <row r="381" spans="16:20" x14ac:dyDescent="0.25">
      <c r="P381" s="18">
        <v>380</v>
      </c>
      <c r="Q381" s="50">
        <v>178.2011</v>
      </c>
      <c r="R381" s="50">
        <v>78.201099999999997</v>
      </c>
      <c r="S381" s="50">
        <v>76.610200000000006</v>
      </c>
      <c r="T381" s="46">
        <v>-1.5909</v>
      </c>
    </row>
    <row r="382" spans="16:20" x14ac:dyDescent="0.25">
      <c r="P382" s="18">
        <v>381</v>
      </c>
      <c r="Q382" s="50">
        <v>101.3026</v>
      </c>
      <c r="R382" s="50">
        <v>1.3026</v>
      </c>
      <c r="S382" s="50">
        <v>8.1318000000000001</v>
      </c>
      <c r="T382" s="46">
        <v>6.8292000000000002</v>
      </c>
    </row>
    <row r="383" spans="16:20" x14ac:dyDescent="0.25">
      <c r="P383" s="18">
        <v>382</v>
      </c>
      <c r="Q383" s="50">
        <v>75.654600000000002</v>
      </c>
      <c r="R383" s="50">
        <v>0</v>
      </c>
      <c r="S383" s="50">
        <v>0.69950000000000001</v>
      </c>
      <c r="T383" s="46">
        <v>0.69950000000000001</v>
      </c>
    </row>
    <row r="384" spans="16:20" x14ac:dyDescent="0.25">
      <c r="P384" s="18">
        <v>383</v>
      </c>
      <c r="Q384" s="50">
        <v>92.119399999999999</v>
      </c>
      <c r="R384" s="50">
        <v>0</v>
      </c>
      <c r="S384" s="50">
        <v>6.4799999999999996E-2</v>
      </c>
      <c r="T384" s="46">
        <v>6.4799999999999996E-2</v>
      </c>
    </row>
    <row r="385" spans="16:20" x14ac:dyDescent="0.25">
      <c r="P385" s="18">
        <v>384</v>
      </c>
      <c r="Q385" s="50">
        <v>61.16</v>
      </c>
      <c r="R385" s="50">
        <v>0</v>
      </c>
      <c r="S385" s="50">
        <v>-0.66600000000000004</v>
      </c>
      <c r="T385" s="46">
        <v>-0.66600000000000004</v>
      </c>
    </row>
    <row r="386" spans="16:20" x14ac:dyDescent="0.25">
      <c r="P386" s="18">
        <v>385</v>
      </c>
      <c r="Q386" s="50">
        <v>95.111099999999993</v>
      </c>
      <c r="R386" s="50">
        <v>0</v>
      </c>
      <c r="S386" s="50">
        <v>1.8304</v>
      </c>
      <c r="T386" s="46">
        <v>1.8304</v>
      </c>
    </row>
    <row r="387" spans="16:20" x14ac:dyDescent="0.25">
      <c r="P387" s="18">
        <v>386</v>
      </c>
      <c r="Q387" s="50">
        <v>68.944100000000006</v>
      </c>
      <c r="R387" s="50">
        <v>0</v>
      </c>
      <c r="S387" s="50">
        <v>-1.6205000000000001</v>
      </c>
      <c r="T387" s="46">
        <v>-1.6205000000000001</v>
      </c>
    </row>
    <row r="388" spans="16:20" x14ac:dyDescent="0.25">
      <c r="P388" s="18">
        <v>387</v>
      </c>
      <c r="Q388" s="50">
        <v>127.1357</v>
      </c>
      <c r="R388" s="50">
        <v>27.1357</v>
      </c>
      <c r="S388" s="50">
        <v>24.7471</v>
      </c>
      <c r="T388" s="46">
        <v>-2.3885000000000001</v>
      </c>
    </row>
    <row r="389" spans="16:20" x14ac:dyDescent="0.25">
      <c r="P389" s="18">
        <v>388</v>
      </c>
      <c r="Q389" s="50">
        <v>131.55170000000001</v>
      </c>
      <c r="R389" s="50">
        <v>31.5517</v>
      </c>
      <c r="S389" s="50">
        <v>30.9635</v>
      </c>
      <c r="T389" s="46">
        <v>-0.58819999999999995</v>
      </c>
    </row>
    <row r="390" spans="16:20" x14ac:dyDescent="0.25">
      <c r="P390" s="18">
        <v>389</v>
      </c>
      <c r="Q390" s="50">
        <v>75.577799999999996</v>
      </c>
      <c r="R390" s="50">
        <v>0</v>
      </c>
      <c r="S390" s="50">
        <v>-1.1197999999999999</v>
      </c>
      <c r="T390" s="46">
        <v>-1.1197999999999999</v>
      </c>
    </row>
    <row r="391" spans="16:20" x14ac:dyDescent="0.25">
      <c r="P391" s="18">
        <v>390</v>
      </c>
      <c r="Q391" s="50">
        <v>102.8185</v>
      </c>
      <c r="R391" s="50">
        <v>2.8184999999999998</v>
      </c>
      <c r="S391" s="50">
        <v>0.45340000000000003</v>
      </c>
      <c r="T391" s="46">
        <v>-2.3651</v>
      </c>
    </row>
    <row r="392" spans="16:20" x14ac:dyDescent="0.25">
      <c r="P392" s="18">
        <v>391</v>
      </c>
      <c r="Q392" s="50">
        <v>99.811300000000003</v>
      </c>
      <c r="R392" s="50">
        <v>0</v>
      </c>
      <c r="S392" s="50">
        <v>6.0496999999999996</v>
      </c>
      <c r="T392" s="46">
        <v>6.0496999999999996</v>
      </c>
    </row>
    <row r="393" spans="16:20" x14ac:dyDescent="0.25">
      <c r="P393" s="18">
        <v>392</v>
      </c>
      <c r="Q393" s="50">
        <v>115.879</v>
      </c>
      <c r="R393" s="50">
        <v>15.879</v>
      </c>
      <c r="S393" s="50">
        <v>16.429400000000001</v>
      </c>
      <c r="T393" s="46">
        <v>0.5504</v>
      </c>
    </row>
    <row r="394" spans="16:20" x14ac:dyDescent="0.25">
      <c r="P394" s="18">
        <v>393</v>
      </c>
      <c r="Q394" s="50">
        <v>90.827600000000004</v>
      </c>
      <c r="R394" s="50">
        <v>0</v>
      </c>
      <c r="S394" s="50">
        <v>-1.8696999999999999</v>
      </c>
      <c r="T394" s="46">
        <v>-1.8696999999999999</v>
      </c>
    </row>
    <row r="395" spans="16:20" x14ac:dyDescent="0.25">
      <c r="P395" s="18">
        <v>394</v>
      </c>
      <c r="Q395" s="50">
        <v>58.878999999999998</v>
      </c>
      <c r="R395" s="50">
        <v>0</v>
      </c>
      <c r="S395" s="50">
        <v>0.76349999999999996</v>
      </c>
      <c r="T395" s="46">
        <v>0.76349999999999996</v>
      </c>
    </row>
    <row r="396" spans="16:20" x14ac:dyDescent="0.25">
      <c r="P396" s="18">
        <v>395</v>
      </c>
      <c r="Q396" s="50">
        <v>149.7587</v>
      </c>
      <c r="R396" s="50">
        <v>49.758699999999997</v>
      </c>
      <c r="S396" s="50">
        <v>49.44</v>
      </c>
      <c r="T396" s="46">
        <v>-0.31869999999999998</v>
      </c>
    </row>
    <row r="397" spans="16:20" x14ac:dyDescent="0.25">
      <c r="P397" s="18">
        <v>396</v>
      </c>
      <c r="Q397" s="50">
        <v>109.9436</v>
      </c>
      <c r="R397" s="50">
        <v>9.9436</v>
      </c>
      <c r="S397" s="50">
        <v>10.021800000000001</v>
      </c>
      <c r="T397" s="46">
        <v>7.8299999999999995E-2</v>
      </c>
    </row>
    <row r="398" spans="16:20" x14ac:dyDescent="0.25">
      <c r="P398" s="18">
        <v>397</v>
      </c>
      <c r="Q398" s="50">
        <v>135.88999999999999</v>
      </c>
      <c r="R398" s="50">
        <v>35.89</v>
      </c>
      <c r="S398" s="50">
        <v>34.820599999999999</v>
      </c>
      <c r="T398" s="46">
        <v>-1.0693999999999999</v>
      </c>
    </row>
    <row r="399" spans="16:20" x14ac:dyDescent="0.25">
      <c r="P399" s="18">
        <v>398</v>
      </c>
      <c r="Q399" s="50">
        <v>116.441</v>
      </c>
      <c r="R399" s="50">
        <v>16.440999999999999</v>
      </c>
      <c r="S399" s="50">
        <v>19.044699999999999</v>
      </c>
      <c r="T399" s="46">
        <v>2.6036999999999999</v>
      </c>
    </row>
    <row r="400" spans="16:20" x14ac:dyDescent="0.25">
      <c r="P400" s="18">
        <v>399</v>
      </c>
      <c r="Q400" s="50">
        <v>115.86969999999999</v>
      </c>
      <c r="R400" s="50">
        <v>15.8697</v>
      </c>
      <c r="S400" s="50">
        <v>17.800599999999999</v>
      </c>
      <c r="T400" s="46">
        <v>1.9309000000000001</v>
      </c>
    </row>
    <row r="401" spans="16:20" x14ac:dyDescent="0.25">
      <c r="P401" s="18">
        <v>400</v>
      </c>
      <c r="Q401" s="50">
        <v>214.19759999999999</v>
      </c>
      <c r="R401" s="50">
        <v>114.19759999999999</v>
      </c>
      <c r="S401" s="50">
        <v>112.58499999999999</v>
      </c>
      <c r="T401" s="46">
        <v>-1.6127</v>
      </c>
    </row>
    <row r="402" spans="16:20" x14ac:dyDescent="0.25">
      <c r="P402" s="18">
        <v>401</v>
      </c>
      <c r="Q402" s="50">
        <v>130.18049999999999</v>
      </c>
      <c r="R402" s="50">
        <v>30.180499999999999</v>
      </c>
      <c r="S402" s="50">
        <v>25.495100000000001</v>
      </c>
      <c r="T402" s="46">
        <v>-4.6853999999999996</v>
      </c>
    </row>
    <row r="403" spans="16:20" x14ac:dyDescent="0.25">
      <c r="P403" s="18">
        <v>402</v>
      </c>
      <c r="Q403" s="50">
        <v>105.65770000000001</v>
      </c>
      <c r="R403" s="50">
        <v>5.6577000000000002</v>
      </c>
      <c r="S403" s="50">
        <v>10.2675</v>
      </c>
      <c r="T403" s="46">
        <v>4.6097999999999999</v>
      </c>
    </row>
    <row r="404" spans="16:20" x14ac:dyDescent="0.25">
      <c r="P404" s="18">
        <v>403</v>
      </c>
      <c r="Q404" s="50">
        <v>113.5343</v>
      </c>
      <c r="R404" s="50">
        <v>13.5343</v>
      </c>
      <c r="S404" s="50">
        <v>14.6182</v>
      </c>
      <c r="T404" s="46">
        <v>1.0839000000000001</v>
      </c>
    </row>
    <row r="405" spans="16:20" x14ac:dyDescent="0.25">
      <c r="P405" s="18">
        <v>404</v>
      </c>
      <c r="Q405" s="50">
        <v>102.5549</v>
      </c>
      <c r="R405" s="50">
        <v>2.5548999999999999</v>
      </c>
      <c r="S405" s="50">
        <v>0.86309999999999998</v>
      </c>
      <c r="T405" s="46">
        <v>-1.6918</v>
      </c>
    </row>
    <row r="406" spans="16:20" x14ac:dyDescent="0.25">
      <c r="P406" s="18">
        <v>405</v>
      </c>
      <c r="Q406" s="50">
        <v>96.732399999999998</v>
      </c>
      <c r="R406" s="50">
        <v>0</v>
      </c>
      <c r="S406" s="50">
        <v>2.7927</v>
      </c>
      <c r="T406" s="46">
        <v>2.7927</v>
      </c>
    </row>
    <row r="407" spans="16:20" x14ac:dyDescent="0.25">
      <c r="P407" s="18">
        <v>406</v>
      </c>
      <c r="Q407" s="50">
        <v>136.35769999999999</v>
      </c>
      <c r="R407" s="50">
        <v>36.357700000000001</v>
      </c>
      <c r="S407" s="50">
        <v>33.493099999999998</v>
      </c>
      <c r="T407" s="46">
        <v>-2.8645999999999998</v>
      </c>
    </row>
    <row r="408" spans="16:20" x14ac:dyDescent="0.25">
      <c r="P408" s="18">
        <v>407</v>
      </c>
      <c r="Q408" s="50">
        <v>75.998500000000007</v>
      </c>
      <c r="R408" s="50">
        <v>0</v>
      </c>
      <c r="S408" s="50">
        <v>2.0629</v>
      </c>
      <c r="T408" s="46">
        <v>2.0629</v>
      </c>
    </row>
    <row r="409" spans="16:20" x14ac:dyDescent="0.25">
      <c r="P409" s="18">
        <v>408</v>
      </c>
      <c r="Q409" s="50">
        <v>134.8663</v>
      </c>
      <c r="R409" s="50">
        <v>34.866300000000003</v>
      </c>
      <c r="S409" s="50">
        <v>30.053699999999999</v>
      </c>
      <c r="T409" s="46">
        <v>-4.8125</v>
      </c>
    </row>
    <row r="410" spans="16:20" x14ac:dyDescent="0.25">
      <c r="P410" s="18">
        <v>409</v>
      </c>
      <c r="Q410" s="50">
        <v>91.533900000000003</v>
      </c>
      <c r="R410" s="50">
        <v>0</v>
      </c>
      <c r="S410" s="50">
        <v>0.10879999999999999</v>
      </c>
      <c r="T410" s="46">
        <v>0.10879999999999999</v>
      </c>
    </row>
    <row r="411" spans="16:20" x14ac:dyDescent="0.25">
      <c r="P411" s="18">
        <v>410</v>
      </c>
      <c r="Q411" s="50">
        <v>87.945099999999996</v>
      </c>
      <c r="R411" s="50">
        <v>0</v>
      </c>
      <c r="S411" s="50">
        <v>-1.6293</v>
      </c>
      <c r="T411" s="46">
        <v>-1.6293</v>
      </c>
    </row>
    <row r="412" spans="16:20" x14ac:dyDescent="0.25">
      <c r="P412" s="18">
        <v>411</v>
      </c>
      <c r="Q412" s="50">
        <v>114.7466</v>
      </c>
      <c r="R412" s="50">
        <v>14.746600000000001</v>
      </c>
      <c r="S412" s="50">
        <v>14.926600000000001</v>
      </c>
      <c r="T412" s="46">
        <v>0.18</v>
      </c>
    </row>
    <row r="413" spans="16:20" x14ac:dyDescent="0.25">
      <c r="P413" s="18">
        <v>412</v>
      </c>
      <c r="Q413" s="50">
        <v>110.3578</v>
      </c>
      <c r="R413" s="50">
        <v>10.357799999999999</v>
      </c>
      <c r="S413" s="50">
        <v>10.5741</v>
      </c>
      <c r="T413" s="46">
        <v>0.2162</v>
      </c>
    </row>
    <row r="414" spans="16:20" x14ac:dyDescent="0.25">
      <c r="P414" s="18">
        <v>413</v>
      </c>
      <c r="Q414" s="50">
        <v>131.04839999999999</v>
      </c>
      <c r="R414" s="50">
        <v>31.048400000000001</v>
      </c>
      <c r="S414" s="50">
        <v>26.7135</v>
      </c>
      <c r="T414" s="46">
        <v>-4.3349000000000002</v>
      </c>
    </row>
    <row r="415" spans="16:20" x14ac:dyDescent="0.25">
      <c r="P415" s="18">
        <v>414</v>
      </c>
      <c r="Q415" s="50">
        <v>82.727699999999999</v>
      </c>
      <c r="R415" s="50">
        <v>0</v>
      </c>
      <c r="S415" s="50">
        <v>0.35899999999999999</v>
      </c>
      <c r="T415" s="46">
        <v>0.35899999999999999</v>
      </c>
    </row>
    <row r="416" spans="16:20" x14ac:dyDescent="0.25">
      <c r="P416" s="18">
        <v>415</v>
      </c>
      <c r="Q416" s="50">
        <v>117.1344</v>
      </c>
      <c r="R416" s="50">
        <v>17.134399999999999</v>
      </c>
      <c r="S416" s="50">
        <v>18.0976</v>
      </c>
      <c r="T416" s="46">
        <v>0.96319999999999995</v>
      </c>
    </row>
    <row r="417" spans="16:20" x14ac:dyDescent="0.25">
      <c r="P417" s="18">
        <v>416</v>
      </c>
      <c r="Q417" s="50">
        <v>99.602800000000002</v>
      </c>
      <c r="R417" s="50">
        <v>0</v>
      </c>
      <c r="S417" s="50">
        <v>3.6406000000000001</v>
      </c>
      <c r="T417" s="46">
        <v>3.6406000000000001</v>
      </c>
    </row>
    <row r="418" spans="16:20" x14ac:dyDescent="0.25">
      <c r="P418" s="18">
        <v>417</v>
      </c>
      <c r="Q418" s="50">
        <v>75.514200000000002</v>
      </c>
      <c r="R418" s="50">
        <v>0</v>
      </c>
      <c r="S418" s="50">
        <v>1.1145</v>
      </c>
      <c r="T418" s="46">
        <v>1.1145</v>
      </c>
    </row>
    <row r="419" spans="16:20" x14ac:dyDescent="0.25">
      <c r="P419" s="18">
        <v>418</v>
      </c>
      <c r="Q419" s="50">
        <v>101.1529</v>
      </c>
      <c r="R419" s="50">
        <v>1.1529</v>
      </c>
      <c r="S419" s="50">
        <v>2.8894000000000002</v>
      </c>
      <c r="T419" s="46">
        <v>1.7364999999999999</v>
      </c>
    </row>
    <row r="420" spans="16:20" x14ac:dyDescent="0.25">
      <c r="P420" s="18">
        <v>419</v>
      </c>
      <c r="Q420" s="50">
        <v>93.6798</v>
      </c>
      <c r="R420" s="50">
        <v>0</v>
      </c>
      <c r="S420" s="50">
        <v>-2.3969999999999998</v>
      </c>
      <c r="T420" s="46">
        <v>-2.3969999999999998</v>
      </c>
    </row>
    <row r="421" spans="16:20" x14ac:dyDescent="0.25">
      <c r="P421" s="18">
        <v>420</v>
      </c>
      <c r="Q421" s="50">
        <v>129.4023</v>
      </c>
      <c r="R421" s="50">
        <v>29.4023</v>
      </c>
      <c r="S421" s="50">
        <v>28.889700000000001</v>
      </c>
      <c r="T421" s="46">
        <v>-0.51259999999999994</v>
      </c>
    </row>
    <row r="422" spans="16:20" x14ac:dyDescent="0.25">
      <c r="P422" s="18">
        <v>421</v>
      </c>
      <c r="Q422" s="50">
        <v>148.20840000000001</v>
      </c>
      <c r="R422" s="50">
        <v>48.208399999999997</v>
      </c>
      <c r="S422" s="50">
        <v>48.449300000000001</v>
      </c>
      <c r="T422" s="46">
        <v>0.2409</v>
      </c>
    </row>
    <row r="423" spans="16:20" x14ac:dyDescent="0.25">
      <c r="P423" s="18">
        <v>422</v>
      </c>
      <c r="Q423" s="50">
        <v>89.995800000000003</v>
      </c>
      <c r="R423" s="50">
        <v>0</v>
      </c>
      <c r="S423" s="50">
        <v>0.64249999999999996</v>
      </c>
      <c r="T423" s="46">
        <v>0.64249999999999996</v>
      </c>
    </row>
    <row r="424" spans="16:20" x14ac:dyDescent="0.25">
      <c r="P424" s="18">
        <v>423</v>
      </c>
      <c r="Q424" s="50">
        <v>87.162599999999998</v>
      </c>
      <c r="R424" s="50">
        <v>0</v>
      </c>
      <c r="S424" s="50">
        <v>2.7864</v>
      </c>
      <c r="T424" s="46">
        <v>2.7864</v>
      </c>
    </row>
    <row r="425" spans="16:20" x14ac:dyDescent="0.25">
      <c r="P425" s="18">
        <v>424</v>
      </c>
      <c r="Q425" s="50">
        <v>99.954599999999999</v>
      </c>
      <c r="R425" s="50">
        <v>8.9999999999999998E-4</v>
      </c>
      <c r="S425" s="50">
        <v>5.1966000000000001</v>
      </c>
      <c r="T425" s="46">
        <v>5.1957000000000004</v>
      </c>
    </row>
    <row r="426" spans="16:20" x14ac:dyDescent="0.25">
      <c r="P426" s="18">
        <v>425</v>
      </c>
      <c r="Q426" s="50">
        <v>78.615600000000001</v>
      </c>
      <c r="R426" s="50">
        <v>0</v>
      </c>
      <c r="S426" s="50">
        <v>0.48799999999999999</v>
      </c>
      <c r="T426" s="46">
        <v>0.48799999999999999</v>
      </c>
    </row>
    <row r="427" spans="16:20" x14ac:dyDescent="0.25">
      <c r="P427" s="18">
        <v>426</v>
      </c>
      <c r="Q427" s="50">
        <v>92.656099999999995</v>
      </c>
      <c r="R427" s="50">
        <v>0</v>
      </c>
      <c r="S427" s="50">
        <v>-4.6692999999999998</v>
      </c>
      <c r="T427" s="46">
        <v>-4.6692999999999998</v>
      </c>
    </row>
    <row r="428" spans="16:20" x14ac:dyDescent="0.25">
      <c r="P428" s="18">
        <v>427</v>
      </c>
      <c r="Q428" s="50">
        <v>73.304599999999994</v>
      </c>
      <c r="R428" s="50">
        <v>0</v>
      </c>
      <c r="S428" s="50">
        <v>-0.71230000000000004</v>
      </c>
      <c r="T428" s="46">
        <v>-0.71230000000000004</v>
      </c>
    </row>
    <row r="429" spans="16:20" x14ac:dyDescent="0.25">
      <c r="P429" s="18">
        <v>428</v>
      </c>
      <c r="Q429" s="50">
        <v>116.8287</v>
      </c>
      <c r="R429" s="50">
        <v>16.828700000000001</v>
      </c>
      <c r="S429" s="50">
        <v>18.7348</v>
      </c>
      <c r="T429" s="46">
        <v>1.9060999999999999</v>
      </c>
    </row>
    <row r="430" spans="16:20" x14ac:dyDescent="0.25">
      <c r="P430" s="18">
        <v>429</v>
      </c>
      <c r="Q430" s="50">
        <v>86.055000000000007</v>
      </c>
      <c r="R430" s="50">
        <v>0</v>
      </c>
      <c r="S430" s="50">
        <v>0.89429999999999998</v>
      </c>
      <c r="T430" s="46">
        <v>0.89429999999999998</v>
      </c>
    </row>
    <row r="431" spans="16:20" x14ac:dyDescent="0.25">
      <c r="P431" s="18">
        <v>430</v>
      </c>
      <c r="Q431" s="50">
        <v>117.8583</v>
      </c>
      <c r="R431" s="50">
        <v>17.8583</v>
      </c>
      <c r="S431" s="50">
        <v>16.392700000000001</v>
      </c>
      <c r="T431" s="46">
        <v>-1.4657</v>
      </c>
    </row>
    <row r="432" spans="16:20" x14ac:dyDescent="0.25">
      <c r="P432" s="18">
        <v>431</v>
      </c>
      <c r="Q432" s="50">
        <v>116.04300000000001</v>
      </c>
      <c r="R432" s="50">
        <v>16.042999999999999</v>
      </c>
      <c r="S432" s="50">
        <v>17.093399999999999</v>
      </c>
      <c r="T432" s="46">
        <v>1.0504</v>
      </c>
    </row>
    <row r="433" spans="16:20" x14ac:dyDescent="0.25">
      <c r="P433" s="18">
        <v>432</v>
      </c>
      <c r="Q433" s="50">
        <v>92.786699999999996</v>
      </c>
      <c r="R433" s="50">
        <v>0</v>
      </c>
      <c r="S433" s="50">
        <v>3.1886000000000001</v>
      </c>
      <c r="T433" s="46">
        <v>3.1886000000000001</v>
      </c>
    </row>
    <row r="434" spans="16:20" x14ac:dyDescent="0.25">
      <c r="P434" s="18">
        <v>433</v>
      </c>
      <c r="Q434" s="50">
        <v>66.250200000000007</v>
      </c>
      <c r="R434" s="50">
        <v>0</v>
      </c>
      <c r="S434" s="50">
        <v>-2.2115</v>
      </c>
      <c r="T434" s="46">
        <v>-2.2115</v>
      </c>
    </row>
    <row r="435" spans="16:20" x14ac:dyDescent="0.25">
      <c r="P435" s="18">
        <v>434</v>
      </c>
      <c r="Q435" s="50">
        <v>92.874600000000001</v>
      </c>
      <c r="R435" s="50">
        <v>0</v>
      </c>
      <c r="S435" s="50">
        <v>0.79959999999999998</v>
      </c>
      <c r="T435" s="46">
        <v>0.79959999999999998</v>
      </c>
    </row>
    <row r="436" spans="16:20" x14ac:dyDescent="0.25">
      <c r="P436" s="18">
        <v>435</v>
      </c>
      <c r="Q436" s="50">
        <v>89.653700000000001</v>
      </c>
      <c r="R436" s="50">
        <v>0</v>
      </c>
      <c r="S436" s="50">
        <v>-1.4055</v>
      </c>
      <c r="T436" s="46">
        <v>-1.4055</v>
      </c>
    </row>
    <row r="437" spans="16:20" x14ac:dyDescent="0.25">
      <c r="P437" s="18">
        <v>436</v>
      </c>
      <c r="Q437" s="50">
        <v>92.014300000000006</v>
      </c>
      <c r="R437" s="50">
        <v>0</v>
      </c>
      <c r="S437" s="50">
        <v>-2.9081000000000001</v>
      </c>
      <c r="T437" s="46">
        <v>-2.9081000000000001</v>
      </c>
    </row>
    <row r="438" spans="16:20" x14ac:dyDescent="0.25">
      <c r="P438" s="18">
        <v>437</v>
      </c>
      <c r="Q438" s="50">
        <v>161.63249999999999</v>
      </c>
      <c r="R438" s="50">
        <v>61.6325</v>
      </c>
      <c r="S438" s="50">
        <v>62.373600000000003</v>
      </c>
      <c r="T438" s="46">
        <v>0.74109999999999998</v>
      </c>
    </row>
    <row r="439" spans="16:20" x14ac:dyDescent="0.25">
      <c r="P439" s="18">
        <v>438</v>
      </c>
      <c r="Q439" s="50">
        <v>129.9281</v>
      </c>
      <c r="R439" s="50">
        <v>29.928100000000001</v>
      </c>
      <c r="S439" s="50">
        <v>32.902900000000002</v>
      </c>
      <c r="T439" s="46">
        <v>2.9748999999999999</v>
      </c>
    </row>
    <row r="440" spans="16:20" x14ac:dyDescent="0.25">
      <c r="P440" s="18">
        <v>439</v>
      </c>
      <c r="Q440" s="50">
        <v>82.097999999999999</v>
      </c>
      <c r="R440" s="50">
        <v>0</v>
      </c>
      <c r="S440" s="50">
        <v>1.2384999999999999</v>
      </c>
      <c r="T440" s="46">
        <v>1.2384999999999999</v>
      </c>
    </row>
    <row r="441" spans="16:20" x14ac:dyDescent="0.25">
      <c r="P441" s="18">
        <v>440</v>
      </c>
      <c r="Q441" s="50">
        <v>47.0411</v>
      </c>
      <c r="R441" s="50">
        <v>0</v>
      </c>
      <c r="S441" s="50">
        <v>-1.6973</v>
      </c>
      <c r="T441" s="46">
        <v>-1.6973</v>
      </c>
    </row>
    <row r="442" spans="16:20" x14ac:dyDescent="0.25">
      <c r="P442" s="18">
        <v>441</v>
      </c>
      <c r="Q442" s="50">
        <v>96.836500000000001</v>
      </c>
      <c r="R442" s="50">
        <v>0</v>
      </c>
      <c r="S442" s="50">
        <v>3.9744999999999999</v>
      </c>
      <c r="T442" s="46">
        <v>3.9744999999999999</v>
      </c>
    </row>
    <row r="443" spans="16:20" x14ac:dyDescent="0.25">
      <c r="P443" s="18">
        <v>442</v>
      </c>
      <c r="Q443" s="50">
        <v>159.76750000000001</v>
      </c>
      <c r="R443" s="50">
        <v>59.767499999999998</v>
      </c>
      <c r="S443" s="50">
        <v>60.626300000000001</v>
      </c>
      <c r="T443" s="46">
        <v>0.85880000000000001</v>
      </c>
    </row>
    <row r="444" spans="16:20" x14ac:dyDescent="0.25">
      <c r="P444" s="18">
        <v>443</v>
      </c>
      <c r="Q444" s="50">
        <v>140.96350000000001</v>
      </c>
      <c r="R444" s="50">
        <v>40.963500000000003</v>
      </c>
      <c r="S444" s="50">
        <v>41.688400000000001</v>
      </c>
      <c r="T444" s="46">
        <v>0.72489999999999999</v>
      </c>
    </row>
    <row r="445" spans="16:20" x14ac:dyDescent="0.25">
      <c r="P445" s="18">
        <v>444</v>
      </c>
      <c r="Q445" s="50">
        <v>130.3323</v>
      </c>
      <c r="R445" s="50">
        <v>30.3323</v>
      </c>
      <c r="S445" s="50">
        <v>27.128599999999999</v>
      </c>
      <c r="T445" s="46">
        <v>-3.2037</v>
      </c>
    </row>
    <row r="446" spans="16:20" x14ac:dyDescent="0.25">
      <c r="P446" s="18">
        <v>445</v>
      </c>
      <c r="Q446" s="50">
        <v>83.508099999999999</v>
      </c>
      <c r="R446" s="50">
        <v>0</v>
      </c>
      <c r="S446" s="50">
        <v>1.7435</v>
      </c>
      <c r="T446" s="46">
        <v>1.7435</v>
      </c>
    </row>
    <row r="447" spans="16:20" x14ac:dyDescent="0.25">
      <c r="P447" s="18">
        <v>446</v>
      </c>
      <c r="Q447" s="50">
        <v>116.6906</v>
      </c>
      <c r="R447" s="50">
        <v>16.6906</v>
      </c>
      <c r="S447" s="50">
        <v>19.629899999999999</v>
      </c>
      <c r="T447" s="46">
        <v>2.9392999999999998</v>
      </c>
    </row>
    <row r="448" spans="16:20" x14ac:dyDescent="0.25">
      <c r="P448" s="18">
        <v>447</v>
      </c>
      <c r="Q448" s="50">
        <v>152.11859999999999</v>
      </c>
      <c r="R448" s="50">
        <v>52.118600000000001</v>
      </c>
      <c r="S448" s="50">
        <v>50.693100000000001</v>
      </c>
      <c r="T448" s="46">
        <v>-1.4256</v>
      </c>
    </row>
    <row r="449" spans="16:20" x14ac:dyDescent="0.25">
      <c r="P449" s="18">
        <v>448</v>
      </c>
      <c r="Q449" s="50">
        <v>126.2373</v>
      </c>
      <c r="R449" s="50">
        <v>26.237300000000001</v>
      </c>
      <c r="S449" s="50">
        <v>26.5367</v>
      </c>
      <c r="T449" s="46">
        <v>0.2994</v>
      </c>
    </row>
    <row r="450" spans="16:20" x14ac:dyDescent="0.25">
      <c r="P450" s="18">
        <v>449</v>
      </c>
      <c r="Q450" s="50">
        <v>174.364</v>
      </c>
      <c r="R450" s="50">
        <v>74.364000000000004</v>
      </c>
      <c r="S450" s="50">
        <v>72.506799999999998</v>
      </c>
      <c r="T450" s="46">
        <v>-1.8572</v>
      </c>
    </row>
    <row r="451" spans="16:20" x14ac:dyDescent="0.25">
      <c r="P451" s="18">
        <v>450</v>
      </c>
      <c r="Q451" s="50">
        <v>107.6619</v>
      </c>
      <c r="R451" s="50">
        <v>7.6619000000000002</v>
      </c>
      <c r="S451" s="50">
        <v>5.5735000000000001</v>
      </c>
      <c r="T451" s="46">
        <v>-2.0884</v>
      </c>
    </row>
    <row r="452" spans="16:20" x14ac:dyDescent="0.25">
      <c r="P452" s="18">
        <v>451</v>
      </c>
      <c r="Q452" s="50">
        <v>71.471299999999999</v>
      </c>
      <c r="R452" s="50">
        <v>0</v>
      </c>
      <c r="S452" s="50">
        <v>0.12230000000000001</v>
      </c>
      <c r="T452" s="46">
        <v>0.12230000000000001</v>
      </c>
    </row>
    <row r="453" spans="16:20" x14ac:dyDescent="0.25">
      <c r="P453" s="18">
        <v>452</v>
      </c>
      <c r="Q453" s="50">
        <v>94.062399999999997</v>
      </c>
      <c r="R453" s="50">
        <v>0</v>
      </c>
      <c r="S453" s="50">
        <v>0.93569999999999998</v>
      </c>
      <c r="T453" s="46">
        <v>0.93569999999999998</v>
      </c>
    </row>
    <row r="454" spans="16:20" x14ac:dyDescent="0.25">
      <c r="P454" s="18">
        <v>453</v>
      </c>
      <c r="Q454" s="50">
        <v>87.241100000000003</v>
      </c>
      <c r="R454" s="50">
        <v>0</v>
      </c>
      <c r="S454" s="50">
        <v>0.50539999999999996</v>
      </c>
      <c r="T454" s="46">
        <v>0.50539999999999996</v>
      </c>
    </row>
    <row r="455" spans="16:20" x14ac:dyDescent="0.25">
      <c r="P455" s="18">
        <v>454</v>
      </c>
      <c r="Q455" s="50">
        <v>109.6052</v>
      </c>
      <c r="R455" s="50">
        <v>9.6052</v>
      </c>
      <c r="S455" s="50">
        <v>8.2194000000000003</v>
      </c>
      <c r="T455" s="46">
        <v>-1.3858999999999999</v>
      </c>
    </row>
    <row r="456" spans="16:20" x14ac:dyDescent="0.25">
      <c r="P456" s="18">
        <v>455</v>
      </c>
      <c r="Q456" s="50">
        <v>62.767499999999998</v>
      </c>
      <c r="R456" s="50">
        <v>0</v>
      </c>
      <c r="S456" s="50">
        <v>-5.8599999999999999E-2</v>
      </c>
      <c r="T456" s="46">
        <v>-5.8599999999999999E-2</v>
      </c>
    </row>
    <row r="457" spans="16:20" x14ac:dyDescent="0.25">
      <c r="P457" s="18">
        <v>456</v>
      </c>
      <c r="Q457" s="50">
        <v>105.3507</v>
      </c>
      <c r="R457" s="50">
        <v>5.3506999999999998</v>
      </c>
      <c r="S457" s="50">
        <v>5.7153</v>
      </c>
      <c r="T457" s="46">
        <v>0.36449999999999999</v>
      </c>
    </row>
    <row r="458" spans="16:20" x14ac:dyDescent="0.25">
      <c r="P458" s="18">
        <v>457</v>
      </c>
      <c r="Q458" s="50">
        <v>67.0334</v>
      </c>
      <c r="R458" s="50">
        <v>0</v>
      </c>
      <c r="S458" s="50">
        <v>-5.8599999999999999E-2</v>
      </c>
      <c r="T458" s="46">
        <v>-5.8599999999999999E-2</v>
      </c>
    </row>
    <row r="459" spans="16:20" x14ac:dyDescent="0.25">
      <c r="P459" s="18">
        <v>458</v>
      </c>
      <c r="Q459" s="50">
        <v>91.011600000000001</v>
      </c>
      <c r="R459" s="50">
        <v>0</v>
      </c>
      <c r="S459" s="50">
        <v>-1.1839999999999999</v>
      </c>
      <c r="T459" s="46">
        <v>-1.1839999999999999</v>
      </c>
    </row>
    <row r="460" spans="16:20" x14ac:dyDescent="0.25">
      <c r="P460" s="18">
        <v>459</v>
      </c>
      <c r="Q460" s="50">
        <v>165.1576</v>
      </c>
      <c r="R460" s="50">
        <v>65.157600000000002</v>
      </c>
      <c r="S460" s="50">
        <v>62.648600000000002</v>
      </c>
      <c r="T460" s="46">
        <v>-2.5089999999999999</v>
      </c>
    </row>
    <row r="461" spans="16:20" x14ac:dyDescent="0.25">
      <c r="P461" s="18">
        <v>460</v>
      </c>
      <c r="Q461" s="50">
        <v>128.99780000000001</v>
      </c>
      <c r="R461" s="50">
        <v>28.997800000000002</v>
      </c>
      <c r="S461" s="50">
        <v>27.107600000000001</v>
      </c>
      <c r="T461" s="46">
        <v>-1.8902000000000001</v>
      </c>
    </row>
    <row r="462" spans="16:20" x14ac:dyDescent="0.25">
      <c r="P462" s="18">
        <v>461</v>
      </c>
      <c r="Q462" s="50">
        <v>54.862499999999997</v>
      </c>
      <c r="R462" s="50">
        <v>0</v>
      </c>
      <c r="S462" s="50">
        <v>-0.46650000000000003</v>
      </c>
      <c r="T462" s="46">
        <v>-0.46650000000000003</v>
      </c>
    </row>
    <row r="463" spans="16:20" x14ac:dyDescent="0.25">
      <c r="P463" s="18">
        <v>462</v>
      </c>
      <c r="Q463" s="50">
        <v>101.7111</v>
      </c>
      <c r="R463" s="50">
        <v>1.7111000000000001</v>
      </c>
      <c r="S463" s="50">
        <v>7.2495000000000003</v>
      </c>
      <c r="T463" s="46">
        <v>5.5385</v>
      </c>
    </row>
    <row r="464" spans="16:20" x14ac:dyDescent="0.25">
      <c r="P464" s="18">
        <v>463</v>
      </c>
      <c r="Q464" s="50">
        <v>111.1281</v>
      </c>
      <c r="R464" s="50">
        <v>11.1281</v>
      </c>
      <c r="S464" s="50">
        <v>12.6267</v>
      </c>
      <c r="T464" s="46">
        <v>1.4984999999999999</v>
      </c>
    </row>
    <row r="465" spans="16:20" x14ac:dyDescent="0.25">
      <c r="P465" s="18">
        <v>464</v>
      </c>
      <c r="Q465" s="50">
        <v>112.4585</v>
      </c>
      <c r="R465" s="50">
        <v>12.458500000000001</v>
      </c>
      <c r="S465" s="50">
        <v>14.464499999999999</v>
      </c>
      <c r="T465" s="46">
        <v>2.0059999999999998</v>
      </c>
    </row>
    <row r="466" spans="16:20" x14ac:dyDescent="0.25">
      <c r="P466" s="18">
        <v>465</v>
      </c>
      <c r="Q466" s="50">
        <v>66.281099999999995</v>
      </c>
      <c r="R466" s="50">
        <v>0</v>
      </c>
      <c r="S466" s="50">
        <v>-0.84360000000000002</v>
      </c>
      <c r="T466" s="46">
        <v>-0.84360000000000002</v>
      </c>
    </row>
    <row r="467" spans="16:20" x14ac:dyDescent="0.25">
      <c r="P467" s="18">
        <v>466</v>
      </c>
      <c r="Q467" s="50">
        <v>94.476799999999997</v>
      </c>
      <c r="R467" s="50">
        <v>0</v>
      </c>
      <c r="S467" s="50">
        <v>0.71419999999999995</v>
      </c>
      <c r="T467" s="46">
        <v>0.71419999999999995</v>
      </c>
    </row>
    <row r="468" spans="16:20" x14ac:dyDescent="0.25">
      <c r="P468" s="18">
        <v>467</v>
      </c>
      <c r="Q468" s="50">
        <v>83.047799999999995</v>
      </c>
      <c r="R468" s="50">
        <v>0</v>
      </c>
      <c r="S468" s="50">
        <v>-2.1204000000000001</v>
      </c>
      <c r="T468" s="46">
        <v>-2.1204000000000001</v>
      </c>
    </row>
    <row r="469" spans="16:20" x14ac:dyDescent="0.25">
      <c r="P469" s="18">
        <v>468</v>
      </c>
      <c r="Q469" s="50">
        <v>63.618400000000001</v>
      </c>
      <c r="R469" s="50">
        <v>0</v>
      </c>
      <c r="S469" s="50">
        <v>-0.54459999999999997</v>
      </c>
      <c r="T469" s="46">
        <v>-0.54459999999999997</v>
      </c>
    </row>
    <row r="470" spans="16:20" x14ac:dyDescent="0.25">
      <c r="P470" s="18">
        <v>469</v>
      </c>
      <c r="Q470" s="50">
        <v>61.383800000000001</v>
      </c>
      <c r="R470" s="50">
        <v>0</v>
      </c>
      <c r="S470" s="50">
        <v>-1.3615999999999999</v>
      </c>
      <c r="T470" s="46">
        <v>-1.3615999999999999</v>
      </c>
    </row>
    <row r="471" spans="16:20" x14ac:dyDescent="0.25">
      <c r="P471" s="18">
        <v>470</v>
      </c>
      <c r="Q471" s="50">
        <v>106.0067</v>
      </c>
      <c r="R471" s="50">
        <v>6.0067000000000004</v>
      </c>
      <c r="S471" s="50">
        <v>6.8209999999999997</v>
      </c>
      <c r="T471" s="46">
        <v>0.81430000000000002</v>
      </c>
    </row>
    <row r="472" spans="16:20" x14ac:dyDescent="0.25">
      <c r="P472" s="18">
        <v>471</v>
      </c>
      <c r="Q472" s="50">
        <v>79.531800000000004</v>
      </c>
      <c r="R472" s="50">
        <v>0</v>
      </c>
      <c r="S472" s="50">
        <v>1.2314000000000001</v>
      </c>
      <c r="T472" s="46">
        <v>1.2314000000000001</v>
      </c>
    </row>
    <row r="473" spans="16:20" x14ac:dyDescent="0.25">
      <c r="P473" s="18">
        <v>472</v>
      </c>
      <c r="Q473" s="50">
        <v>91.229600000000005</v>
      </c>
      <c r="R473" s="50">
        <v>0</v>
      </c>
      <c r="S473" s="50">
        <v>-1.7241</v>
      </c>
      <c r="T473" s="46">
        <v>-1.7241</v>
      </c>
    </row>
    <row r="474" spans="16:20" x14ac:dyDescent="0.25">
      <c r="P474" s="18">
        <v>473</v>
      </c>
      <c r="Q474" s="50">
        <v>145.64670000000001</v>
      </c>
      <c r="R474" s="50">
        <v>45.646700000000003</v>
      </c>
      <c r="S474" s="50">
        <v>42.9101</v>
      </c>
      <c r="T474" s="46">
        <v>-2.7366000000000001</v>
      </c>
    </row>
    <row r="475" spans="16:20" x14ac:dyDescent="0.25">
      <c r="P475" s="18">
        <v>474</v>
      </c>
      <c r="Q475" s="50">
        <v>96.180700000000002</v>
      </c>
      <c r="R475" s="50">
        <v>0</v>
      </c>
      <c r="S475" s="50">
        <v>4.5132000000000003</v>
      </c>
      <c r="T475" s="46">
        <v>4.5132000000000003</v>
      </c>
    </row>
    <row r="476" spans="16:20" x14ac:dyDescent="0.25">
      <c r="P476" s="18">
        <v>475</v>
      </c>
      <c r="Q476" s="50">
        <v>114.14530000000001</v>
      </c>
      <c r="R476" s="50">
        <v>14.145300000000001</v>
      </c>
      <c r="S476" s="50">
        <v>11.9207</v>
      </c>
      <c r="T476" s="46">
        <v>-2.2246000000000001</v>
      </c>
    </row>
    <row r="477" spans="16:20" x14ac:dyDescent="0.25">
      <c r="P477" s="18">
        <v>476</v>
      </c>
      <c r="Q477" s="50">
        <v>59.070300000000003</v>
      </c>
      <c r="R477" s="50">
        <v>0</v>
      </c>
      <c r="S477" s="50">
        <v>0.42099999999999999</v>
      </c>
      <c r="T477" s="46">
        <v>0.42099999999999999</v>
      </c>
    </row>
    <row r="478" spans="16:20" x14ac:dyDescent="0.25">
      <c r="P478" s="18">
        <v>477</v>
      </c>
      <c r="Q478" s="50">
        <v>121.16549999999999</v>
      </c>
      <c r="R478" s="50">
        <v>21.165500000000002</v>
      </c>
      <c r="S478" s="50">
        <v>23.268599999999999</v>
      </c>
      <c r="T478" s="46">
        <v>2.1031</v>
      </c>
    </row>
    <row r="479" spans="16:20" x14ac:dyDescent="0.25">
      <c r="P479" s="18">
        <v>478</v>
      </c>
      <c r="Q479" s="50">
        <v>111.54600000000001</v>
      </c>
      <c r="R479" s="50">
        <v>11.546099999999999</v>
      </c>
      <c r="S479" s="50">
        <v>12.921099999999999</v>
      </c>
      <c r="T479" s="46">
        <v>1.3751</v>
      </c>
    </row>
    <row r="480" spans="16:20" x14ac:dyDescent="0.25">
      <c r="P480" s="18">
        <v>479</v>
      </c>
      <c r="Q480" s="50">
        <v>61.0747</v>
      </c>
      <c r="R480" s="50">
        <v>0</v>
      </c>
      <c r="S480" s="50">
        <v>-0.91559999999999997</v>
      </c>
      <c r="T480" s="46">
        <v>-0.91559999999999997</v>
      </c>
    </row>
    <row r="481" spans="16:20" x14ac:dyDescent="0.25">
      <c r="P481" s="18">
        <v>480</v>
      </c>
      <c r="Q481" s="50">
        <v>45.893999999999998</v>
      </c>
      <c r="R481" s="50">
        <v>0</v>
      </c>
      <c r="S481" s="50">
        <v>9.6600000000000005E-2</v>
      </c>
      <c r="T481" s="46">
        <v>9.6600000000000005E-2</v>
      </c>
    </row>
    <row r="482" spans="16:20" x14ac:dyDescent="0.25">
      <c r="P482" s="18">
        <v>481</v>
      </c>
      <c r="Q482" s="50">
        <v>80.771900000000002</v>
      </c>
      <c r="R482" s="50">
        <v>0</v>
      </c>
      <c r="S482" s="50">
        <v>-4.1799999999999997E-2</v>
      </c>
      <c r="T482" s="46">
        <v>-4.1799999999999997E-2</v>
      </c>
    </row>
    <row r="483" spans="16:20" x14ac:dyDescent="0.25">
      <c r="P483" s="18">
        <v>482</v>
      </c>
      <c r="Q483" s="50">
        <v>154.28210000000001</v>
      </c>
      <c r="R483" s="50">
        <v>54.2821</v>
      </c>
      <c r="S483" s="50">
        <v>54.7288</v>
      </c>
      <c r="T483" s="46">
        <v>0.44669999999999999</v>
      </c>
    </row>
    <row r="484" spans="16:20" x14ac:dyDescent="0.25">
      <c r="P484" s="18">
        <v>483</v>
      </c>
      <c r="Q484" s="50">
        <v>93.133700000000005</v>
      </c>
      <c r="R484" s="50">
        <v>0</v>
      </c>
      <c r="S484" s="50">
        <v>1.9184000000000001</v>
      </c>
      <c r="T484" s="46">
        <v>1.9184000000000001</v>
      </c>
    </row>
    <row r="485" spans="16:20" x14ac:dyDescent="0.25">
      <c r="P485" s="18">
        <v>484</v>
      </c>
      <c r="Q485" s="50">
        <v>143.12809999999999</v>
      </c>
      <c r="R485" s="50">
        <v>43.128100000000003</v>
      </c>
      <c r="S485" s="50">
        <v>44.202199999999998</v>
      </c>
      <c r="T485" s="46">
        <v>1.0741000000000001</v>
      </c>
    </row>
    <row r="486" spans="16:20" x14ac:dyDescent="0.25">
      <c r="P486" s="18">
        <v>485</v>
      </c>
      <c r="Q486" s="50">
        <v>112.14570000000001</v>
      </c>
      <c r="R486" s="50">
        <v>12.1457</v>
      </c>
      <c r="S486" s="50">
        <v>13.8119</v>
      </c>
      <c r="T486" s="46">
        <v>1.6661999999999999</v>
      </c>
    </row>
    <row r="487" spans="16:20" x14ac:dyDescent="0.25">
      <c r="P487" s="18">
        <v>486</v>
      </c>
      <c r="Q487" s="50">
        <v>141.44479999999999</v>
      </c>
      <c r="R487" s="50">
        <v>41.444800000000001</v>
      </c>
      <c r="S487" s="50">
        <v>41.214100000000002</v>
      </c>
      <c r="T487" s="46">
        <v>-0.23069999999999999</v>
      </c>
    </row>
    <row r="488" spans="16:20" x14ac:dyDescent="0.25">
      <c r="P488" s="18">
        <v>487</v>
      </c>
      <c r="Q488" s="50">
        <v>95.473399999999998</v>
      </c>
      <c r="R488" s="50">
        <v>0</v>
      </c>
      <c r="S488" s="50">
        <v>-1.7504</v>
      </c>
      <c r="T488" s="46">
        <v>-1.7504</v>
      </c>
    </row>
    <row r="489" spans="16:20" x14ac:dyDescent="0.25">
      <c r="P489" s="18">
        <v>488</v>
      </c>
      <c r="Q489" s="50">
        <v>145.18430000000001</v>
      </c>
      <c r="R489" s="50">
        <v>45.1843</v>
      </c>
      <c r="S489" s="50">
        <v>45.750300000000003</v>
      </c>
      <c r="T489" s="46">
        <v>0.56599999999999995</v>
      </c>
    </row>
    <row r="490" spans="16:20" x14ac:dyDescent="0.25">
      <c r="P490" s="18">
        <v>489</v>
      </c>
      <c r="Q490" s="50">
        <v>161.17060000000001</v>
      </c>
      <c r="R490" s="50">
        <v>61.1706</v>
      </c>
      <c r="S490" s="50">
        <v>59.412700000000001</v>
      </c>
      <c r="T490" s="46">
        <v>-1.7579</v>
      </c>
    </row>
    <row r="491" spans="16:20" x14ac:dyDescent="0.25">
      <c r="P491" s="18">
        <v>490</v>
      </c>
      <c r="Q491" s="50">
        <v>143.4538</v>
      </c>
      <c r="R491" s="50">
        <v>43.453800000000001</v>
      </c>
      <c r="S491" s="50">
        <v>43.615200000000002</v>
      </c>
      <c r="T491" s="46">
        <v>0.1613</v>
      </c>
    </row>
    <row r="492" spans="16:20" x14ac:dyDescent="0.25">
      <c r="P492" s="18">
        <v>491</v>
      </c>
      <c r="Q492" s="50">
        <v>102.8185</v>
      </c>
      <c r="R492" s="50">
        <v>2.8184999999999998</v>
      </c>
      <c r="S492" s="50">
        <v>6.3701999999999996</v>
      </c>
      <c r="T492" s="46">
        <v>3.5516999999999999</v>
      </c>
    </row>
    <row r="493" spans="16:20" x14ac:dyDescent="0.25">
      <c r="P493" s="18">
        <v>492</v>
      </c>
      <c r="Q493" s="50">
        <v>123.1238</v>
      </c>
      <c r="R493" s="50">
        <v>23.123799999999999</v>
      </c>
      <c r="S493" s="50">
        <v>21.376000000000001</v>
      </c>
      <c r="T493" s="46">
        <v>-1.7478</v>
      </c>
    </row>
    <row r="494" spans="16:20" x14ac:dyDescent="0.25">
      <c r="P494" s="18">
        <v>493</v>
      </c>
      <c r="Q494" s="50">
        <v>201.03149999999999</v>
      </c>
      <c r="R494" s="50">
        <v>101.03149999999999</v>
      </c>
      <c r="S494" s="50">
        <v>100.0686</v>
      </c>
      <c r="T494" s="46">
        <v>-0.96289999999999998</v>
      </c>
    </row>
    <row r="495" spans="16:20" x14ac:dyDescent="0.25">
      <c r="P495" s="18">
        <v>494</v>
      </c>
      <c r="Q495" s="50">
        <v>66.030199999999994</v>
      </c>
      <c r="R495" s="50">
        <v>0</v>
      </c>
      <c r="S495" s="50">
        <v>-0.62849999999999995</v>
      </c>
      <c r="T495" s="46">
        <v>-0.62849999999999995</v>
      </c>
    </row>
    <row r="496" spans="16:20" x14ac:dyDescent="0.25">
      <c r="P496" s="18">
        <v>495</v>
      </c>
      <c r="Q496" s="50">
        <v>113.6635</v>
      </c>
      <c r="R496" s="50">
        <v>13.663500000000001</v>
      </c>
      <c r="S496" s="50">
        <v>8.1602999999999994</v>
      </c>
      <c r="T496" s="46">
        <v>-5.5031999999999996</v>
      </c>
    </row>
    <row r="497" spans="16:20" x14ac:dyDescent="0.25">
      <c r="P497" s="18">
        <v>496</v>
      </c>
      <c r="Q497" s="50">
        <v>108.1057</v>
      </c>
      <c r="R497" s="50">
        <v>8.1057000000000006</v>
      </c>
      <c r="S497" s="50">
        <v>9.8529999999999998</v>
      </c>
      <c r="T497" s="46">
        <v>1.7472000000000001</v>
      </c>
    </row>
    <row r="498" spans="16:20" x14ac:dyDescent="0.25">
      <c r="P498" s="18">
        <v>497</v>
      </c>
      <c r="Q498" s="50">
        <v>114.8205</v>
      </c>
      <c r="R498" s="50">
        <v>14.820499999999999</v>
      </c>
      <c r="S498" s="50">
        <v>17.226299999999998</v>
      </c>
      <c r="T498" s="46">
        <v>2.4058000000000002</v>
      </c>
    </row>
    <row r="499" spans="16:20" x14ac:dyDescent="0.25">
      <c r="P499" s="18">
        <v>498</v>
      </c>
      <c r="Q499" s="50">
        <v>117.648</v>
      </c>
      <c r="R499" s="50">
        <v>17.648</v>
      </c>
      <c r="S499" s="50">
        <v>18.608000000000001</v>
      </c>
      <c r="T499" s="46">
        <v>0.95989999999999998</v>
      </c>
    </row>
    <row r="500" spans="16:20" x14ac:dyDescent="0.25">
      <c r="P500" s="18">
        <v>499</v>
      </c>
      <c r="Q500" s="50">
        <v>119.8623</v>
      </c>
      <c r="R500" s="50">
        <v>19.862300000000001</v>
      </c>
      <c r="S500" s="50">
        <v>22.44</v>
      </c>
      <c r="T500" s="46">
        <v>2.5777000000000001</v>
      </c>
    </row>
    <row r="501" spans="16:20" x14ac:dyDescent="0.25">
      <c r="P501" s="18">
        <v>500</v>
      </c>
      <c r="Q501" s="50">
        <v>109.74379999999999</v>
      </c>
      <c r="R501" s="50">
        <v>9.7438000000000002</v>
      </c>
      <c r="S501" s="50">
        <v>12.6572</v>
      </c>
      <c r="T501" s="46">
        <v>2.9135</v>
      </c>
    </row>
    <row r="502" spans="16:20" x14ac:dyDescent="0.25">
      <c r="P502" s="18">
        <v>501</v>
      </c>
      <c r="Q502" s="50">
        <v>105.6507</v>
      </c>
      <c r="R502" s="50">
        <v>5.6506999999999996</v>
      </c>
      <c r="S502" s="50">
        <v>5.6501000000000001</v>
      </c>
      <c r="T502" s="46">
        <v>-5.0000000000000001E-4</v>
      </c>
    </row>
    <row r="503" spans="16:20" x14ac:dyDescent="0.25">
      <c r="P503" s="18">
        <v>502</v>
      </c>
      <c r="Q503" s="50">
        <v>114.2886</v>
      </c>
      <c r="R503" s="50">
        <v>14.2887</v>
      </c>
      <c r="S503" s="50">
        <v>17.3551</v>
      </c>
      <c r="T503" s="46">
        <v>3.0665</v>
      </c>
    </row>
    <row r="504" spans="16:20" x14ac:dyDescent="0.25">
      <c r="P504" s="18">
        <v>503</v>
      </c>
      <c r="Q504" s="50">
        <v>159.32050000000001</v>
      </c>
      <c r="R504" s="50">
        <v>59.320500000000003</v>
      </c>
      <c r="S504" s="50">
        <v>59.645000000000003</v>
      </c>
      <c r="T504" s="46">
        <v>0.32440000000000002</v>
      </c>
    </row>
    <row r="505" spans="16:20" x14ac:dyDescent="0.25">
      <c r="P505" s="18">
        <v>504</v>
      </c>
      <c r="Q505" s="50">
        <v>96.095500000000001</v>
      </c>
      <c r="R505" s="50">
        <v>0</v>
      </c>
      <c r="S505" s="50">
        <v>-1.4717</v>
      </c>
      <c r="T505" s="46">
        <v>-1.4717</v>
      </c>
    </row>
    <row r="506" spans="16:20" x14ac:dyDescent="0.25">
      <c r="P506" s="18">
        <v>505</v>
      </c>
      <c r="Q506" s="50">
        <v>164.87870000000001</v>
      </c>
      <c r="R506" s="50">
        <v>64.878699999999995</v>
      </c>
      <c r="S506" s="50">
        <v>66.064599999999999</v>
      </c>
      <c r="T506" s="46">
        <v>1.1859</v>
      </c>
    </row>
    <row r="507" spans="16:20" x14ac:dyDescent="0.25">
      <c r="P507" s="18">
        <v>506</v>
      </c>
      <c r="Q507" s="50">
        <v>61.762099999999997</v>
      </c>
      <c r="R507" s="50">
        <v>0</v>
      </c>
      <c r="S507" s="50">
        <v>1.4722999999999999</v>
      </c>
      <c r="T507" s="46">
        <v>1.4722999999999999</v>
      </c>
    </row>
    <row r="508" spans="16:20" x14ac:dyDescent="0.25">
      <c r="P508" s="18">
        <v>507</v>
      </c>
      <c r="Q508" s="50">
        <v>118.2516</v>
      </c>
      <c r="R508" s="50">
        <v>18.2516</v>
      </c>
      <c r="S508" s="50">
        <v>20.319800000000001</v>
      </c>
      <c r="T508" s="46">
        <v>2.0682</v>
      </c>
    </row>
    <row r="509" spans="16:20" x14ac:dyDescent="0.25">
      <c r="P509" s="18">
        <v>508</v>
      </c>
      <c r="Q509" s="50">
        <v>88.468999999999994</v>
      </c>
      <c r="R509" s="50">
        <v>0</v>
      </c>
      <c r="S509" s="50">
        <v>1.0075000000000001</v>
      </c>
      <c r="T509" s="46">
        <v>1.0075000000000001</v>
      </c>
    </row>
    <row r="510" spans="16:20" x14ac:dyDescent="0.25">
      <c r="P510" s="18">
        <v>509</v>
      </c>
      <c r="Q510" s="50">
        <v>114.3907</v>
      </c>
      <c r="R510" s="50">
        <v>14.390700000000001</v>
      </c>
      <c r="S510" s="50">
        <v>12.898199999999999</v>
      </c>
      <c r="T510" s="46">
        <v>-1.4925999999999999</v>
      </c>
    </row>
    <row r="511" spans="16:20" x14ac:dyDescent="0.25">
      <c r="P511" s="18">
        <v>510</v>
      </c>
      <c r="Q511" s="50">
        <v>91.828299999999999</v>
      </c>
      <c r="R511" s="50">
        <v>0</v>
      </c>
      <c r="S511" s="50">
        <v>2.7351000000000001</v>
      </c>
      <c r="T511" s="46">
        <v>2.7351000000000001</v>
      </c>
    </row>
    <row r="512" spans="16:20" x14ac:dyDescent="0.25">
      <c r="P512" s="18">
        <v>511</v>
      </c>
      <c r="Q512" s="50">
        <v>102.3527</v>
      </c>
      <c r="R512" s="50">
        <v>2.3527</v>
      </c>
      <c r="S512" s="50">
        <v>6.2047999999999996</v>
      </c>
      <c r="T512" s="46">
        <v>3.8519999999999999</v>
      </c>
    </row>
    <row r="513" spans="16:20" x14ac:dyDescent="0.25">
      <c r="P513" s="18">
        <v>512</v>
      </c>
      <c r="Q513" s="50">
        <v>47.548200000000001</v>
      </c>
      <c r="R513" s="50">
        <v>0</v>
      </c>
      <c r="S513" s="50">
        <v>-8.7499999999999994E-2</v>
      </c>
      <c r="T513" s="46">
        <v>-8.7499999999999994E-2</v>
      </c>
    </row>
    <row r="514" spans="16:20" x14ac:dyDescent="0.25">
      <c r="P514" s="18">
        <v>513</v>
      </c>
      <c r="Q514" s="50">
        <v>108.72239999999999</v>
      </c>
      <c r="R514" s="50">
        <v>8.7224000000000004</v>
      </c>
      <c r="S514" s="50">
        <v>12.612</v>
      </c>
      <c r="T514" s="46">
        <v>3.8895</v>
      </c>
    </row>
    <row r="515" spans="16:20" x14ac:dyDescent="0.25">
      <c r="P515" s="18">
        <v>514</v>
      </c>
      <c r="Q515" s="50">
        <v>203.68100000000001</v>
      </c>
      <c r="R515" s="50">
        <v>103.681</v>
      </c>
      <c r="S515" s="50">
        <v>102.01519999999999</v>
      </c>
      <c r="T515" s="46">
        <v>-1.6657999999999999</v>
      </c>
    </row>
    <row r="516" spans="16:20" x14ac:dyDescent="0.25">
      <c r="P516" s="18">
        <v>515</v>
      </c>
      <c r="Q516" s="50">
        <v>71.655000000000001</v>
      </c>
      <c r="R516" s="50">
        <v>0</v>
      </c>
      <c r="S516" s="50">
        <v>1.4112</v>
      </c>
      <c r="T516" s="46">
        <v>1.4112</v>
      </c>
    </row>
    <row r="517" spans="16:20" x14ac:dyDescent="0.25">
      <c r="P517" s="18">
        <v>516</v>
      </c>
      <c r="Q517" s="50">
        <v>79.343500000000006</v>
      </c>
      <c r="R517" s="50">
        <v>0</v>
      </c>
      <c r="S517" s="50">
        <v>0.94810000000000005</v>
      </c>
      <c r="T517" s="46">
        <v>0.94810000000000005</v>
      </c>
    </row>
    <row r="518" spans="16:20" x14ac:dyDescent="0.25">
      <c r="P518" s="18">
        <v>517</v>
      </c>
      <c r="Q518" s="50">
        <v>95.578800000000001</v>
      </c>
      <c r="R518" s="50">
        <v>0</v>
      </c>
      <c r="S518" s="50">
        <v>3.7463000000000002</v>
      </c>
      <c r="T518" s="46">
        <v>3.7463000000000002</v>
      </c>
    </row>
    <row r="519" spans="16:20" x14ac:dyDescent="0.25">
      <c r="P519" s="18">
        <v>518</v>
      </c>
      <c r="Q519" s="50">
        <v>122.29430000000001</v>
      </c>
      <c r="R519" s="50">
        <v>22.2943</v>
      </c>
      <c r="S519" s="50">
        <v>20.895199999999999</v>
      </c>
      <c r="T519" s="46">
        <v>-1.3991</v>
      </c>
    </row>
    <row r="520" spans="16:20" x14ac:dyDescent="0.25">
      <c r="P520" s="18">
        <v>519</v>
      </c>
      <c r="Q520" s="50">
        <v>87.575900000000004</v>
      </c>
      <c r="R520" s="50">
        <v>0</v>
      </c>
      <c r="S520" s="50">
        <v>-8.6499999999999994E-2</v>
      </c>
      <c r="T520" s="46">
        <v>-8.6499999999999994E-2</v>
      </c>
    </row>
    <row r="521" spans="16:20" x14ac:dyDescent="0.25">
      <c r="P521" s="18">
        <v>520</v>
      </c>
      <c r="Q521" s="50">
        <v>80.8553</v>
      </c>
      <c r="R521" s="50">
        <v>0</v>
      </c>
      <c r="S521" s="50">
        <v>-0.93010000000000004</v>
      </c>
      <c r="T521" s="46">
        <v>-0.93010000000000004</v>
      </c>
    </row>
    <row r="522" spans="16:20" x14ac:dyDescent="0.25">
      <c r="P522" s="18">
        <v>521</v>
      </c>
      <c r="Q522" s="50">
        <v>108.75109999999999</v>
      </c>
      <c r="R522" s="50">
        <v>8.7510999999999992</v>
      </c>
      <c r="S522" s="50">
        <v>11.866099999999999</v>
      </c>
      <c r="T522" s="46">
        <v>3.1150000000000002</v>
      </c>
    </row>
    <row r="523" spans="16:20" x14ac:dyDescent="0.25">
      <c r="P523" s="18">
        <v>522</v>
      </c>
      <c r="Q523" s="50">
        <v>191.6207</v>
      </c>
      <c r="R523" s="50">
        <v>91.620699999999999</v>
      </c>
      <c r="S523" s="50">
        <v>91.2483</v>
      </c>
      <c r="T523" s="46">
        <v>-0.37240000000000001</v>
      </c>
    </row>
    <row r="524" spans="16:20" x14ac:dyDescent="0.25">
      <c r="P524" s="18">
        <v>523</v>
      </c>
      <c r="Q524" s="50">
        <v>138.53149999999999</v>
      </c>
      <c r="R524" s="50">
        <v>38.531500000000001</v>
      </c>
      <c r="S524" s="50">
        <v>38.207299999999996</v>
      </c>
      <c r="T524" s="46">
        <v>-0.3241</v>
      </c>
    </row>
    <row r="525" spans="16:20" x14ac:dyDescent="0.25">
      <c r="P525" s="18">
        <v>524</v>
      </c>
      <c r="Q525" s="50">
        <v>111.1794</v>
      </c>
      <c r="R525" s="50">
        <v>11.179399999999999</v>
      </c>
      <c r="S525" s="50">
        <v>10.504</v>
      </c>
      <c r="T525" s="46">
        <v>-0.6754</v>
      </c>
    </row>
    <row r="526" spans="16:20" x14ac:dyDescent="0.25">
      <c r="P526" s="18">
        <v>525</v>
      </c>
      <c r="Q526" s="50">
        <v>112.3248</v>
      </c>
      <c r="R526" s="50">
        <v>12.3248</v>
      </c>
      <c r="S526" s="50">
        <v>8.6719000000000008</v>
      </c>
      <c r="T526" s="46">
        <v>-3.6528999999999998</v>
      </c>
    </row>
    <row r="527" spans="16:20" x14ac:dyDescent="0.25">
      <c r="P527" s="18">
        <v>526</v>
      </c>
      <c r="Q527" s="50">
        <v>74.131</v>
      </c>
      <c r="R527" s="50">
        <v>0</v>
      </c>
      <c r="S527" s="50">
        <v>-0.62060000000000004</v>
      </c>
      <c r="T527" s="46">
        <v>-0.62060000000000004</v>
      </c>
    </row>
    <row r="528" spans="16:20" x14ac:dyDescent="0.25">
      <c r="P528" s="18">
        <v>527</v>
      </c>
      <c r="Q528" s="50">
        <v>112.0318</v>
      </c>
      <c r="R528" s="50">
        <v>12.0318</v>
      </c>
      <c r="S528" s="50">
        <v>13.4956</v>
      </c>
      <c r="T528" s="46">
        <v>1.4638</v>
      </c>
    </row>
    <row r="529" spans="16:20" x14ac:dyDescent="0.25">
      <c r="P529" s="18">
        <v>528</v>
      </c>
      <c r="Q529" s="50">
        <v>58.604599999999998</v>
      </c>
      <c r="R529" s="50">
        <v>0</v>
      </c>
      <c r="S529" s="50">
        <v>0.16109999999999999</v>
      </c>
      <c r="T529" s="46">
        <v>0.16109999999999999</v>
      </c>
    </row>
    <row r="530" spans="16:20" x14ac:dyDescent="0.25">
      <c r="P530" s="18">
        <v>529</v>
      </c>
      <c r="Q530" s="50">
        <v>84.499099999999999</v>
      </c>
      <c r="R530" s="50">
        <v>0</v>
      </c>
      <c r="S530" s="50">
        <v>0.65169999999999995</v>
      </c>
      <c r="T530" s="46">
        <v>0.65169999999999995</v>
      </c>
    </row>
    <row r="531" spans="16:20" x14ac:dyDescent="0.25">
      <c r="P531" s="18">
        <v>530</v>
      </c>
      <c r="Q531" s="50">
        <v>93.023700000000005</v>
      </c>
      <c r="R531" s="50">
        <v>0</v>
      </c>
      <c r="S531" s="50">
        <v>3.4354</v>
      </c>
      <c r="T531" s="46">
        <v>3.4354</v>
      </c>
    </row>
    <row r="532" spans="16:20" x14ac:dyDescent="0.25">
      <c r="P532" s="18">
        <v>531</v>
      </c>
      <c r="Q532" s="50">
        <v>92.227099999999993</v>
      </c>
      <c r="R532" s="50">
        <v>0</v>
      </c>
      <c r="S532" s="50">
        <v>2.5628000000000002</v>
      </c>
      <c r="T532" s="46">
        <v>2.5628000000000002</v>
      </c>
    </row>
    <row r="533" spans="16:20" x14ac:dyDescent="0.25">
      <c r="P533" s="18">
        <v>532</v>
      </c>
      <c r="Q533" s="50">
        <v>116.3535</v>
      </c>
      <c r="R533" s="50">
        <v>16.3535</v>
      </c>
      <c r="S533" s="50">
        <v>16.7105</v>
      </c>
      <c r="T533" s="46">
        <v>0.35699999999999998</v>
      </c>
    </row>
    <row r="534" spans="16:20" x14ac:dyDescent="0.25">
      <c r="P534" s="18">
        <v>533</v>
      </c>
      <c r="Q534" s="50">
        <v>154.52869999999999</v>
      </c>
      <c r="R534" s="50">
        <v>54.528700000000001</v>
      </c>
      <c r="S534" s="50">
        <v>54.740099999999998</v>
      </c>
      <c r="T534" s="46">
        <v>0.21149999999999999</v>
      </c>
    </row>
    <row r="535" spans="16:20" x14ac:dyDescent="0.25">
      <c r="P535" s="18">
        <v>534</v>
      </c>
      <c r="Q535" s="50">
        <v>163.21190000000001</v>
      </c>
      <c r="R535" s="50">
        <v>63.2119</v>
      </c>
      <c r="S535" s="50">
        <v>63.629600000000003</v>
      </c>
      <c r="T535" s="46">
        <v>0.41770000000000002</v>
      </c>
    </row>
    <row r="536" spans="16:20" x14ac:dyDescent="0.25">
      <c r="P536" s="18">
        <v>535</v>
      </c>
      <c r="Q536" s="50">
        <v>87.363399999999999</v>
      </c>
      <c r="R536" s="50">
        <v>0</v>
      </c>
      <c r="S536" s="50">
        <v>-1.7881</v>
      </c>
      <c r="T536" s="46">
        <v>-1.7881</v>
      </c>
    </row>
    <row r="537" spans="16:20" x14ac:dyDescent="0.25">
      <c r="P537" s="18">
        <v>536</v>
      </c>
      <c r="Q537" s="50">
        <v>79.082899999999995</v>
      </c>
      <c r="R537" s="50">
        <v>0</v>
      </c>
      <c r="S537" s="50">
        <v>1.0305</v>
      </c>
      <c r="T537" s="46">
        <v>1.0305</v>
      </c>
    </row>
    <row r="538" spans="16:20" x14ac:dyDescent="0.25">
      <c r="P538" s="18">
        <v>537</v>
      </c>
      <c r="Q538" s="50">
        <v>85.652600000000007</v>
      </c>
      <c r="R538" s="50">
        <v>0</v>
      </c>
      <c r="S538" s="50">
        <v>-2.0499999999999998</v>
      </c>
      <c r="T538" s="46">
        <v>-2.0499999999999998</v>
      </c>
    </row>
    <row r="539" spans="16:20" x14ac:dyDescent="0.25">
      <c r="P539" s="18">
        <v>538</v>
      </c>
      <c r="Q539" s="50">
        <v>93.184899999999999</v>
      </c>
      <c r="R539" s="50">
        <v>0</v>
      </c>
      <c r="S539" s="50">
        <v>-0.41160000000000002</v>
      </c>
      <c r="T539" s="46">
        <v>-0.41160000000000002</v>
      </c>
    </row>
    <row r="540" spans="16:20" x14ac:dyDescent="0.25">
      <c r="P540" s="18">
        <v>539</v>
      </c>
      <c r="Q540" s="50">
        <v>121.5493</v>
      </c>
      <c r="R540" s="50">
        <v>21.549299999999999</v>
      </c>
      <c r="S540" s="50">
        <v>22.792400000000001</v>
      </c>
      <c r="T540" s="46">
        <v>1.2431000000000001</v>
      </c>
    </row>
    <row r="541" spans="16:20" x14ac:dyDescent="0.25">
      <c r="P541" s="18">
        <v>540</v>
      </c>
      <c r="Q541" s="50">
        <v>132.5821</v>
      </c>
      <c r="R541" s="50">
        <v>32.582099999999997</v>
      </c>
      <c r="S541" s="50">
        <v>33.158200000000001</v>
      </c>
      <c r="T541" s="46">
        <v>0.57609999999999995</v>
      </c>
    </row>
    <row r="542" spans="16:20" x14ac:dyDescent="0.25">
      <c r="P542" s="18">
        <v>541</v>
      </c>
      <c r="Q542" s="50">
        <v>145.1335</v>
      </c>
      <c r="R542" s="50">
        <v>45.133499999999998</v>
      </c>
      <c r="S542" s="50">
        <v>47.388500000000001</v>
      </c>
      <c r="T542" s="46">
        <v>2.2549999999999999</v>
      </c>
    </row>
    <row r="543" spans="16:20" x14ac:dyDescent="0.25">
      <c r="P543" s="18">
        <v>542</v>
      </c>
      <c r="Q543" s="50">
        <v>99.010900000000007</v>
      </c>
      <c r="R543" s="50">
        <v>0</v>
      </c>
      <c r="S543" s="50">
        <v>2.5215000000000001</v>
      </c>
      <c r="T543" s="46">
        <v>2.5215000000000001</v>
      </c>
    </row>
    <row r="544" spans="16:20" x14ac:dyDescent="0.25">
      <c r="P544" s="18">
        <v>543</v>
      </c>
      <c r="Q544" s="50">
        <v>111.23990000000001</v>
      </c>
      <c r="R544" s="50">
        <v>11.2399</v>
      </c>
      <c r="S544" s="50">
        <v>11.508599999999999</v>
      </c>
      <c r="T544" s="46">
        <v>0.26860000000000001</v>
      </c>
    </row>
    <row r="545" spans="16:20" x14ac:dyDescent="0.25">
      <c r="P545" s="18">
        <v>544</v>
      </c>
      <c r="Q545" s="50">
        <v>101.7471</v>
      </c>
      <c r="R545" s="50">
        <v>1.7471000000000001</v>
      </c>
      <c r="S545" s="50">
        <v>5.5269000000000004</v>
      </c>
      <c r="T545" s="46">
        <v>3.7797999999999998</v>
      </c>
    </row>
    <row r="546" spans="16:20" x14ac:dyDescent="0.25">
      <c r="P546" s="18">
        <v>545</v>
      </c>
      <c r="Q546" s="50">
        <v>101.2807</v>
      </c>
      <c r="R546" s="50">
        <v>1.2806999999999999</v>
      </c>
      <c r="S546" s="50">
        <v>7.4946999999999999</v>
      </c>
      <c r="T546" s="46">
        <v>6.2138999999999998</v>
      </c>
    </row>
    <row r="547" spans="16:20" x14ac:dyDescent="0.25">
      <c r="P547" s="18">
        <v>546</v>
      </c>
      <c r="Q547" s="50">
        <v>102.6601</v>
      </c>
      <c r="R547" s="50">
        <v>2.6600999999999999</v>
      </c>
      <c r="S547" s="50">
        <v>3.0007999999999999</v>
      </c>
      <c r="T547" s="46">
        <v>0.3407</v>
      </c>
    </row>
    <row r="548" spans="16:20" x14ac:dyDescent="0.25">
      <c r="P548" s="18">
        <v>547</v>
      </c>
      <c r="Q548" s="50">
        <v>86.825199999999995</v>
      </c>
      <c r="R548" s="50">
        <v>0</v>
      </c>
      <c r="S548" s="50">
        <v>-3.36</v>
      </c>
      <c r="T548" s="46">
        <v>-3.36</v>
      </c>
    </row>
    <row r="549" spans="16:20" x14ac:dyDescent="0.25">
      <c r="P549" s="18">
        <v>548</v>
      </c>
      <c r="Q549" s="50">
        <v>59.6175</v>
      </c>
      <c r="R549" s="50">
        <v>0</v>
      </c>
      <c r="S549" s="50">
        <v>0.37640000000000001</v>
      </c>
      <c r="T549" s="46">
        <v>0.37640000000000001</v>
      </c>
    </row>
    <row r="550" spans="16:20" x14ac:dyDescent="0.25">
      <c r="P550" s="18">
        <v>549</v>
      </c>
      <c r="Q550" s="50">
        <v>114.9726</v>
      </c>
      <c r="R550" s="50">
        <v>14.9726</v>
      </c>
      <c r="S550" s="50">
        <v>12.5036</v>
      </c>
      <c r="T550" s="46">
        <v>-2.4689999999999999</v>
      </c>
    </row>
    <row r="551" spans="16:20" x14ac:dyDescent="0.25">
      <c r="P551" s="18">
        <v>550</v>
      </c>
      <c r="Q551" s="50">
        <v>99.990899999999996</v>
      </c>
      <c r="R551" s="50">
        <v>8.0000000000000002E-3</v>
      </c>
      <c r="S551" s="50">
        <v>5.5928000000000004</v>
      </c>
      <c r="T551" s="46">
        <v>5.5848000000000004</v>
      </c>
    </row>
    <row r="552" spans="16:20" x14ac:dyDescent="0.25">
      <c r="P552" s="18">
        <v>551</v>
      </c>
      <c r="Q552" s="50">
        <v>105.30500000000001</v>
      </c>
      <c r="R552" s="50">
        <v>5.3049999999999997</v>
      </c>
      <c r="S552" s="50">
        <v>7.1847000000000003</v>
      </c>
      <c r="T552" s="46">
        <v>1.8796999999999999</v>
      </c>
    </row>
    <row r="553" spans="16:20" x14ac:dyDescent="0.25">
      <c r="P553" s="18">
        <v>552</v>
      </c>
      <c r="Q553" s="50">
        <v>129.21369999999999</v>
      </c>
      <c r="R553" s="50">
        <v>29.213699999999999</v>
      </c>
      <c r="S553" s="50">
        <v>29.2987</v>
      </c>
      <c r="T553" s="46">
        <v>8.5099999999999995E-2</v>
      </c>
    </row>
    <row r="554" spans="16:20" x14ac:dyDescent="0.25">
      <c r="P554" s="18">
        <v>553</v>
      </c>
      <c r="Q554" s="50">
        <v>128.37860000000001</v>
      </c>
      <c r="R554" s="50">
        <v>28.378599999999999</v>
      </c>
      <c r="S554" s="50">
        <v>30.653300000000002</v>
      </c>
      <c r="T554" s="46">
        <v>2.2747000000000002</v>
      </c>
    </row>
    <row r="555" spans="16:20" x14ac:dyDescent="0.25">
      <c r="P555" s="18">
        <v>554</v>
      </c>
      <c r="Q555" s="50">
        <v>126.22239999999999</v>
      </c>
      <c r="R555" s="50">
        <v>26.2224</v>
      </c>
      <c r="S555" s="50">
        <v>22.5243</v>
      </c>
      <c r="T555" s="46">
        <v>-3.6981000000000002</v>
      </c>
    </row>
    <row r="556" spans="16:20" x14ac:dyDescent="0.25">
      <c r="P556" s="18">
        <v>555</v>
      </c>
      <c r="Q556" s="50">
        <v>90.189700000000002</v>
      </c>
      <c r="R556" s="50">
        <v>0</v>
      </c>
      <c r="S556" s="50">
        <v>1.8483000000000001</v>
      </c>
      <c r="T556" s="46">
        <v>1.8483000000000001</v>
      </c>
    </row>
    <row r="557" spans="16:20" x14ac:dyDescent="0.25">
      <c r="P557" s="18">
        <v>556</v>
      </c>
      <c r="Q557" s="50">
        <v>62.419400000000003</v>
      </c>
      <c r="R557" s="50">
        <v>0</v>
      </c>
      <c r="S557" s="50">
        <v>-1.9330000000000001</v>
      </c>
      <c r="T557" s="46">
        <v>-1.9330000000000001</v>
      </c>
    </row>
    <row r="558" spans="16:20" x14ac:dyDescent="0.25">
      <c r="P558" s="18">
        <v>557</v>
      </c>
      <c r="Q558" s="50">
        <v>136.6216</v>
      </c>
      <c r="R558" s="50">
        <v>36.621600000000001</v>
      </c>
      <c r="S558" s="50">
        <v>37.167099999999998</v>
      </c>
      <c r="T558" s="46">
        <v>0.54549999999999998</v>
      </c>
    </row>
    <row r="559" spans="16:20" x14ac:dyDescent="0.25">
      <c r="P559" s="18">
        <v>558</v>
      </c>
      <c r="Q559" s="50">
        <v>81.126199999999997</v>
      </c>
      <c r="R559" s="50">
        <v>0</v>
      </c>
      <c r="S559" s="50">
        <v>0.53979999999999995</v>
      </c>
      <c r="T559" s="46">
        <v>0.53979999999999995</v>
      </c>
    </row>
    <row r="560" spans="16:20" x14ac:dyDescent="0.25">
      <c r="P560" s="18">
        <v>559</v>
      </c>
      <c r="Q560" s="50">
        <v>110.54949999999999</v>
      </c>
      <c r="R560" s="50">
        <v>10.5495</v>
      </c>
      <c r="S560" s="50">
        <v>11.323700000000001</v>
      </c>
      <c r="T560" s="46">
        <v>0.7742</v>
      </c>
    </row>
    <row r="561" spans="16:20" x14ac:dyDescent="0.25">
      <c r="P561" s="18">
        <v>560</v>
      </c>
      <c r="Q561" s="50">
        <v>58.826300000000003</v>
      </c>
      <c r="R561" s="50">
        <v>0</v>
      </c>
      <c r="S561" s="50">
        <v>-1.1980999999999999</v>
      </c>
      <c r="T561" s="46">
        <v>-1.1980999999999999</v>
      </c>
    </row>
    <row r="562" spans="16:20" x14ac:dyDescent="0.25">
      <c r="P562" s="18">
        <v>561</v>
      </c>
      <c r="Q562" s="50">
        <v>81.6374</v>
      </c>
      <c r="R562" s="50">
        <v>0</v>
      </c>
      <c r="S562" s="50">
        <v>-0.97130000000000005</v>
      </c>
      <c r="T562" s="46">
        <v>-0.97130000000000005</v>
      </c>
    </row>
    <row r="563" spans="16:20" x14ac:dyDescent="0.25">
      <c r="P563" s="18">
        <v>562</v>
      </c>
      <c r="Q563" s="50">
        <v>108.17570000000001</v>
      </c>
      <c r="R563" s="50">
        <v>8.1757000000000009</v>
      </c>
      <c r="S563" s="50">
        <v>5.5659999999999998</v>
      </c>
      <c r="T563" s="46">
        <v>-2.6097000000000001</v>
      </c>
    </row>
    <row r="564" spans="16:20" x14ac:dyDescent="0.25">
      <c r="P564" s="18">
        <v>563</v>
      </c>
      <c r="Q564" s="50">
        <v>139.1087</v>
      </c>
      <c r="R564" s="50">
        <v>39.108699999999999</v>
      </c>
      <c r="S564" s="50">
        <v>38.171500000000002</v>
      </c>
      <c r="T564" s="46">
        <v>-0.93710000000000004</v>
      </c>
    </row>
    <row r="565" spans="16:20" x14ac:dyDescent="0.25">
      <c r="P565" s="18">
        <v>564</v>
      </c>
      <c r="Q565" s="50">
        <v>95.339200000000005</v>
      </c>
      <c r="R565" s="50">
        <v>0</v>
      </c>
      <c r="S565" s="50">
        <v>2.7699999999999999E-2</v>
      </c>
      <c r="T565" s="46">
        <v>2.7699999999999999E-2</v>
      </c>
    </row>
    <row r="566" spans="16:20" x14ac:dyDescent="0.25">
      <c r="P566" s="18">
        <v>565</v>
      </c>
      <c r="Q566" s="50">
        <v>101.20050000000001</v>
      </c>
      <c r="R566" s="50">
        <v>1.2004999999999999</v>
      </c>
      <c r="S566" s="50">
        <v>3.5407000000000002</v>
      </c>
      <c r="T566" s="46">
        <v>2.3401999999999998</v>
      </c>
    </row>
    <row r="567" spans="16:20" x14ac:dyDescent="0.25">
      <c r="P567" s="18">
        <v>566</v>
      </c>
      <c r="Q567" s="50">
        <v>161.2972</v>
      </c>
      <c r="R567" s="50">
        <v>61.297199999999997</v>
      </c>
      <c r="S567" s="50">
        <v>55.207999999999998</v>
      </c>
      <c r="T567" s="46">
        <v>-6.0891999999999999</v>
      </c>
    </row>
    <row r="568" spans="16:20" x14ac:dyDescent="0.25">
      <c r="P568" s="18">
        <v>567</v>
      </c>
      <c r="Q568" s="50">
        <v>64.066199999999995</v>
      </c>
      <c r="R568" s="50">
        <v>0</v>
      </c>
      <c r="S568" s="50">
        <v>-1.5109999999999999</v>
      </c>
      <c r="T568" s="46">
        <v>-1.5109999999999999</v>
      </c>
    </row>
    <row r="569" spans="16:20" x14ac:dyDescent="0.25">
      <c r="P569" s="18">
        <v>568</v>
      </c>
      <c r="Q569" s="50">
        <v>113.8597</v>
      </c>
      <c r="R569" s="50">
        <v>13.8597</v>
      </c>
      <c r="S569" s="50">
        <v>15.3142</v>
      </c>
      <c r="T569" s="46">
        <v>1.4544999999999999</v>
      </c>
    </row>
    <row r="570" spans="16:20" x14ac:dyDescent="0.25">
      <c r="P570" s="18">
        <v>569</v>
      </c>
      <c r="Q570" s="50">
        <v>85.750799999999998</v>
      </c>
      <c r="R570" s="50">
        <v>0</v>
      </c>
      <c r="S570" s="50">
        <v>-1.0457000000000001</v>
      </c>
      <c r="T570" s="46">
        <v>-1.0457000000000001</v>
      </c>
    </row>
    <row r="571" spans="16:20" x14ac:dyDescent="0.25">
      <c r="P571" s="18">
        <v>570</v>
      </c>
      <c r="Q571" s="50">
        <v>112.2033</v>
      </c>
      <c r="R571" s="50">
        <v>12.2033</v>
      </c>
      <c r="S571" s="50">
        <v>12.330500000000001</v>
      </c>
      <c r="T571" s="46">
        <v>0.12720000000000001</v>
      </c>
    </row>
    <row r="572" spans="16:20" x14ac:dyDescent="0.25">
      <c r="P572" s="18">
        <v>571</v>
      </c>
      <c r="Q572" s="50">
        <v>135.15639999999999</v>
      </c>
      <c r="R572" s="50">
        <v>35.156500000000001</v>
      </c>
      <c r="S572" s="50">
        <v>34.132800000000003</v>
      </c>
      <c r="T572" s="46">
        <v>-1.0237000000000001</v>
      </c>
    </row>
    <row r="573" spans="16:20" x14ac:dyDescent="0.25">
      <c r="P573" s="18">
        <v>572</v>
      </c>
      <c r="Q573" s="50">
        <v>169.0017</v>
      </c>
      <c r="R573" s="50">
        <v>69.0017</v>
      </c>
      <c r="S573" s="50">
        <v>68.091700000000003</v>
      </c>
      <c r="T573" s="46">
        <v>-0.91</v>
      </c>
    </row>
    <row r="574" spans="16:20" x14ac:dyDescent="0.25">
      <c r="P574" s="18">
        <v>573</v>
      </c>
      <c r="Q574" s="50">
        <v>104.3094</v>
      </c>
      <c r="R574" s="50">
        <v>4.3094000000000001</v>
      </c>
      <c r="S574" s="50">
        <v>6.4150999999999998</v>
      </c>
      <c r="T574" s="46">
        <v>2.1055999999999999</v>
      </c>
    </row>
    <row r="575" spans="16:20" x14ac:dyDescent="0.25">
      <c r="P575" s="18">
        <v>574</v>
      </c>
      <c r="Q575" s="50">
        <v>170.5478</v>
      </c>
      <c r="R575" s="50">
        <v>70.547799999999995</v>
      </c>
      <c r="S575" s="50">
        <v>71.936700000000002</v>
      </c>
      <c r="T575" s="46">
        <v>1.3889</v>
      </c>
    </row>
    <row r="576" spans="16:20" x14ac:dyDescent="0.25">
      <c r="P576" s="18">
        <v>575</v>
      </c>
      <c r="Q576" s="50">
        <v>82.668999999999997</v>
      </c>
      <c r="R576" s="50">
        <v>0</v>
      </c>
      <c r="S576" s="50">
        <v>2.8736999999999999</v>
      </c>
      <c r="T576" s="46">
        <v>2.8736999999999999</v>
      </c>
    </row>
    <row r="577" spans="16:20" x14ac:dyDescent="0.25">
      <c r="P577" s="18">
        <v>576</v>
      </c>
      <c r="Q577" s="50">
        <v>79.039699999999996</v>
      </c>
      <c r="R577" s="50">
        <v>0</v>
      </c>
      <c r="S577" s="50">
        <v>3.7826</v>
      </c>
      <c r="T577" s="46">
        <v>3.7826</v>
      </c>
    </row>
    <row r="578" spans="16:20" x14ac:dyDescent="0.25">
      <c r="P578" s="18">
        <v>577</v>
      </c>
      <c r="Q578" s="50">
        <v>116.92319999999999</v>
      </c>
      <c r="R578" s="50">
        <v>16.923200000000001</v>
      </c>
      <c r="S578" s="50">
        <v>16.381799999999998</v>
      </c>
      <c r="T578" s="46">
        <v>-0.54139999999999999</v>
      </c>
    </row>
    <row r="579" spans="16:20" x14ac:dyDescent="0.25">
      <c r="P579" s="18">
        <v>578</v>
      </c>
      <c r="Q579" s="50">
        <v>87.720399999999998</v>
      </c>
      <c r="R579" s="50">
        <v>0</v>
      </c>
      <c r="S579" s="50">
        <v>1.9374</v>
      </c>
      <c r="T579" s="46">
        <v>1.9374</v>
      </c>
    </row>
    <row r="580" spans="16:20" x14ac:dyDescent="0.25">
      <c r="P580" s="18">
        <v>579</v>
      </c>
      <c r="Q580" s="50">
        <v>73.321600000000004</v>
      </c>
      <c r="R580" s="50">
        <v>0</v>
      </c>
      <c r="S580" s="50">
        <v>2.7309999999999999</v>
      </c>
      <c r="T580" s="46">
        <v>2.7309999999999999</v>
      </c>
    </row>
    <row r="581" spans="16:20" x14ac:dyDescent="0.25">
      <c r="P581" s="18">
        <v>580</v>
      </c>
      <c r="Q581" s="50">
        <v>92.524000000000001</v>
      </c>
      <c r="R581" s="50">
        <v>0</v>
      </c>
      <c r="S581" s="50">
        <v>-2.6602999999999999</v>
      </c>
      <c r="T581" s="46">
        <v>-2.6602999999999999</v>
      </c>
    </row>
    <row r="582" spans="16:20" x14ac:dyDescent="0.25">
      <c r="P582" s="18">
        <v>581</v>
      </c>
      <c r="Q582" s="50">
        <v>97.430700000000002</v>
      </c>
      <c r="R582" s="50">
        <v>0</v>
      </c>
      <c r="S582" s="50">
        <v>5.3552999999999997</v>
      </c>
      <c r="T582" s="46">
        <v>5.3552999999999997</v>
      </c>
    </row>
    <row r="583" spans="16:20" x14ac:dyDescent="0.25">
      <c r="P583" s="18">
        <v>582</v>
      </c>
      <c r="Q583" s="50">
        <v>81.933999999999997</v>
      </c>
      <c r="R583" s="50">
        <v>0</v>
      </c>
      <c r="S583" s="50">
        <v>1.8529</v>
      </c>
      <c r="T583" s="46">
        <v>1.8529</v>
      </c>
    </row>
    <row r="584" spans="16:20" x14ac:dyDescent="0.25">
      <c r="P584" s="18">
        <v>583</v>
      </c>
      <c r="Q584" s="50">
        <v>91.611900000000006</v>
      </c>
      <c r="R584" s="50">
        <v>0</v>
      </c>
      <c r="S584" s="50">
        <v>2.7229000000000001</v>
      </c>
      <c r="T584" s="46">
        <v>2.7229000000000001</v>
      </c>
    </row>
    <row r="585" spans="16:20" x14ac:dyDescent="0.25">
      <c r="P585" s="18">
        <v>584</v>
      </c>
      <c r="Q585" s="50">
        <v>98.803600000000003</v>
      </c>
      <c r="R585" s="50">
        <v>0</v>
      </c>
      <c r="S585" s="50">
        <v>2.9270999999999998</v>
      </c>
      <c r="T585" s="46">
        <v>2.9270999999999998</v>
      </c>
    </row>
    <row r="586" spans="16:20" x14ac:dyDescent="0.25">
      <c r="P586" s="18">
        <v>585</v>
      </c>
      <c r="Q586" s="50">
        <v>110.5228</v>
      </c>
      <c r="R586" s="50">
        <v>10.5228</v>
      </c>
      <c r="S586" s="50">
        <v>7.5819000000000001</v>
      </c>
      <c r="T586" s="46">
        <v>-2.9409000000000001</v>
      </c>
    </row>
    <row r="587" spans="16:20" x14ac:dyDescent="0.25">
      <c r="P587" s="18">
        <v>586</v>
      </c>
      <c r="Q587" s="50">
        <v>118.62390000000001</v>
      </c>
      <c r="R587" s="50">
        <v>18.623899999999999</v>
      </c>
      <c r="S587" s="50">
        <v>15.9754</v>
      </c>
      <c r="T587" s="46">
        <v>-2.6484999999999999</v>
      </c>
    </row>
    <row r="588" spans="16:20" x14ac:dyDescent="0.25">
      <c r="P588" s="18">
        <v>587</v>
      </c>
      <c r="Q588" s="50">
        <v>98.317499999999995</v>
      </c>
      <c r="R588" s="50">
        <v>0</v>
      </c>
      <c r="S588" s="50">
        <v>2.8656000000000001</v>
      </c>
      <c r="T588" s="46">
        <v>2.8656000000000001</v>
      </c>
    </row>
    <row r="589" spans="16:20" x14ac:dyDescent="0.25">
      <c r="P589" s="18">
        <v>588</v>
      </c>
      <c r="Q589" s="50">
        <v>127.53449999999999</v>
      </c>
      <c r="R589" s="50">
        <v>27.534500000000001</v>
      </c>
      <c r="S589" s="50">
        <v>24.864699999999999</v>
      </c>
      <c r="T589" s="46">
        <v>-2.6697000000000002</v>
      </c>
    </row>
    <row r="590" spans="16:20" x14ac:dyDescent="0.25">
      <c r="P590" s="18">
        <v>589</v>
      </c>
      <c r="Q590" s="50">
        <v>85.045400000000001</v>
      </c>
      <c r="R590" s="50">
        <v>0</v>
      </c>
      <c r="S590" s="50">
        <v>-4.6231999999999998</v>
      </c>
      <c r="T590" s="46">
        <v>-4.6231999999999998</v>
      </c>
    </row>
    <row r="591" spans="16:20" x14ac:dyDescent="0.25">
      <c r="P591" s="18">
        <v>590</v>
      </c>
      <c r="Q591" s="50">
        <v>78.228800000000007</v>
      </c>
      <c r="R591" s="50">
        <v>0</v>
      </c>
      <c r="S591" s="50">
        <v>0.39040000000000002</v>
      </c>
      <c r="T591" s="46">
        <v>0.39040000000000002</v>
      </c>
    </row>
    <row r="592" spans="16:20" x14ac:dyDescent="0.25">
      <c r="P592" s="18">
        <v>591</v>
      </c>
      <c r="Q592" s="50">
        <v>75.584299999999999</v>
      </c>
      <c r="R592" s="50">
        <v>0</v>
      </c>
      <c r="S592" s="50">
        <v>0.48220000000000002</v>
      </c>
      <c r="T592" s="46">
        <v>0.48220000000000002</v>
      </c>
    </row>
    <row r="593" spans="16:20" x14ac:dyDescent="0.25">
      <c r="P593" s="18">
        <v>592</v>
      </c>
      <c r="Q593" s="50">
        <v>103.2791</v>
      </c>
      <c r="R593" s="50">
        <v>3.2791000000000001</v>
      </c>
      <c r="S593" s="50">
        <v>2.786</v>
      </c>
      <c r="T593" s="46">
        <v>-0.49309999999999998</v>
      </c>
    </row>
    <row r="594" spans="16:20" x14ac:dyDescent="0.25">
      <c r="P594" s="18">
        <v>593</v>
      </c>
      <c r="Q594" s="50">
        <v>87.120199999999997</v>
      </c>
      <c r="R594" s="50">
        <v>0</v>
      </c>
      <c r="S594" s="50">
        <v>0.35830000000000001</v>
      </c>
      <c r="T594" s="46">
        <v>0.35830000000000001</v>
      </c>
    </row>
    <row r="595" spans="16:20" x14ac:dyDescent="0.25">
      <c r="P595" s="18">
        <v>594</v>
      </c>
      <c r="Q595" s="50">
        <v>120.364</v>
      </c>
      <c r="R595" s="50">
        <v>20.364000000000001</v>
      </c>
      <c r="S595" s="50">
        <v>20.860199999999999</v>
      </c>
      <c r="T595" s="46">
        <v>0.49619999999999997</v>
      </c>
    </row>
    <row r="596" spans="16:20" x14ac:dyDescent="0.25">
      <c r="P596" s="18">
        <v>595</v>
      </c>
      <c r="Q596" s="50">
        <v>119.0444</v>
      </c>
      <c r="R596" s="50">
        <v>19.0444</v>
      </c>
      <c r="S596" s="50">
        <v>19.732500000000002</v>
      </c>
      <c r="T596" s="46">
        <v>0.68810000000000004</v>
      </c>
    </row>
    <row r="597" spans="16:20" x14ac:dyDescent="0.25">
      <c r="P597" s="18">
        <v>596</v>
      </c>
      <c r="Q597" s="50">
        <v>110.4853</v>
      </c>
      <c r="R597" s="50">
        <v>10.485300000000001</v>
      </c>
      <c r="S597" s="50">
        <v>13.276899999999999</v>
      </c>
      <c r="T597" s="46">
        <v>2.7917000000000001</v>
      </c>
    </row>
    <row r="598" spans="16:20" x14ac:dyDescent="0.25">
      <c r="P598" s="18">
        <v>597</v>
      </c>
      <c r="Q598" s="50">
        <v>79.362799999999993</v>
      </c>
      <c r="R598" s="50">
        <v>0</v>
      </c>
      <c r="S598" s="50">
        <v>1.2178</v>
      </c>
      <c r="T598" s="46">
        <v>1.2178</v>
      </c>
    </row>
    <row r="599" spans="16:20" x14ac:dyDescent="0.25">
      <c r="P599" s="18">
        <v>598</v>
      </c>
      <c r="Q599" s="50">
        <v>120.07510000000001</v>
      </c>
      <c r="R599" s="50">
        <v>20.075099999999999</v>
      </c>
      <c r="S599" s="50">
        <v>19.0639</v>
      </c>
      <c r="T599" s="46">
        <v>-1.0112000000000001</v>
      </c>
    </row>
    <row r="600" spans="16:20" x14ac:dyDescent="0.25">
      <c r="P600" s="18">
        <v>599</v>
      </c>
      <c r="Q600" s="50">
        <v>79.142300000000006</v>
      </c>
      <c r="R600" s="50">
        <v>0</v>
      </c>
      <c r="S600" s="50">
        <v>-1.74</v>
      </c>
      <c r="T600" s="46">
        <v>-1.74</v>
      </c>
    </row>
    <row r="601" spans="16:20" x14ac:dyDescent="0.25">
      <c r="P601" s="18">
        <v>600</v>
      </c>
      <c r="Q601" s="50">
        <v>117.0762</v>
      </c>
      <c r="R601" s="50">
        <v>17.0762</v>
      </c>
      <c r="S601" s="50">
        <v>12.2319</v>
      </c>
      <c r="T601" s="46">
        <v>-4.8442999999999996</v>
      </c>
    </row>
    <row r="602" spans="16:20" x14ac:dyDescent="0.25">
      <c r="P602" s="18">
        <v>601</v>
      </c>
      <c r="Q602" s="50">
        <v>122.4935</v>
      </c>
      <c r="R602" s="50">
        <v>22.493500000000001</v>
      </c>
      <c r="S602" s="50">
        <v>22.275700000000001</v>
      </c>
      <c r="T602" s="46">
        <v>-0.21779999999999999</v>
      </c>
    </row>
    <row r="603" spans="16:20" x14ac:dyDescent="0.25">
      <c r="P603" s="18">
        <v>602</v>
      </c>
      <c r="Q603" s="50">
        <v>142.91030000000001</v>
      </c>
      <c r="R603" s="50">
        <v>42.910299999999999</v>
      </c>
      <c r="S603" s="50">
        <v>42.734699999999997</v>
      </c>
      <c r="T603" s="46">
        <v>-0.1757</v>
      </c>
    </row>
    <row r="604" spans="16:20" x14ac:dyDescent="0.25">
      <c r="P604" s="18">
        <v>603</v>
      </c>
      <c r="Q604" s="50">
        <v>102.0822</v>
      </c>
      <c r="R604" s="50">
        <v>2.0821999999999998</v>
      </c>
      <c r="S604" s="50">
        <v>6.6341000000000001</v>
      </c>
      <c r="T604" s="46">
        <v>4.5519999999999996</v>
      </c>
    </row>
    <row r="605" spans="16:20" x14ac:dyDescent="0.25">
      <c r="P605" s="18">
        <v>604</v>
      </c>
      <c r="Q605" s="50">
        <v>128.1259</v>
      </c>
      <c r="R605" s="50">
        <v>28.125900000000001</v>
      </c>
      <c r="S605" s="50">
        <v>29.036899999999999</v>
      </c>
      <c r="T605" s="46">
        <v>0.91100000000000003</v>
      </c>
    </row>
    <row r="606" spans="16:20" x14ac:dyDescent="0.25">
      <c r="P606" s="18">
        <v>605</v>
      </c>
      <c r="Q606" s="50">
        <v>125.52330000000001</v>
      </c>
      <c r="R606" s="50">
        <v>25.523299999999999</v>
      </c>
      <c r="S606" s="50">
        <v>26.4053</v>
      </c>
      <c r="T606" s="46">
        <v>0.88200000000000001</v>
      </c>
    </row>
    <row r="607" spans="16:20" x14ac:dyDescent="0.25">
      <c r="P607" s="18">
        <v>606</v>
      </c>
      <c r="Q607" s="50">
        <v>114.29900000000001</v>
      </c>
      <c r="R607" s="50">
        <v>14.298999999999999</v>
      </c>
      <c r="S607" s="50">
        <v>16.6982</v>
      </c>
      <c r="T607" s="46">
        <v>2.3992</v>
      </c>
    </row>
    <row r="608" spans="16:20" x14ac:dyDescent="0.25">
      <c r="P608" s="18">
        <v>607</v>
      </c>
      <c r="Q608" s="50">
        <v>80.891000000000005</v>
      </c>
      <c r="R608" s="50">
        <v>0</v>
      </c>
      <c r="S608" s="50">
        <v>0.1124</v>
      </c>
      <c r="T608" s="46">
        <v>0.1124</v>
      </c>
    </row>
    <row r="609" spans="16:20" x14ac:dyDescent="0.25">
      <c r="P609" s="18">
        <v>608</v>
      </c>
      <c r="Q609" s="50">
        <v>71.869500000000002</v>
      </c>
      <c r="R609" s="50">
        <v>0</v>
      </c>
      <c r="S609" s="50">
        <v>-1.619</v>
      </c>
      <c r="T609" s="46">
        <v>-1.619</v>
      </c>
    </row>
    <row r="610" spans="16:20" x14ac:dyDescent="0.25">
      <c r="P610" s="18">
        <v>609</v>
      </c>
      <c r="Q610" s="50">
        <v>99.582499999999996</v>
      </c>
      <c r="R610" s="50">
        <v>0</v>
      </c>
      <c r="S610" s="50">
        <v>1.337</v>
      </c>
      <c r="T610" s="46">
        <v>1.337</v>
      </c>
    </row>
    <row r="611" spans="16:20" x14ac:dyDescent="0.25">
      <c r="P611" s="18">
        <v>610</v>
      </c>
      <c r="Q611" s="50">
        <v>100.0843</v>
      </c>
      <c r="R611" s="50">
        <v>8.43E-2</v>
      </c>
      <c r="S611" s="50">
        <v>2.9392999999999998</v>
      </c>
      <c r="T611" s="46">
        <v>2.855</v>
      </c>
    </row>
    <row r="612" spans="16:20" x14ac:dyDescent="0.25">
      <c r="P612" s="18">
        <v>611</v>
      </c>
      <c r="Q612" s="50">
        <v>94.786000000000001</v>
      </c>
      <c r="R612" s="50">
        <v>0</v>
      </c>
      <c r="S612" s="50">
        <v>-0.51580000000000004</v>
      </c>
      <c r="T612" s="46">
        <v>-0.51580000000000004</v>
      </c>
    </row>
    <row r="613" spans="16:20" x14ac:dyDescent="0.25">
      <c r="P613" s="18">
        <v>612</v>
      </c>
      <c r="Q613" s="50">
        <v>79.140100000000004</v>
      </c>
      <c r="R613" s="50">
        <v>0</v>
      </c>
      <c r="S613" s="50">
        <v>0.57840000000000003</v>
      </c>
      <c r="T613" s="46">
        <v>0.57840000000000003</v>
      </c>
    </row>
    <row r="614" spans="16:20" x14ac:dyDescent="0.25">
      <c r="P614" s="18">
        <v>613</v>
      </c>
      <c r="Q614" s="50">
        <v>75.344399999999993</v>
      </c>
      <c r="R614" s="50">
        <v>0</v>
      </c>
      <c r="S614" s="50">
        <v>0.96360000000000001</v>
      </c>
      <c r="T614" s="46">
        <v>0.96360000000000001</v>
      </c>
    </row>
    <row r="615" spans="16:20" x14ac:dyDescent="0.25">
      <c r="P615" s="18">
        <v>614</v>
      </c>
      <c r="Q615" s="50">
        <v>117.5245</v>
      </c>
      <c r="R615" s="50">
        <v>17.5245</v>
      </c>
      <c r="S615" s="50">
        <v>20.483899999999998</v>
      </c>
      <c r="T615" s="46">
        <v>2.9594</v>
      </c>
    </row>
    <row r="616" spans="16:20" x14ac:dyDescent="0.25">
      <c r="P616" s="18">
        <v>615</v>
      </c>
      <c r="Q616" s="50">
        <v>84.951499999999996</v>
      </c>
      <c r="R616" s="50">
        <v>0</v>
      </c>
      <c r="S616" s="50">
        <v>1.7857000000000001</v>
      </c>
      <c r="T616" s="46">
        <v>1.7857000000000001</v>
      </c>
    </row>
    <row r="617" spans="16:20" x14ac:dyDescent="0.25">
      <c r="P617" s="18">
        <v>616</v>
      </c>
      <c r="Q617" s="50">
        <v>88.371700000000004</v>
      </c>
      <c r="R617" s="50">
        <v>0</v>
      </c>
      <c r="S617" s="50">
        <v>-0.45729999999999998</v>
      </c>
      <c r="T617" s="46">
        <v>-0.45729999999999998</v>
      </c>
    </row>
    <row r="618" spans="16:20" x14ac:dyDescent="0.25">
      <c r="P618" s="18">
        <v>617</v>
      </c>
      <c r="Q618" s="50">
        <v>50.033299999999997</v>
      </c>
      <c r="R618" s="50">
        <v>0</v>
      </c>
      <c r="S618" s="50">
        <v>-1.3777999999999999</v>
      </c>
      <c r="T618" s="46">
        <v>-1.3777999999999999</v>
      </c>
    </row>
    <row r="619" spans="16:20" x14ac:dyDescent="0.25">
      <c r="P619" s="18">
        <v>618</v>
      </c>
      <c r="Q619" s="50">
        <v>180.58750000000001</v>
      </c>
      <c r="R619" s="50">
        <v>80.587500000000006</v>
      </c>
      <c r="S619" s="50">
        <v>79.936000000000007</v>
      </c>
      <c r="T619" s="46">
        <v>-0.65149999999999997</v>
      </c>
    </row>
    <row r="620" spans="16:20" x14ac:dyDescent="0.25">
      <c r="P620" s="18">
        <v>619</v>
      </c>
      <c r="Q620" s="50">
        <v>97.345600000000005</v>
      </c>
      <c r="R620" s="50">
        <v>0</v>
      </c>
      <c r="S620" s="50">
        <v>1.8815999999999999</v>
      </c>
      <c r="T620" s="46">
        <v>1.8815999999999999</v>
      </c>
    </row>
    <row r="621" spans="16:20" x14ac:dyDescent="0.25">
      <c r="P621" s="18">
        <v>620</v>
      </c>
      <c r="Q621" s="50">
        <v>135.04089999999999</v>
      </c>
      <c r="R621" s="50">
        <v>35.040900000000001</v>
      </c>
      <c r="S621" s="50">
        <v>34.280999999999999</v>
      </c>
      <c r="T621" s="46">
        <v>-0.75990000000000002</v>
      </c>
    </row>
    <row r="622" spans="16:20" x14ac:dyDescent="0.25">
      <c r="P622" s="18">
        <v>621</v>
      </c>
      <c r="Q622" s="50">
        <v>115.6392</v>
      </c>
      <c r="R622" s="50">
        <v>15.639200000000001</v>
      </c>
      <c r="S622" s="50">
        <v>8.5444999999999993</v>
      </c>
      <c r="T622" s="46">
        <v>-7.0945999999999998</v>
      </c>
    </row>
    <row r="623" spans="16:20" x14ac:dyDescent="0.25">
      <c r="P623" s="18">
        <v>622</v>
      </c>
      <c r="Q623" s="50">
        <v>70.229200000000006</v>
      </c>
      <c r="R623" s="50">
        <v>0</v>
      </c>
      <c r="S623" s="50">
        <v>-1.4216</v>
      </c>
      <c r="T623" s="46">
        <v>-1.4216</v>
      </c>
    </row>
    <row r="624" spans="16:20" x14ac:dyDescent="0.25">
      <c r="P624" s="18">
        <v>623</v>
      </c>
      <c r="Q624" s="50">
        <v>123.5125</v>
      </c>
      <c r="R624" s="50">
        <v>23.512499999999999</v>
      </c>
      <c r="S624" s="50">
        <v>24.155799999999999</v>
      </c>
      <c r="T624" s="46">
        <v>0.64329999999999998</v>
      </c>
    </row>
    <row r="625" spans="16:20" x14ac:dyDescent="0.25">
      <c r="P625" s="18">
        <v>624</v>
      </c>
      <c r="Q625" s="50">
        <v>125.2261</v>
      </c>
      <c r="R625" s="50">
        <v>25.226099999999999</v>
      </c>
      <c r="S625" s="50">
        <v>27.1952</v>
      </c>
      <c r="T625" s="46">
        <v>1.9690000000000001</v>
      </c>
    </row>
    <row r="626" spans="16:20" x14ac:dyDescent="0.25">
      <c r="P626" s="18">
        <v>625</v>
      </c>
      <c r="Q626" s="50">
        <v>81.516800000000003</v>
      </c>
      <c r="R626" s="50">
        <v>0</v>
      </c>
      <c r="S626" s="50">
        <v>-2.4323000000000001</v>
      </c>
      <c r="T626" s="46">
        <v>-2.4323000000000001</v>
      </c>
    </row>
    <row r="627" spans="16:20" x14ac:dyDescent="0.25">
      <c r="P627" s="18">
        <v>626</v>
      </c>
      <c r="Q627" s="50">
        <v>81.927000000000007</v>
      </c>
      <c r="R627" s="50">
        <v>0</v>
      </c>
      <c r="S627" s="50">
        <v>4.1195000000000004</v>
      </c>
      <c r="T627" s="46">
        <v>4.1195000000000004</v>
      </c>
    </row>
    <row r="628" spans="16:20" x14ac:dyDescent="0.25">
      <c r="P628" s="18">
        <v>627</v>
      </c>
      <c r="Q628" s="50">
        <v>142.6686</v>
      </c>
      <c r="R628" s="50">
        <v>42.668599999999998</v>
      </c>
      <c r="S628" s="50">
        <v>37.126399999999997</v>
      </c>
      <c r="T628" s="46">
        <v>-5.5422000000000002</v>
      </c>
    </row>
    <row r="629" spans="16:20" x14ac:dyDescent="0.25">
      <c r="P629" s="18">
        <v>628</v>
      </c>
      <c r="Q629" s="50">
        <v>144.10290000000001</v>
      </c>
      <c r="R629" s="50">
        <v>44.102899999999998</v>
      </c>
      <c r="S629" s="50">
        <v>42.862099999999998</v>
      </c>
      <c r="T629" s="46">
        <v>-1.2407999999999999</v>
      </c>
    </row>
    <row r="630" spans="16:20" x14ac:dyDescent="0.25">
      <c r="P630" s="18">
        <v>629</v>
      </c>
      <c r="Q630" s="50">
        <v>103.8651</v>
      </c>
      <c r="R630" s="50">
        <v>3.8651</v>
      </c>
      <c r="S630" s="50">
        <v>5.7957999999999998</v>
      </c>
      <c r="T630" s="46">
        <v>1.9307000000000001</v>
      </c>
    </row>
    <row r="631" spans="16:20" x14ac:dyDescent="0.25">
      <c r="P631" s="18">
        <v>630</v>
      </c>
      <c r="Q631" s="50">
        <v>82.376099999999994</v>
      </c>
      <c r="R631" s="50">
        <v>0</v>
      </c>
      <c r="S631" s="50">
        <v>0.53820000000000001</v>
      </c>
      <c r="T631" s="46">
        <v>0.53820000000000001</v>
      </c>
    </row>
    <row r="632" spans="16:20" x14ac:dyDescent="0.25">
      <c r="P632" s="18">
        <v>631</v>
      </c>
      <c r="Q632" s="50">
        <v>95.211500000000001</v>
      </c>
      <c r="R632" s="50">
        <v>0</v>
      </c>
      <c r="S632" s="50">
        <v>1.7704</v>
      </c>
      <c r="T632" s="46">
        <v>1.7704</v>
      </c>
    </row>
    <row r="633" spans="16:20" x14ac:dyDescent="0.25">
      <c r="P633" s="18">
        <v>632</v>
      </c>
      <c r="Q633" s="50">
        <v>103.7632</v>
      </c>
      <c r="R633" s="50">
        <v>3.7631999999999999</v>
      </c>
      <c r="S633" s="50">
        <v>6.5141999999999998</v>
      </c>
      <c r="T633" s="46">
        <v>2.7509999999999999</v>
      </c>
    </row>
    <row r="634" spans="16:20" x14ac:dyDescent="0.25">
      <c r="P634" s="18">
        <v>633</v>
      </c>
      <c r="Q634" s="50">
        <v>124.02070000000001</v>
      </c>
      <c r="R634" s="50">
        <v>24.020700000000001</v>
      </c>
      <c r="S634" s="50">
        <v>24.825299999999999</v>
      </c>
      <c r="T634" s="46">
        <v>0.80459999999999998</v>
      </c>
    </row>
    <row r="635" spans="16:20" x14ac:dyDescent="0.25">
      <c r="P635" s="18">
        <v>634</v>
      </c>
      <c r="Q635" s="50">
        <v>83.809899999999999</v>
      </c>
      <c r="R635" s="50">
        <v>0</v>
      </c>
      <c r="S635" s="50">
        <v>1.5829</v>
      </c>
      <c r="T635" s="46">
        <v>1.5829</v>
      </c>
    </row>
    <row r="636" spans="16:20" x14ac:dyDescent="0.25">
      <c r="P636" s="18">
        <v>635</v>
      </c>
      <c r="Q636" s="50">
        <v>92.068299999999994</v>
      </c>
      <c r="R636" s="50">
        <v>0</v>
      </c>
      <c r="S636" s="50">
        <v>-0.21249999999999999</v>
      </c>
      <c r="T636" s="46">
        <v>-0.21249999999999999</v>
      </c>
    </row>
    <row r="637" spans="16:20" x14ac:dyDescent="0.25">
      <c r="P637" s="18">
        <v>636</v>
      </c>
      <c r="Q637" s="50">
        <v>71.788200000000003</v>
      </c>
      <c r="R637" s="50">
        <v>0</v>
      </c>
      <c r="S637" s="50">
        <v>-0.72719999999999996</v>
      </c>
      <c r="T637" s="46">
        <v>-0.72719999999999996</v>
      </c>
    </row>
    <row r="638" spans="16:20" x14ac:dyDescent="0.25">
      <c r="P638" s="18">
        <v>637</v>
      </c>
      <c r="Q638" s="50">
        <v>94.720799999999997</v>
      </c>
      <c r="R638" s="50">
        <v>0</v>
      </c>
      <c r="S638" s="50">
        <v>3.0497000000000001</v>
      </c>
      <c r="T638" s="46">
        <v>3.0497000000000001</v>
      </c>
    </row>
    <row r="639" spans="16:20" x14ac:dyDescent="0.25">
      <c r="P639" s="18">
        <v>638</v>
      </c>
      <c r="Q639" s="50">
        <v>114.7403</v>
      </c>
      <c r="R639" s="50">
        <v>14.7403</v>
      </c>
      <c r="S639" s="50">
        <v>10.716799999999999</v>
      </c>
      <c r="T639" s="46">
        <v>-4.0235000000000003</v>
      </c>
    </row>
    <row r="640" spans="16:20" x14ac:dyDescent="0.25">
      <c r="P640" s="18">
        <v>639</v>
      </c>
      <c r="Q640" s="50">
        <v>96.378699999999995</v>
      </c>
      <c r="R640" s="50">
        <v>0</v>
      </c>
      <c r="S640" s="50">
        <v>2.2557999999999998</v>
      </c>
      <c r="T640" s="46">
        <v>2.2557999999999998</v>
      </c>
    </row>
    <row r="641" spans="16:20" x14ac:dyDescent="0.25">
      <c r="P641" s="18">
        <v>640</v>
      </c>
      <c r="Q641" s="50">
        <v>62.339100000000002</v>
      </c>
      <c r="R641" s="50">
        <v>0</v>
      </c>
      <c r="S641" s="50">
        <v>-0.75880000000000003</v>
      </c>
      <c r="T641" s="46">
        <v>-0.75880000000000003</v>
      </c>
    </row>
    <row r="642" spans="16:20" x14ac:dyDescent="0.25">
      <c r="P642" s="18">
        <v>641</v>
      </c>
      <c r="Q642" s="50">
        <v>71.122399999999999</v>
      </c>
      <c r="R642" s="50">
        <v>0</v>
      </c>
      <c r="S642" s="50">
        <v>-2.0185</v>
      </c>
      <c r="T642" s="46">
        <v>-2.0185</v>
      </c>
    </row>
    <row r="643" spans="16:20" x14ac:dyDescent="0.25">
      <c r="P643" s="18">
        <v>642</v>
      </c>
      <c r="Q643" s="50">
        <v>76.830699999999993</v>
      </c>
      <c r="R643" s="50">
        <v>0</v>
      </c>
      <c r="S643" s="50">
        <v>0.27100000000000002</v>
      </c>
      <c r="T643" s="46">
        <v>0.27100000000000002</v>
      </c>
    </row>
    <row r="644" spans="16:20" x14ac:dyDescent="0.25">
      <c r="P644" s="18">
        <v>643</v>
      </c>
      <c r="Q644" s="50">
        <v>92.278199999999998</v>
      </c>
      <c r="R644" s="50">
        <v>0</v>
      </c>
      <c r="S644" s="50">
        <v>-1.4648000000000001</v>
      </c>
      <c r="T644" s="46">
        <v>-1.4648000000000001</v>
      </c>
    </row>
    <row r="645" spans="16:20" x14ac:dyDescent="0.25">
      <c r="P645" s="18">
        <v>644</v>
      </c>
      <c r="Q645" s="50">
        <v>78.293899999999994</v>
      </c>
      <c r="R645" s="50">
        <v>0</v>
      </c>
      <c r="S645" s="50">
        <v>-0.34970000000000001</v>
      </c>
      <c r="T645" s="46">
        <v>-0.34970000000000001</v>
      </c>
    </row>
    <row r="646" spans="16:20" x14ac:dyDescent="0.25">
      <c r="P646" s="18">
        <v>645</v>
      </c>
      <c r="Q646" s="50">
        <v>95.432900000000004</v>
      </c>
      <c r="R646" s="50">
        <v>0</v>
      </c>
      <c r="S646" s="50">
        <v>-0.30530000000000002</v>
      </c>
      <c r="T646" s="46">
        <v>-0.30530000000000002</v>
      </c>
    </row>
    <row r="647" spans="16:20" x14ac:dyDescent="0.25">
      <c r="P647" s="18">
        <v>646</v>
      </c>
      <c r="Q647" s="50">
        <v>76.5809</v>
      </c>
      <c r="R647" s="50">
        <v>0</v>
      </c>
      <c r="S647" s="50">
        <v>-0.65620000000000001</v>
      </c>
      <c r="T647" s="46">
        <v>-0.65620000000000001</v>
      </c>
    </row>
    <row r="648" spans="16:20" x14ac:dyDescent="0.25">
      <c r="P648" s="18">
        <v>647</v>
      </c>
      <c r="Q648" s="50">
        <v>93.646299999999997</v>
      </c>
      <c r="R648" s="50">
        <v>0</v>
      </c>
      <c r="S648" s="50">
        <v>4.1210000000000004</v>
      </c>
      <c r="T648" s="46">
        <v>4.1210000000000004</v>
      </c>
    </row>
    <row r="649" spans="16:20" x14ac:dyDescent="0.25">
      <c r="P649" s="18">
        <v>648</v>
      </c>
      <c r="Q649" s="50">
        <v>140.18170000000001</v>
      </c>
      <c r="R649" s="50">
        <v>40.181699999999999</v>
      </c>
      <c r="S649" s="50">
        <v>39.572499999999998</v>
      </c>
      <c r="T649" s="46">
        <v>-0.60929999999999995</v>
      </c>
    </row>
    <row r="650" spans="16:20" x14ac:dyDescent="0.25">
      <c r="P650" s="18">
        <v>649</v>
      </c>
      <c r="Q650" s="50">
        <v>122.0303</v>
      </c>
      <c r="R650" s="50">
        <v>22.0303</v>
      </c>
      <c r="S650" s="50">
        <v>23.028600000000001</v>
      </c>
      <c r="T650" s="46">
        <v>0.99819999999999998</v>
      </c>
    </row>
    <row r="651" spans="16:20" x14ac:dyDescent="0.25">
      <c r="P651" s="18">
        <v>650</v>
      </c>
      <c r="Q651" s="50">
        <v>78.364599999999996</v>
      </c>
      <c r="R651" s="50">
        <v>0</v>
      </c>
      <c r="S651" s="50">
        <v>3.9152</v>
      </c>
      <c r="T651" s="46">
        <v>3.9152</v>
      </c>
    </row>
    <row r="652" spans="16:20" x14ac:dyDescent="0.25">
      <c r="P652" s="18">
        <v>651</v>
      </c>
      <c r="Q652" s="50">
        <v>80.3703</v>
      </c>
      <c r="R652" s="50">
        <v>0</v>
      </c>
      <c r="S652" s="50">
        <v>1.6597999999999999</v>
      </c>
      <c r="T652" s="46">
        <v>1.6597999999999999</v>
      </c>
    </row>
    <row r="653" spans="16:20" x14ac:dyDescent="0.25">
      <c r="P653" s="18">
        <v>652</v>
      </c>
      <c r="Q653" s="50">
        <v>50.823700000000002</v>
      </c>
      <c r="R653" s="50">
        <v>0</v>
      </c>
      <c r="S653" s="50">
        <v>0.3715</v>
      </c>
      <c r="T653" s="46">
        <v>0.3715</v>
      </c>
    </row>
    <row r="654" spans="16:20" x14ac:dyDescent="0.25">
      <c r="P654" s="18">
        <v>653</v>
      </c>
      <c r="Q654" s="50">
        <v>119.71510000000001</v>
      </c>
      <c r="R654" s="50">
        <v>19.7151</v>
      </c>
      <c r="S654" s="50">
        <v>20.5854</v>
      </c>
      <c r="T654" s="46">
        <v>0.87019999999999997</v>
      </c>
    </row>
    <row r="655" spans="16:20" x14ac:dyDescent="0.25">
      <c r="P655" s="18">
        <v>654</v>
      </c>
      <c r="Q655" s="50">
        <v>61.861199999999997</v>
      </c>
      <c r="R655" s="50">
        <v>0</v>
      </c>
      <c r="S655" s="50">
        <v>0.1004</v>
      </c>
      <c r="T655" s="46">
        <v>0.1004</v>
      </c>
    </row>
    <row r="656" spans="16:20" x14ac:dyDescent="0.25">
      <c r="P656" s="18">
        <v>655</v>
      </c>
      <c r="Q656" s="50">
        <v>115.8369</v>
      </c>
      <c r="R656" s="50">
        <v>15.837</v>
      </c>
      <c r="S656" s="50">
        <v>16.2302</v>
      </c>
      <c r="T656" s="46">
        <v>0.39319999999999999</v>
      </c>
    </row>
    <row r="657" spans="16:20" x14ac:dyDescent="0.25">
      <c r="P657" s="18">
        <v>656</v>
      </c>
      <c r="Q657" s="50">
        <v>70.441599999999994</v>
      </c>
      <c r="R657" s="50">
        <v>0</v>
      </c>
      <c r="S657" s="50">
        <v>0.80730000000000002</v>
      </c>
      <c r="T657" s="46">
        <v>0.80730000000000002</v>
      </c>
    </row>
    <row r="658" spans="16:20" x14ac:dyDescent="0.25">
      <c r="P658" s="18">
        <v>657</v>
      </c>
      <c r="Q658" s="50">
        <v>98.834800000000001</v>
      </c>
      <c r="R658" s="50">
        <v>0</v>
      </c>
      <c r="S658" s="50">
        <v>3.3973</v>
      </c>
      <c r="T658" s="46">
        <v>3.3973</v>
      </c>
    </row>
    <row r="659" spans="16:20" x14ac:dyDescent="0.25">
      <c r="P659" s="18">
        <v>658</v>
      </c>
      <c r="Q659" s="50">
        <v>101.2794</v>
      </c>
      <c r="R659" s="50">
        <v>1.2794000000000001</v>
      </c>
      <c r="S659" s="50">
        <v>7.1228999999999996</v>
      </c>
      <c r="T659" s="46">
        <v>5.8433999999999999</v>
      </c>
    </row>
    <row r="660" spans="16:20" x14ac:dyDescent="0.25">
      <c r="P660" s="18">
        <v>659</v>
      </c>
      <c r="Q660" s="50">
        <v>78.740600000000001</v>
      </c>
      <c r="R660" s="50">
        <v>0</v>
      </c>
      <c r="S660" s="50">
        <v>-5.7759</v>
      </c>
      <c r="T660" s="46">
        <v>-5.7759</v>
      </c>
    </row>
    <row r="661" spans="16:20" x14ac:dyDescent="0.25">
      <c r="P661" s="18">
        <v>660</v>
      </c>
      <c r="Q661" s="50">
        <v>58.726999999999997</v>
      </c>
      <c r="R661" s="50">
        <v>0</v>
      </c>
      <c r="S661" s="50">
        <v>-0.33789999999999998</v>
      </c>
      <c r="T661" s="46">
        <v>-0.33789999999999998</v>
      </c>
    </row>
    <row r="662" spans="16:20" x14ac:dyDescent="0.25">
      <c r="P662" s="18">
        <v>661</v>
      </c>
      <c r="Q662" s="50">
        <v>104.7804</v>
      </c>
      <c r="R662" s="50">
        <v>4.7805</v>
      </c>
      <c r="S662" s="50">
        <v>7.4237000000000002</v>
      </c>
      <c r="T662" s="46">
        <v>2.6432000000000002</v>
      </c>
    </row>
    <row r="663" spans="16:20" x14ac:dyDescent="0.25">
      <c r="P663" s="18">
        <v>662</v>
      </c>
      <c r="Q663" s="50">
        <v>88.7821</v>
      </c>
      <c r="R663" s="50">
        <v>0</v>
      </c>
      <c r="S663" s="50">
        <v>2.6602999999999999</v>
      </c>
      <c r="T663" s="46">
        <v>2.6602999999999999</v>
      </c>
    </row>
    <row r="664" spans="16:20" x14ac:dyDescent="0.25">
      <c r="P664" s="18">
        <v>663</v>
      </c>
      <c r="Q664" s="50">
        <v>92.102999999999994</v>
      </c>
      <c r="R664" s="50">
        <v>0</v>
      </c>
      <c r="S664" s="50">
        <v>2.7282999999999999</v>
      </c>
      <c r="T664" s="46">
        <v>2.7282999999999999</v>
      </c>
    </row>
    <row r="665" spans="16:20" x14ac:dyDescent="0.25">
      <c r="P665" s="18">
        <v>664</v>
      </c>
      <c r="Q665" s="50">
        <v>79.633799999999994</v>
      </c>
      <c r="R665" s="50">
        <v>0</v>
      </c>
      <c r="S665" s="50">
        <v>2.9552999999999998</v>
      </c>
      <c r="T665" s="46">
        <v>2.9552999999999998</v>
      </c>
    </row>
    <row r="666" spans="16:20" x14ac:dyDescent="0.25">
      <c r="P666" s="18">
        <v>665</v>
      </c>
      <c r="Q666" s="50">
        <v>100.4639</v>
      </c>
      <c r="R666" s="50">
        <v>0.46389999999999998</v>
      </c>
      <c r="S666" s="50">
        <v>6.1660000000000004</v>
      </c>
      <c r="T666" s="46">
        <v>5.7020999999999997</v>
      </c>
    </row>
    <row r="667" spans="16:20" x14ac:dyDescent="0.25">
      <c r="P667" s="18">
        <v>666</v>
      </c>
      <c r="Q667" s="50">
        <v>99.824100000000001</v>
      </c>
      <c r="R667" s="50">
        <v>0</v>
      </c>
      <c r="S667" s="50">
        <v>3.5771000000000002</v>
      </c>
      <c r="T667" s="46">
        <v>3.5771000000000002</v>
      </c>
    </row>
    <row r="668" spans="16:20" x14ac:dyDescent="0.25">
      <c r="P668" s="18">
        <v>667</v>
      </c>
      <c r="Q668" s="50">
        <v>87.09</v>
      </c>
      <c r="R668" s="50">
        <v>0</v>
      </c>
      <c r="S668" s="50">
        <v>0.59530000000000005</v>
      </c>
      <c r="T668" s="46">
        <v>0.59530000000000005</v>
      </c>
    </row>
    <row r="669" spans="16:20" x14ac:dyDescent="0.25">
      <c r="P669" s="18">
        <v>668</v>
      </c>
      <c r="Q669" s="50">
        <v>85.426599999999993</v>
      </c>
      <c r="R669" s="50">
        <v>0</v>
      </c>
      <c r="S669" s="50">
        <v>-2.4474999999999998</v>
      </c>
      <c r="T669" s="46">
        <v>-2.4474999999999998</v>
      </c>
    </row>
    <row r="670" spans="16:20" x14ac:dyDescent="0.25">
      <c r="P670" s="18">
        <v>669</v>
      </c>
      <c r="Q670" s="50">
        <v>137.2217</v>
      </c>
      <c r="R670" s="50">
        <v>37.221699999999998</v>
      </c>
      <c r="S670" s="50">
        <v>37.391500000000001</v>
      </c>
      <c r="T670" s="46">
        <v>0.16980000000000001</v>
      </c>
    </row>
    <row r="671" spans="16:20" x14ac:dyDescent="0.25">
      <c r="P671" s="18">
        <v>670</v>
      </c>
      <c r="Q671" s="50">
        <v>79.508499999999998</v>
      </c>
      <c r="R671" s="50">
        <v>0</v>
      </c>
      <c r="S671" s="50">
        <v>-0.66290000000000004</v>
      </c>
      <c r="T671" s="46">
        <v>-0.66290000000000004</v>
      </c>
    </row>
    <row r="672" spans="16:20" x14ac:dyDescent="0.25">
      <c r="P672" s="18">
        <v>671</v>
      </c>
      <c r="Q672" s="50">
        <v>108.5885</v>
      </c>
      <c r="R672" s="50">
        <v>8.5884999999999998</v>
      </c>
      <c r="S672" s="50">
        <v>7.0034999999999998</v>
      </c>
      <c r="T672" s="46">
        <v>-1.585</v>
      </c>
    </row>
    <row r="673" spans="16:20" x14ac:dyDescent="0.25">
      <c r="P673" s="18">
        <v>672</v>
      </c>
      <c r="Q673" s="50">
        <v>171.09829999999999</v>
      </c>
      <c r="R673" s="50">
        <v>71.098299999999995</v>
      </c>
      <c r="S673" s="50">
        <v>71.509600000000006</v>
      </c>
      <c r="T673" s="46">
        <v>0.4113</v>
      </c>
    </row>
    <row r="674" spans="16:20" x14ac:dyDescent="0.25">
      <c r="P674" s="18">
        <v>673</v>
      </c>
      <c r="Q674" s="50">
        <v>86.462900000000005</v>
      </c>
      <c r="R674" s="50">
        <v>0</v>
      </c>
      <c r="S674" s="50">
        <v>-0.65490000000000004</v>
      </c>
      <c r="T674" s="46">
        <v>-0.65490000000000004</v>
      </c>
    </row>
    <row r="675" spans="16:20" x14ac:dyDescent="0.25">
      <c r="P675" s="18">
        <v>674</v>
      </c>
      <c r="Q675" s="50">
        <v>54.805700000000002</v>
      </c>
      <c r="R675" s="50">
        <v>0</v>
      </c>
      <c r="S675" s="50">
        <v>0.42870000000000003</v>
      </c>
      <c r="T675" s="46">
        <v>0.42870000000000003</v>
      </c>
    </row>
    <row r="676" spans="16:20" x14ac:dyDescent="0.25">
      <c r="P676" s="18">
        <v>675</v>
      </c>
      <c r="Q676" s="50">
        <v>117.1671</v>
      </c>
      <c r="R676" s="50">
        <v>17.167100000000001</v>
      </c>
      <c r="S676" s="50">
        <v>14.7737</v>
      </c>
      <c r="T676" s="46">
        <v>-2.3934000000000002</v>
      </c>
    </row>
    <row r="677" spans="16:20" x14ac:dyDescent="0.25">
      <c r="P677" s="18">
        <v>676</v>
      </c>
      <c r="Q677" s="50">
        <v>102.5354</v>
      </c>
      <c r="R677" s="50">
        <v>2.5354000000000001</v>
      </c>
      <c r="S677" s="50">
        <v>2.3755999999999999</v>
      </c>
      <c r="T677" s="46">
        <v>-0.1598</v>
      </c>
    </row>
    <row r="678" spans="16:20" x14ac:dyDescent="0.25">
      <c r="P678" s="18">
        <v>677</v>
      </c>
      <c r="Q678" s="50">
        <v>80.681600000000003</v>
      </c>
      <c r="R678" s="50">
        <v>0</v>
      </c>
      <c r="S678" s="50">
        <v>2.3753000000000002</v>
      </c>
      <c r="T678" s="46">
        <v>2.3753000000000002</v>
      </c>
    </row>
    <row r="679" spans="16:20" x14ac:dyDescent="0.25">
      <c r="P679" s="18">
        <v>678</v>
      </c>
      <c r="Q679" s="50">
        <v>75.211799999999997</v>
      </c>
      <c r="R679" s="50">
        <v>0</v>
      </c>
      <c r="S679" s="50">
        <v>-0.87770000000000004</v>
      </c>
      <c r="T679" s="46">
        <v>-0.87770000000000004</v>
      </c>
    </row>
    <row r="680" spans="16:20" x14ac:dyDescent="0.25">
      <c r="P680" s="18">
        <v>679</v>
      </c>
      <c r="Q680" s="50">
        <v>82.186199999999999</v>
      </c>
      <c r="R680" s="50">
        <v>0</v>
      </c>
      <c r="S680" s="50">
        <v>0.2114</v>
      </c>
      <c r="T680" s="46">
        <v>0.2114</v>
      </c>
    </row>
    <row r="681" spans="16:20" x14ac:dyDescent="0.25">
      <c r="P681" s="18">
        <v>680</v>
      </c>
      <c r="Q681" s="50">
        <v>151.8098</v>
      </c>
      <c r="R681" s="50">
        <v>51.809800000000003</v>
      </c>
      <c r="S681" s="50">
        <v>51.297800000000002</v>
      </c>
      <c r="T681" s="46">
        <v>-0.51200000000000001</v>
      </c>
    </row>
    <row r="682" spans="16:20" x14ac:dyDescent="0.25">
      <c r="P682" s="18">
        <v>681</v>
      </c>
      <c r="Q682" s="50">
        <v>86.729600000000005</v>
      </c>
      <c r="R682" s="50">
        <v>0</v>
      </c>
      <c r="S682" s="50">
        <v>-2.3111999999999999</v>
      </c>
      <c r="T682" s="46">
        <v>-2.3111999999999999</v>
      </c>
    </row>
    <row r="683" spans="16:20" x14ac:dyDescent="0.25">
      <c r="P683" s="18">
        <v>682</v>
      </c>
      <c r="Q683" s="50">
        <v>73.231200000000001</v>
      </c>
      <c r="R683" s="50">
        <v>0</v>
      </c>
      <c r="S683" s="50">
        <v>1.4671000000000001</v>
      </c>
      <c r="T683" s="46">
        <v>1.4671000000000001</v>
      </c>
    </row>
    <row r="684" spans="16:20" x14ac:dyDescent="0.25">
      <c r="P684" s="18">
        <v>683</v>
      </c>
      <c r="Q684" s="50">
        <v>117.29730000000001</v>
      </c>
      <c r="R684" s="50">
        <v>17.2973</v>
      </c>
      <c r="S684" s="50">
        <v>17.375399999999999</v>
      </c>
      <c r="T684" s="46">
        <v>7.8100000000000003E-2</v>
      </c>
    </row>
    <row r="685" spans="16:20" x14ac:dyDescent="0.25">
      <c r="P685" s="18">
        <v>684</v>
      </c>
      <c r="Q685" s="50">
        <v>126.517</v>
      </c>
      <c r="R685" s="50">
        <v>26.516999999999999</v>
      </c>
      <c r="S685" s="50">
        <v>28.0322</v>
      </c>
      <c r="T685" s="46">
        <v>1.5152000000000001</v>
      </c>
    </row>
    <row r="686" spans="16:20" x14ac:dyDescent="0.25">
      <c r="P686" s="18">
        <v>685</v>
      </c>
      <c r="Q686" s="50">
        <v>102.3391</v>
      </c>
      <c r="R686" s="50">
        <v>2.3391000000000002</v>
      </c>
      <c r="S686" s="50">
        <v>4.5686999999999998</v>
      </c>
      <c r="T686" s="46">
        <v>2.2296</v>
      </c>
    </row>
    <row r="687" spans="16:20" x14ac:dyDescent="0.25">
      <c r="P687" s="18">
        <v>686</v>
      </c>
      <c r="Q687" s="50">
        <v>129.29650000000001</v>
      </c>
      <c r="R687" s="50">
        <v>29.296500000000002</v>
      </c>
      <c r="S687" s="50">
        <v>29.922000000000001</v>
      </c>
      <c r="T687" s="46">
        <v>0.62539999999999996</v>
      </c>
    </row>
    <row r="688" spans="16:20" x14ac:dyDescent="0.25">
      <c r="P688" s="18">
        <v>687</v>
      </c>
      <c r="Q688" s="50">
        <v>84.292199999999994</v>
      </c>
      <c r="R688" s="50">
        <v>0</v>
      </c>
      <c r="S688" s="50">
        <v>-0.79210000000000003</v>
      </c>
      <c r="T688" s="46">
        <v>-0.79210000000000003</v>
      </c>
    </row>
    <row r="689" spans="16:20" x14ac:dyDescent="0.25">
      <c r="P689" s="18">
        <v>688</v>
      </c>
      <c r="Q689" s="50">
        <v>60.221400000000003</v>
      </c>
      <c r="R689" s="50">
        <v>0</v>
      </c>
      <c r="S689" s="50">
        <v>0.7218</v>
      </c>
      <c r="T689" s="46">
        <v>0.7218</v>
      </c>
    </row>
    <row r="690" spans="16:20" x14ac:dyDescent="0.25">
      <c r="P690" s="18">
        <v>689</v>
      </c>
      <c r="Q690" s="50">
        <v>70.905199999999994</v>
      </c>
      <c r="R690" s="50">
        <v>0</v>
      </c>
      <c r="S690" s="50">
        <v>0.64759999999999995</v>
      </c>
      <c r="T690" s="46">
        <v>0.64759999999999995</v>
      </c>
    </row>
    <row r="691" spans="16:20" x14ac:dyDescent="0.25">
      <c r="P691" s="18">
        <v>690</v>
      </c>
      <c r="Q691" s="50">
        <v>94.670900000000003</v>
      </c>
      <c r="R691" s="50">
        <v>0</v>
      </c>
      <c r="S691" s="50">
        <v>6.1097000000000001</v>
      </c>
      <c r="T691" s="46">
        <v>6.1097000000000001</v>
      </c>
    </row>
    <row r="692" spans="16:20" x14ac:dyDescent="0.25">
      <c r="P692" s="18">
        <v>691</v>
      </c>
      <c r="Q692" s="50">
        <v>69.695899999999995</v>
      </c>
      <c r="R692" s="50">
        <v>0</v>
      </c>
      <c r="S692" s="50">
        <v>-1.7977000000000001</v>
      </c>
      <c r="T692" s="46">
        <v>-1.7977000000000001</v>
      </c>
    </row>
    <row r="693" spans="16:20" x14ac:dyDescent="0.25">
      <c r="P693" s="18">
        <v>692</v>
      </c>
      <c r="Q693" s="50">
        <v>116.2946</v>
      </c>
      <c r="R693" s="50">
        <v>16.294599999999999</v>
      </c>
      <c r="S693" s="50">
        <v>18.8003</v>
      </c>
      <c r="T693" s="46">
        <v>2.5057</v>
      </c>
    </row>
    <row r="694" spans="16:20" x14ac:dyDescent="0.25">
      <c r="P694" s="18">
        <v>693</v>
      </c>
      <c r="Q694" s="50">
        <v>40.703600000000002</v>
      </c>
      <c r="R694" s="50">
        <v>0</v>
      </c>
      <c r="S694" s="50">
        <v>-1.8922000000000001</v>
      </c>
      <c r="T694" s="46">
        <v>-1.8922000000000001</v>
      </c>
    </row>
    <row r="695" spans="16:20" x14ac:dyDescent="0.25">
      <c r="P695" s="18">
        <v>694</v>
      </c>
      <c r="Q695" s="50">
        <v>88.372399999999999</v>
      </c>
      <c r="R695" s="50">
        <v>0</v>
      </c>
      <c r="S695" s="50">
        <v>-6.7582000000000004</v>
      </c>
      <c r="T695" s="46">
        <v>-6.7582000000000004</v>
      </c>
    </row>
    <row r="696" spans="16:20" x14ac:dyDescent="0.25">
      <c r="P696" s="18">
        <v>695</v>
      </c>
      <c r="Q696" s="50">
        <v>126.872</v>
      </c>
      <c r="R696" s="50">
        <v>26.872</v>
      </c>
      <c r="S696" s="50">
        <v>21.360399999999998</v>
      </c>
      <c r="T696" s="46">
        <v>-5.5114999999999998</v>
      </c>
    </row>
    <row r="697" spans="16:20" x14ac:dyDescent="0.25">
      <c r="P697" s="18">
        <v>696</v>
      </c>
      <c r="Q697" s="50">
        <v>131.88310000000001</v>
      </c>
      <c r="R697" s="50">
        <v>31.883099999999999</v>
      </c>
      <c r="S697" s="50">
        <v>28.191400000000002</v>
      </c>
      <c r="T697" s="46">
        <v>-3.6918000000000002</v>
      </c>
    </row>
    <row r="698" spans="16:20" x14ac:dyDescent="0.25">
      <c r="P698" s="18">
        <v>697</v>
      </c>
      <c r="Q698" s="50">
        <v>82.685599999999994</v>
      </c>
      <c r="R698" s="50">
        <v>0</v>
      </c>
      <c r="S698" s="50">
        <v>-1.4457</v>
      </c>
      <c r="T698" s="46">
        <v>-1.4457</v>
      </c>
    </row>
    <row r="699" spans="16:20" x14ac:dyDescent="0.25">
      <c r="P699" s="18">
        <v>698</v>
      </c>
      <c r="Q699" s="50">
        <v>69.486999999999995</v>
      </c>
      <c r="R699" s="50">
        <v>0</v>
      </c>
      <c r="S699" s="50">
        <v>1.4359</v>
      </c>
      <c r="T699" s="46">
        <v>1.4359</v>
      </c>
    </row>
    <row r="700" spans="16:20" x14ac:dyDescent="0.25">
      <c r="P700" s="18">
        <v>699</v>
      </c>
      <c r="Q700" s="50">
        <v>99.355999999999995</v>
      </c>
      <c r="R700" s="50">
        <v>0</v>
      </c>
      <c r="S700" s="50">
        <v>4.8056000000000001</v>
      </c>
      <c r="T700" s="46">
        <v>4.8056000000000001</v>
      </c>
    </row>
    <row r="701" spans="16:20" x14ac:dyDescent="0.25">
      <c r="P701" s="18">
        <v>700</v>
      </c>
      <c r="Q701" s="50">
        <v>153.01310000000001</v>
      </c>
      <c r="R701" s="50">
        <v>53.013100000000001</v>
      </c>
      <c r="S701" s="50">
        <v>55.216999999999999</v>
      </c>
      <c r="T701" s="46">
        <v>2.2038000000000002</v>
      </c>
    </row>
    <row r="702" spans="16:20" x14ac:dyDescent="0.25">
      <c r="P702" s="18">
        <v>701</v>
      </c>
      <c r="Q702" s="50">
        <v>162.49160000000001</v>
      </c>
      <c r="R702" s="50">
        <v>62.491599999999998</v>
      </c>
      <c r="S702" s="50">
        <v>60.2928</v>
      </c>
      <c r="T702" s="46">
        <v>-2.1987000000000001</v>
      </c>
    </row>
    <row r="703" spans="16:20" x14ac:dyDescent="0.25">
      <c r="P703" s="18">
        <v>702</v>
      </c>
      <c r="Q703" s="50">
        <v>82.570300000000003</v>
      </c>
      <c r="R703" s="50">
        <v>0</v>
      </c>
      <c r="S703" s="50">
        <v>2.0207999999999999</v>
      </c>
      <c r="T703" s="46">
        <v>2.0207999999999999</v>
      </c>
    </row>
    <row r="704" spans="16:20" x14ac:dyDescent="0.25">
      <c r="P704" s="18">
        <v>703</v>
      </c>
      <c r="Q704" s="50">
        <v>138.42740000000001</v>
      </c>
      <c r="R704" s="50">
        <v>38.427399999999999</v>
      </c>
      <c r="S704" s="50">
        <v>39.357799999999997</v>
      </c>
      <c r="T704" s="46">
        <v>0.9304</v>
      </c>
    </row>
    <row r="705" spans="16:20" x14ac:dyDescent="0.25">
      <c r="P705" s="18">
        <v>704</v>
      </c>
      <c r="Q705" s="50">
        <v>49.6815</v>
      </c>
      <c r="R705" s="50">
        <v>0</v>
      </c>
      <c r="S705" s="50">
        <v>-3.3942000000000001</v>
      </c>
      <c r="T705" s="46">
        <v>-3.3942000000000001</v>
      </c>
    </row>
    <row r="706" spans="16:20" x14ac:dyDescent="0.25">
      <c r="P706" s="18">
        <v>705</v>
      </c>
      <c r="Q706" s="50">
        <v>97.648300000000006</v>
      </c>
      <c r="R706" s="50">
        <v>0</v>
      </c>
      <c r="S706" s="50">
        <v>2.9596</v>
      </c>
      <c r="T706" s="46">
        <v>2.9596</v>
      </c>
    </row>
    <row r="707" spans="16:20" x14ac:dyDescent="0.25">
      <c r="P707" s="18">
        <v>706</v>
      </c>
      <c r="Q707" s="50">
        <v>147.12860000000001</v>
      </c>
      <c r="R707" s="50">
        <v>47.128599999999999</v>
      </c>
      <c r="S707" s="50">
        <v>48.488199999999999</v>
      </c>
      <c r="T707" s="46">
        <v>1.3595999999999999</v>
      </c>
    </row>
    <row r="708" spans="16:20" x14ac:dyDescent="0.25">
      <c r="P708" s="18">
        <v>707</v>
      </c>
      <c r="Q708" s="50">
        <v>48.855499999999999</v>
      </c>
      <c r="R708" s="50">
        <v>0</v>
      </c>
      <c r="S708" s="50">
        <v>-5.1999999999999998E-3</v>
      </c>
      <c r="T708" s="46">
        <v>-5.1999999999999998E-3</v>
      </c>
    </row>
    <row r="709" spans="16:20" x14ac:dyDescent="0.25">
      <c r="P709" s="18">
        <v>708</v>
      </c>
      <c r="Q709" s="50">
        <v>67.53</v>
      </c>
      <c r="R709" s="50">
        <v>0</v>
      </c>
      <c r="S709" s="50">
        <v>1.2663</v>
      </c>
      <c r="T709" s="46">
        <v>1.2663</v>
      </c>
    </row>
    <row r="710" spans="16:20" x14ac:dyDescent="0.25">
      <c r="P710" s="18">
        <v>709</v>
      </c>
      <c r="Q710" s="50">
        <v>110.6052</v>
      </c>
      <c r="R710" s="50">
        <v>10.6052</v>
      </c>
      <c r="S710" s="50">
        <v>12.3987</v>
      </c>
      <c r="T710" s="46">
        <v>1.7934000000000001</v>
      </c>
    </row>
    <row r="711" spans="16:20" x14ac:dyDescent="0.25">
      <c r="P711" s="18">
        <v>710</v>
      </c>
      <c r="Q711" s="50">
        <v>76.892600000000002</v>
      </c>
      <c r="R711" s="50">
        <v>0</v>
      </c>
      <c r="S711" s="50">
        <v>-0.1341</v>
      </c>
      <c r="T711" s="46">
        <v>-0.1341</v>
      </c>
    </row>
    <row r="712" spans="16:20" x14ac:dyDescent="0.25">
      <c r="P712" s="18">
        <v>711</v>
      </c>
      <c r="Q712" s="50">
        <v>67.061700000000002</v>
      </c>
      <c r="R712" s="50">
        <v>0</v>
      </c>
      <c r="S712" s="50">
        <v>0.99990000000000001</v>
      </c>
      <c r="T712" s="46">
        <v>0.99990000000000001</v>
      </c>
    </row>
    <row r="713" spans="16:20" x14ac:dyDescent="0.25">
      <c r="P713" s="18">
        <v>712</v>
      </c>
      <c r="Q713" s="50">
        <v>97.974900000000005</v>
      </c>
      <c r="R713" s="50">
        <v>0</v>
      </c>
      <c r="S713" s="50">
        <v>4.7731000000000003</v>
      </c>
      <c r="T713" s="46">
        <v>4.7731000000000003</v>
      </c>
    </row>
    <row r="714" spans="16:20" x14ac:dyDescent="0.25">
      <c r="P714" s="18">
        <v>713</v>
      </c>
      <c r="Q714" s="50">
        <v>103.00700000000001</v>
      </c>
      <c r="R714" s="50">
        <v>3.0070000000000001</v>
      </c>
      <c r="S714" s="50">
        <v>8.1171000000000006</v>
      </c>
      <c r="T714" s="46">
        <v>5.1100000000000003</v>
      </c>
    </row>
    <row r="715" spans="16:20" x14ac:dyDescent="0.25">
      <c r="P715" s="18">
        <v>714</v>
      </c>
      <c r="Q715" s="50">
        <v>78.638099999999994</v>
      </c>
      <c r="R715" s="50">
        <v>0</v>
      </c>
      <c r="S715" s="50">
        <v>0.80189999999999995</v>
      </c>
      <c r="T715" s="46">
        <v>0.80189999999999995</v>
      </c>
    </row>
    <row r="716" spans="16:20" x14ac:dyDescent="0.25">
      <c r="P716" s="18">
        <v>715</v>
      </c>
      <c r="Q716" s="50">
        <v>72.4773</v>
      </c>
      <c r="R716" s="50">
        <v>0</v>
      </c>
      <c r="S716" s="50">
        <v>2.0158</v>
      </c>
      <c r="T716" s="46">
        <v>2.0158</v>
      </c>
    </row>
    <row r="717" spans="16:20" x14ac:dyDescent="0.25">
      <c r="P717" s="18">
        <v>716</v>
      </c>
      <c r="Q717" s="50">
        <v>131.54220000000001</v>
      </c>
      <c r="R717" s="50">
        <v>31.542200000000001</v>
      </c>
      <c r="S717" s="50">
        <v>28.763999999999999</v>
      </c>
      <c r="T717" s="46">
        <v>-2.7782</v>
      </c>
    </row>
    <row r="718" spans="16:20" x14ac:dyDescent="0.25">
      <c r="P718" s="18">
        <v>717</v>
      </c>
      <c r="Q718" s="50">
        <v>135.04419999999999</v>
      </c>
      <c r="R718" s="50">
        <v>35.044199999999996</v>
      </c>
      <c r="S718" s="50">
        <v>33.624299999999998</v>
      </c>
      <c r="T718" s="46">
        <v>-1.4198999999999999</v>
      </c>
    </row>
    <row r="719" spans="16:20" x14ac:dyDescent="0.25">
      <c r="P719" s="18">
        <v>718</v>
      </c>
      <c r="Q719" s="50">
        <v>102.83750000000001</v>
      </c>
      <c r="R719" s="50">
        <v>2.8374999999999999</v>
      </c>
      <c r="S719" s="50">
        <v>4.8634000000000004</v>
      </c>
      <c r="T719" s="46">
        <v>2.0259</v>
      </c>
    </row>
    <row r="720" spans="16:20" x14ac:dyDescent="0.25">
      <c r="P720" s="18">
        <v>719</v>
      </c>
      <c r="Q720" s="50">
        <v>126.38500000000001</v>
      </c>
      <c r="R720" s="50">
        <v>26.385000000000002</v>
      </c>
      <c r="S720" s="50">
        <v>25.550799999999999</v>
      </c>
      <c r="T720" s="46">
        <v>-0.83420000000000005</v>
      </c>
    </row>
    <row r="721" spans="16:20" x14ac:dyDescent="0.25">
      <c r="P721" s="18">
        <v>720</v>
      </c>
      <c r="Q721" s="50">
        <v>114.80589999999999</v>
      </c>
      <c r="R721" s="50">
        <v>14.805899999999999</v>
      </c>
      <c r="S721" s="50">
        <v>15.7342</v>
      </c>
      <c r="T721" s="46">
        <v>0.92830000000000001</v>
      </c>
    </row>
    <row r="722" spans="16:20" x14ac:dyDescent="0.25">
      <c r="P722" s="18">
        <v>721</v>
      </c>
      <c r="Q722" s="50">
        <v>115.6557</v>
      </c>
      <c r="R722" s="50">
        <v>15.6557</v>
      </c>
      <c r="S722" s="50">
        <v>15.664199999999999</v>
      </c>
      <c r="T722" s="46">
        <v>8.5000000000000006E-3</v>
      </c>
    </row>
    <row r="723" spans="16:20" x14ac:dyDescent="0.25">
      <c r="P723" s="18">
        <v>722</v>
      </c>
      <c r="Q723" s="50">
        <v>99.101799999999997</v>
      </c>
      <c r="R723" s="50">
        <v>0</v>
      </c>
      <c r="S723" s="50">
        <v>4.0778999999999996</v>
      </c>
      <c r="T723" s="46">
        <v>4.0778999999999996</v>
      </c>
    </row>
    <row r="724" spans="16:20" x14ac:dyDescent="0.25">
      <c r="P724" s="18">
        <v>723</v>
      </c>
      <c r="Q724" s="50">
        <v>78.111900000000006</v>
      </c>
      <c r="R724" s="50">
        <v>0</v>
      </c>
      <c r="S724" s="50">
        <v>-0.8669</v>
      </c>
      <c r="T724" s="46">
        <v>-0.8669</v>
      </c>
    </row>
    <row r="725" spans="16:20" x14ac:dyDescent="0.25">
      <c r="P725" s="18">
        <v>724</v>
      </c>
      <c r="Q725" s="50">
        <v>103.0518</v>
      </c>
      <c r="R725" s="50">
        <v>3.0518000000000001</v>
      </c>
      <c r="S725" s="50">
        <v>8.6471999999999998</v>
      </c>
      <c r="T725" s="46">
        <v>5.5953999999999997</v>
      </c>
    </row>
    <row r="726" spans="16:20" x14ac:dyDescent="0.25">
      <c r="P726" s="18">
        <v>725</v>
      </c>
      <c r="Q726" s="50">
        <v>69.009500000000003</v>
      </c>
      <c r="R726" s="50">
        <v>0</v>
      </c>
      <c r="S726" s="50">
        <v>1.7910999999999999</v>
      </c>
      <c r="T726" s="46">
        <v>1.7910999999999999</v>
      </c>
    </row>
    <row r="727" spans="16:20" x14ac:dyDescent="0.25">
      <c r="P727" s="18">
        <v>726</v>
      </c>
      <c r="Q727" s="50">
        <v>125.4383</v>
      </c>
      <c r="R727" s="50">
        <v>25.438300000000002</v>
      </c>
      <c r="S727" s="50">
        <v>24.755800000000001</v>
      </c>
      <c r="T727" s="46">
        <v>-0.6825</v>
      </c>
    </row>
    <row r="728" spans="16:20" x14ac:dyDescent="0.25">
      <c r="P728" s="18">
        <v>727</v>
      </c>
      <c r="Q728" s="50">
        <v>76.033100000000005</v>
      </c>
      <c r="R728" s="50">
        <v>0</v>
      </c>
      <c r="S728" s="50">
        <v>0.44090000000000001</v>
      </c>
      <c r="T728" s="46">
        <v>0.44090000000000001</v>
      </c>
    </row>
    <row r="729" spans="16:20" x14ac:dyDescent="0.25">
      <c r="P729" s="18">
        <v>728</v>
      </c>
      <c r="Q729" s="50">
        <v>81.620800000000003</v>
      </c>
      <c r="R729" s="50">
        <v>0</v>
      </c>
      <c r="S729" s="50">
        <v>-0.68820000000000003</v>
      </c>
      <c r="T729" s="46">
        <v>-0.68820000000000003</v>
      </c>
    </row>
    <row r="730" spans="16:20" x14ac:dyDescent="0.25">
      <c r="P730" s="18">
        <v>729</v>
      </c>
      <c r="Q730" s="50">
        <v>86.391999999999996</v>
      </c>
      <c r="R730" s="50">
        <v>0</v>
      </c>
      <c r="S730" s="50">
        <v>1.4719</v>
      </c>
      <c r="T730" s="46">
        <v>1.4719</v>
      </c>
    </row>
    <row r="731" spans="16:20" x14ac:dyDescent="0.25">
      <c r="P731" s="18">
        <v>730</v>
      </c>
      <c r="Q731" s="50">
        <v>89.379000000000005</v>
      </c>
      <c r="R731" s="50">
        <v>0</v>
      </c>
      <c r="S731" s="50">
        <v>3.5474000000000001</v>
      </c>
      <c r="T731" s="46">
        <v>3.5474000000000001</v>
      </c>
    </row>
    <row r="732" spans="16:20" x14ac:dyDescent="0.25">
      <c r="P732" s="18">
        <v>731</v>
      </c>
      <c r="Q732" s="50">
        <v>148.59870000000001</v>
      </c>
      <c r="R732" s="50">
        <v>48.598700000000001</v>
      </c>
      <c r="S732" s="50">
        <v>49.084800000000001</v>
      </c>
      <c r="T732" s="46">
        <v>0.48609999999999998</v>
      </c>
    </row>
    <row r="733" spans="16:20" x14ac:dyDescent="0.25">
      <c r="P733" s="18">
        <v>732</v>
      </c>
      <c r="Q733" s="50">
        <v>85.309399999999997</v>
      </c>
      <c r="R733" s="50">
        <v>0</v>
      </c>
      <c r="S733" s="50">
        <v>0.4007</v>
      </c>
      <c r="T733" s="46">
        <v>0.4007</v>
      </c>
    </row>
    <row r="734" spans="16:20" x14ac:dyDescent="0.25">
      <c r="P734" s="18">
        <v>733</v>
      </c>
      <c r="Q734" s="50">
        <v>111.408</v>
      </c>
      <c r="R734" s="50">
        <v>11.407999999999999</v>
      </c>
      <c r="S734" s="50">
        <v>13.8621</v>
      </c>
      <c r="T734" s="46">
        <v>2.4540999999999999</v>
      </c>
    </row>
    <row r="735" spans="16:20" x14ac:dyDescent="0.25">
      <c r="P735" s="18">
        <v>734</v>
      </c>
      <c r="Q735" s="50">
        <v>105.5963</v>
      </c>
      <c r="R735" s="50">
        <v>5.5963000000000003</v>
      </c>
      <c r="S735" s="50">
        <v>5.5260999999999996</v>
      </c>
      <c r="T735" s="46">
        <v>-7.0099999999999996E-2</v>
      </c>
    </row>
    <row r="736" spans="16:20" x14ac:dyDescent="0.25">
      <c r="P736" s="18">
        <v>735</v>
      </c>
      <c r="Q736" s="50">
        <v>105.9302</v>
      </c>
      <c r="R736" s="50">
        <v>5.9302000000000001</v>
      </c>
      <c r="S736" s="50">
        <v>7.8326000000000002</v>
      </c>
      <c r="T736" s="46">
        <v>1.9025000000000001</v>
      </c>
    </row>
    <row r="737" spans="16:20" x14ac:dyDescent="0.25">
      <c r="P737" s="18">
        <v>736</v>
      </c>
      <c r="Q737" s="50">
        <v>87.191599999999994</v>
      </c>
      <c r="R737" s="50">
        <v>0</v>
      </c>
      <c r="S737" s="50">
        <v>1.9762</v>
      </c>
      <c r="T737" s="46">
        <v>1.9762</v>
      </c>
    </row>
    <row r="738" spans="16:20" x14ac:dyDescent="0.25">
      <c r="P738" s="18">
        <v>737</v>
      </c>
      <c r="Q738" s="50">
        <v>50.645000000000003</v>
      </c>
      <c r="R738" s="50">
        <v>0</v>
      </c>
      <c r="S738" s="50">
        <v>3.8100000000000002E-2</v>
      </c>
      <c r="T738" s="46">
        <v>3.8100000000000002E-2</v>
      </c>
    </row>
    <row r="739" spans="16:20" x14ac:dyDescent="0.25">
      <c r="P739" s="18">
        <v>738</v>
      </c>
      <c r="Q739" s="50">
        <v>101.5274</v>
      </c>
      <c r="R739" s="50">
        <v>1.5274000000000001</v>
      </c>
      <c r="S739" s="50">
        <v>2.2519</v>
      </c>
      <c r="T739" s="46">
        <v>0.72450000000000003</v>
      </c>
    </row>
    <row r="740" spans="16:20" x14ac:dyDescent="0.25">
      <c r="P740" s="18">
        <v>739</v>
      </c>
      <c r="Q740" s="50">
        <v>79.900800000000004</v>
      </c>
      <c r="R740" s="50">
        <v>0</v>
      </c>
      <c r="S740" s="50">
        <v>2.9801000000000002</v>
      </c>
      <c r="T740" s="46">
        <v>2.9801000000000002</v>
      </c>
    </row>
    <row r="741" spans="16:20" x14ac:dyDescent="0.25">
      <c r="P741" s="18">
        <v>740</v>
      </c>
      <c r="Q741" s="50">
        <v>88.203199999999995</v>
      </c>
      <c r="R741" s="50">
        <v>0</v>
      </c>
      <c r="S741" s="50">
        <v>-1.6166</v>
      </c>
      <c r="T741" s="46">
        <v>-1.6166</v>
      </c>
    </row>
    <row r="742" spans="16:20" x14ac:dyDescent="0.25">
      <c r="P742" s="18">
        <v>741</v>
      </c>
      <c r="Q742" s="50">
        <v>123.6198</v>
      </c>
      <c r="R742" s="50">
        <v>23.619800000000001</v>
      </c>
      <c r="S742" s="50">
        <v>23.845800000000001</v>
      </c>
      <c r="T742" s="46">
        <v>0.22600000000000001</v>
      </c>
    </row>
    <row r="743" spans="16:20" x14ac:dyDescent="0.25">
      <c r="P743" s="18">
        <v>742</v>
      </c>
      <c r="Q743" s="50">
        <v>104.85120000000001</v>
      </c>
      <c r="R743" s="50">
        <v>4.8512000000000004</v>
      </c>
      <c r="S743" s="50">
        <v>9.1707999999999998</v>
      </c>
      <c r="T743" s="46">
        <v>4.3196000000000003</v>
      </c>
    </row>
    <row r="744" spans="16:20" x14ac:dyDescent="0.25">
      <c r="P744" s="18">
        <v>743</v>
      </c>
      <c r="Q744" s="50">
        <v>83.486000000000004</v>
      </c>
      <c r="R744" s="50">
        <v>0</v>
      </c>
      <c r="S744" s="50">
        <v>-7.8E-2</v>
      </c>
      <c r="T744" s="46">
        <v>-7.8E-2</v>
      </c>
    </row>
    <row r="745" spans="16:20" x14ac:dyDescent="0.25">
      <c r="P745" s="18">
        <v>744</v>
      </c>
      <c r="Q745" s="50">
        <v>89.765299999999996</v>
      </c>
      <c r="R745" s="50">
        <v>0</v>
      </c>
      <c r="S745" s="50">
        <v>-1.3347</v>
      </c>
      <c r="T745" s="46">
        <v>-1.3347</v>
      </c>
    </row>
    <row r="746" spans="16:20" x14ac:dyDescent="0.25">
      <c r="P746" s="18">
        <v>745</v>
      </c>
      <c r="Q746" s="50">
        <v>88.708699999999993</v>
      </c>
      <c r="R746" s="50">
        <v>0</v>
      </c>
      <c r="S746" s="50">
        <v>2.0621999999999998</v>
      </c>
      <c r="T746" s="46">
        <v>2.0621999999999998</v>
      </c>
    </row>
    <row r="747" spans="16:20" x14ac:dyDescent="0.25">
      <c r="P747" s="18">
        <v>746</v>
      </c>
      <c r="Q747" s="50">
        <v>56.750399999999999</v>
      </c>
      <c r="R747" s="50">
        <v>0</v>
      </c>
      <c r="S747" s="50">
        <v>0.2792</v>
      </c>
      <c r="T747" s="46">
        <v>0.2792</v>
      </c>
    </row>
    <row r="748" spans="16:20" x14ac:dyDescent="0.25">
      <c r="P748" s="18">
        <v>747</v>
      </c>
      <c r="Q748" s="50">
        <v>50.398600000000002</v>
      </c>
      <c r="R748" s="50">
        <v>0</v>
      </c>
      <c r="S748" s="50">
        <v>-0.80559999999999998</v>
      </c>
      <c r="T748" s="46">
        <v>-0.80559999999999998</v>
      </c>
    </row>
    <row r="749" spans="16:20" x14ac:dyDescent="0.25">
      <c r="P749" s="18">
        <v>748</v>
      </c>
      <c r="Q749" s="50">
        <v>78.791899999999998</v>
      </c>
      <c r="R749" s="50">
        <v>0</v>
      </c>
      <c r="S749" s="50">
        <v>-4.7526999999999999</v>
      </c>
      <c r="T749" s="46">
        <v>-4.7526999999999999</v>
      </c>
    </row>
    <row r="750" spans="16:20" x14ac:dyDescent="0.25">
      <c r="P750" s="18">
        <v>749</v>
      </c>
      <c r="Q750" s="50">
        <v>75.265600000000006</v>
      </c>
      <c r="R750" s="50">
        <v>0</v>
      </c>
      <c r="S750" s="50">
        <v>-0.89229999999999998</v>
      </c>
      <c r="T750" s="46">
        <v>-0.89229999999999998</v>
      </c>
    </row>
    <row r="751" spans="16:20" x14ac:dyDescent="0.25">
      <c r="P751" s="18">
        <v>750</v>
      </c>
      <c r="Q751" s="50">
        <v>105.11490000000001</v>
      </c>
      <c r="R751" s="50">
        <v>5.1148999999999996</v>
      </c>
      <c r="S751" s="50">
        <v>5.5801999999999996</v>
      </c>
      <c r="T751" s="46">
        <v>0.46529999999999999</v>
      </c>
    </row>
    <row r="752" spans="16:20" x14ac:dyDescent="0.25">
      <c r="P752" s="18">
        <v>751</v>
      </c>
      <c r="Q752" s="50">
        <v>103.93170000000001</v>
      </c>
      <c r="R752" s="50">
        <v>3.9317000000000002</v>
      </c>
      <c r="S752" s="50">
        <v>-1.921</v>
      </c>
      <c r="T752" s="46">
        <v>-5.8525999999999998</v>
      </c>
    </row>
    <row r="753" spans="16:20" x14ac:dyDescent="0.25">
      <c r="P753" s="18">
        <v>752</v>
      </c>
      <c r="Q753" s="50">
        <v>105.20610000000001</v>
      </c>
      <c r="R753" s="50">
        <v>5.2061000000000002</v>
      </c>
      <c r="S753" s="50">
        <v>2.5396999999999998</v>
      </c>
      <c r="T753" s="46">
        <v>-2.6663999999999999</v>
      </c>
    </row>
    <row r="754" spans="16:20" x14ac:dyDescent="0.25">
      <c r="P754" s="18">
        <v>753</v>
      </c>
      <c r="Q754" s="50">
        <v>125.8888</v>
      </c>
      <c r="R754" s="50">
        <v>25.8889</v>
      </c>
      <c r="S754" s="50">
        <v>28.273099999999999</v>
      </c>
      <c r="T754" s="46">
        <v>2.3843000000000001</v>
      </c>
    </row>
    <row r="755" spans="16:20" x14ac:dyDescent="0.25">
      <c r="P755" s="18">
        <v>754</v>
      </c>
      <c r="Q755" s="50">
        <v>68.550399999999996</v>
      </c>
      <c r="R755" s="50">
        <v>0</v>
      </c>
      <c r="S755" s="50">
        <v>-2.8083999999999998</v>
      </c>
      <c r="T755" s="46">
        <v>-2.8083999999999998</v>
      </c>
    </row>
    <row r="756" spans="16:20" x14ac:dyDescent="0.25">
      <c r="P756" s="18">
        <v>755</v>
      </c>
      <c r="Q756" s="50">
        <v>66.689800000000005</v>
      </c>
      <c r="R756" s="50">
        <v>0</v>
      </c>
      <c r="S756" s="50">
        <v>-0.22739999999999999</v>
      </c>
      <c r="T756" s="46">
        <v>-0.22739999999999999</v>
      </c>
    </row>
    <row r="757" spans="16:20" x14ac:dyDescent="0.25">
      <c r="P757" s="18">
        <v>756</v>
      </c>
      <c r="Q757" s="50">
        <v>136.20099999999999</v>
      </c>
      <c r="R757" s="50">
        <v>36.201000000000001</v>
      </c>
      <c r="S757" s="50">
        <v>36.761800000000001</v>
      </c>
      <c r="T757" s="46">
        <v>0.56079999999999997</v>
      </c>
    </row>
    <row r="758" spans="16:20" x14ac:dyDescent="0.25">
      <c r="P758" s="18">
        <v>757</v>
      </c>
      <c r="Q758" s="50">
        <v>66.370599999999996</v>
      </c>
      <c r="R758" s="50">
        <v>0</v>
      </c>
      <c r="S758" s="50">
        <v>-1.0884</v>
      </c>
      <c r="T758" s="46">
        <v>-1.0884</v>
      </c>
    </row>
    <row r="759" spans="16:20" x14ac:dyDescent="0.25">
      <c r="P759" s="18">
        <v>758</v>
      </c>
      <c r="Q759" s="50">
        <v>97.7517</v>
      </c>
      <c r="R759" s="50">
        <v>0</v>
      </c>
      <c r="S759" s="50">
        <v>4.0606</v>
      </c>
      <c r="T759" s="46">
        <v>4.0606</v>
      </c>
    </row>
    <row r="760" spans="16:20" x14ac:dyDescent="0.25">
      <c r="P760" s="18">
        <v>759</v>
      </c>
      <c r="Q760" s="50">
        <v>117.0398</v>
      </c>
      <c r="R760" s="50">
        <v>17.0398</v>
      </c>
      <c r="S760" s="50">
        <v>17.969899999999999</v>
      </c>
      <c r="T760" s="46">
        <v>0.93020000000000003</v>
      </c>
    </row>
    <row r="761" spans="16:20" x14ac:dyDescent="0.25">
      <c r="P761" s="18">
        <v>760</v>
      </c>
      <c r="Q761" s="50">
        <v>89.583600000000004</v>
      </c>
      <c r="R761" s="50">
        <v>0</v>
      </c>
      <c r="S761" s="50">
        <v>2.2216</v>
      </c>
      <c r="T761" s="46">
        <v>2.2216</v>
      </c>
    </row>
    <row r="762" spans="16:20" x14ac:dyDescent="0.25">
      <c r="P762" s="18">
        <v>761</v>
      </c>
      <c r="Q762" s="50">
        <v>56.441000000000003</v>
      </c>
      <c r="R762" s="50">
        <v>0</v>
      </c>
      <c r="S762" s="50">
        <v>-1.3878999999999999</v>
      </c>
      <c r="T762" s="46">
        <v>-1.3878999999999999</v>
      </c>
    </row>
    <row r="763" spans="16:20" x14ac:dyDescent="0.25">
      <c r="P763" s="18">
        <v>762</v>
      </c>
      <c r="Q763" s="50">
        <v>63.8367</v>
      </c>
      <c r="R763" s="50">
        <v>0</v>
      </c>
      <c r="S763" s="50">
        <v>-1.7221</v>
      </c>
      <c r="T763" s="46">
        <v>-1.7221</v>
      </c>
    </row>
    <row r="764" spans="16:20" x14ac:dyDescent="0.25">
      <c r="P764" s="18">
        <v>763</v>
      </c>
      <c r="Q764" s="50">
        <v>86.978499999999997</v>
      </c>
      <c r="R764" s="50">
        <v>0</v>
      </c>
      <c r="S764" s="50">
        <v>2.5323000000000002</v>
      </c>
      <c r="T764" s="46">
        <v>2.5323000000000002</v>
      </c>
    </row>
    <row r="765" spans="16:20" x14ac:dyDescent="0.25">
      <c r="P765" s="18">
        <v>764</v>
      </c>
      <c r="Q765" s="50">
        <v>64.449399999999997</v>
      </c>
      <c r="R765" s="50">
        <v>0</v>
      </c>
      <c r="S765" s="50">
        <v>-2.01E-2</v>
      </c>
      <c r="T765" s="46">
        <v>-2.01E-2</v>
      </c>
    </row>
    <row r="766" spans="16:20" x14ac:dyDescent="0.25">
      <c r="P766" s="18">
        <v>765</v>
      </c>
      <c r="Q766" s="50">
        <v>202.5103</v>
      </c>
      <c r="R766" s="50">
        <v>102.5103</v>
      </c>
      <c r="S766" s="50">
        <v>100.877</v>
      </c>
      <c r="T766" s="46">
        <v>-1.6333</v>
      </c>
    </row>
    <row r="767" spans="16:20" x14ac:dyDescent="0.25">
      <c r="P767" s="18">
        <v>766</v>
      </c>
      <c r="Q767" s="50">
        <v>80.321200000000005</v>
      </c>
      <c r="R767" s="50">
        <v>0</v>
      </c>
      <c r="S767" s="50">
        <v>-0.1507</v>
      </c>
      <c r="T767" s="46">
        <v>-0.1507</v>
      </c>
    </row>
    <row r="768" spans="16:20" x14ac:dyDescent="0.25">
      <c r="P768" s="18">
        <v>767</v>
      </c>
      <c r="Q768" s="50">
        <v>78.813199999999995</v>
      </c>
      <c r="R768" s="50">
        <v>0</v>
      </c>
      <c r="S768" s="50">
        <v>-0.42830000000000001</v>
      </c>
      <c r="T768" s="46">
        <v>-0.42830000000000001</v>
      </c>
    </row>
    <row r="769" spans="16:20" x14ac:dyDescent="0.25">
      <c r="P769" s="18">
        <v>768</v>
      </c>
      <c r="Q769" s="50">
        <v>129.23840000000001</v>
      </c>
      <c r="R769" s="50">
        <v>29.238399999999999</v>
      </c>
      <c r="S769" s="50">
        <v>29.355899999999998</v>
      </c>
      <c r="T769" s="46">
        <v>0.1176</v>
      </c>
    </row>
    <row r="770" spans="16:20" x14ac:dyDescent="0.25">
      <c r="P770" s="18">
        <v>769</v>
      </c>
      <c r="Q770" s="50">
        <v>128.64179999999999</v>
      </c>
      <c r="R770" s="50">
        <v>28.6418</v>
      </c>
      <c r="S770" s="50">
        <v>30.043900000000001</v>
      </c>
      <c r="T770" s="46">
        <v>1.4020999999999999</v>
      </c>
    </row>
    <row r="771" spans="16:20" x14ac:dyDescent="0.25">
      <c r="P771" s="18">
        <v>770</v>
      </c>
      <c r="Q771" s="50">
        <v>74.142099999999999</v>
      </c>
      <c r="R771" s="50">
        <v>0</v>
      </c>
      <c r="S771" s="50">
        <v>-2.6613000000000002</v>
      </c>
      <c r="T771" s="46">
        <v>-2.6613000000000002</v>
      </c>
    </row>
    <row r="772" spans="16:20" x14ac:dyDescent="0.25">
      <c r="P772" s="18">
        <v>771</v>
      </c>
      <c r="Q772" s="50">
        <v>71.934100000000001</v>
      </c>
      <c r="R772" s="50">
        <v>0</v>
      </c>
      <c r="S772" s="50">
        <v>0.1053</v>
      </c>
      <c r="T772" s="46">
        <v>0.1053</v>
      </c>
    </row>
    <row r="773" spans="16:20" x14ac:dyDescent="0.25">
      <c r="P773" s="18">
        <v>772</v>
      </c>
      <c r="Q773" s="50">
        <v>90.130200000000002</v>
      </c>
      <c r="R773" s="50">
        <v>0</v>
      </c>
      <c r="S773" s="50">
        <v>1.9555</v>
      </c>
      <c r="T773" s="46">
        <v>1.9555</v>
      </c>
    </row>
    <row r="774" spans="16:20" x14ac:dyDescent="0.25">
      <c r="P774" s="18">
        <v>773</v>
      </c>
      <c r="Q774" s="50">
        <v>121.74169999999999</v>
      </c>
      <c r="R774" s="50">
        <v>21.741700000000002</v>
      </c>
      <c r="S774" s="50">
        <v>24.237500000000001</v>
      </c>
      <c r="T774" s="46">
        <v>2.4956999999999998</v>
      </c>
    </row>
    <row r="775" spans="16:20" x14ac:dyDescent="0.25">
      <c r="P775" s="18">
        <v>774</v>
      </c>
      <c r="Q775" s="50">
        <v>101.0942</v>
      </c>
      <c r="R775" s="50">
        <v>1.0942000000000001</v>
      </c>
      <c r="S775" s="50">
        <v>4.6759000000000004</v>
      </c>
      <c r="T775" s="46">
        <v>3.5817000000000001</v>
      </c>
    </row>
    <row r="776" spans="16:20" x14ac:dyDescent="0.25">
      <c r="P776" s="18">
        <v>775</v>
      </c>
      <c r="Q776" s="50">
        <v>149.47720000000001</v>
      </c>
      <c r="R776" s="50">
        <v>49.477200000000003</v>
      </c>
      <c r="S776" s="50">
        <v>49.129800000000003</v>
      </c>
      <c r="T776" s="46">
        <v>-0.34749999999999998</v>
      </c>
    </row>
    <row r="777" spans="16:20" x14ac:dyDescent="0.25">
      <c r="P777" s="18">
        <v>776</v>
      </c>
      <c r="Q777" s="50">
        <v>72.026200000000003</v>
      </c>
      <c r="R777" s="50">
        <v>0</v>
      </c>
      <c r="S777" s="50">
        <v>-1.6997</v>
      </c>
      <c r="T777" s="46">
        <v>-1.6997</v>
      </c>
    </row>
    <row r="778" spans="16:20" x14ac:dyDescent="0.25">
      <c r="P778" s="18">
        <v>777</v>
      </c>
      <c r="Q778" s="50">
        <v>155.09889999999999</v>
      </c>
      <c r="R778" s="50">
        <v>55.0989</v>
      </c>
      <c r="S778" s="50">
        <v>54.247300000000003</v>
      </c>
      <c r="T778" s="46">
        <v>-0.85160000000000002</v>
      </c>
    </row>
    <row r="779" spans="16:20" x14ac:dyDescent="0.25">
      <c r="P779" s="18">
        <v>778</v>
      </c>
      <c r="Q779" s="50">
        <v>80.331699999999998</v>
      </c>
      <c r="R779" s="50">
        <v>0</v>
      </c>
      <c r="S779" s="50">
        <v>2.1391</v>
      </c>
      <c r="T779" s="46">
        <v>2.1391</v>
      </c>
    </row>
    <row r="780" spans="16:20" x14ac:dyDescent="0.25">
      <c r="P780" s="18">
        <v>779</v>
      </c>
      <c r="Q780" s="50">
        <v>65.493399999999994</v>
      </c>
      <c r="R780" s="50">
        <v>0</v>
      </c>
      <c r="S780" s="50">
        <v>-0.83130000000000004</v>
      </c>
      <c r="T780" s="46">
        <v>-0.83130000000000004</v>
      </c>
    </row>
    <row r="781" spans="16:20" x14ac:dyDescent="0.25">
      <c r="P781" s="18">
        <v>780</v>
      </c>
      <c r="Q781" s="50">
        <v>173.32599999999999</v>
      </c>
      <c r="R781" s="50">
        <v>73.325999999999993</v>
      </c>
      <c r="S781" s="50">
        <v>71.421999999999997</v>
      </c>
      <c r="T781" s="46">
        <v>-1.9038999999999999</v>
      </c>
    </row>
    <row r="782" spans="16:20" x14ac:dyDescent="0.25">
      <c r="P782" s="18">
        <v>781</v>
      </c>
      <c r="Q782" s="50">
        <v>54.250599999999999</v>
      </c>
      <c r="R782" s="50">
        <v>0</v>
      </c>
      <c r="S782" s="50">
        <v>-0.93020000000000003</v>
      </c>
      <c r="T782" s="46">
        <v>-0.93020000000000003</v>
      </c>
    </row>
    <row r="783" spans="16:20" x14ac:dyDescent="0.25">
      <c r="P783" s="18">
        <v>782</v>
      </c>
      <c r="Q783" s="50">
        <v>73.831400000000002</v>
      </c>
      <c r="R783" s="50">
        <v>0</v>
      </c>
      <c r="S783" s="50">
        <v>-0.51170000000000004</v>
      </c>
      <c r="T783" s="46">
        <v>-0.51170000000000004</v>
      </c>
    </row>
    <row r="784" spans="16:20" x14ac:dyDescent="0.25">
      <c r="P784" s="18">
        <v>783</v>
      </c>
      <c r="Q784" s="50">
        <v>80.586600000000004</v>
      </c>
      <c r="R784" s="50">
        <v>0</v>
      </c>
      <c r="S784" s="50">
        <v>-0.1118</v>
      </c>
      <c r="T784" s="46">
        <v>-0.1118</v>
      </c>
    </row>
    <row r="785" spans="16:20" x14ac:dyDescent="0.25">
      <c r="P785" s="18">
        <v>784</v>
      </c>
      <c r="Q785" s="50">
        <v>104.672</v>
      </c>
      <c r="R785" s="50">
        <v>4.6719999999999997</v>
      </c>
      <c r="S785" s="50">
        <v>8.6803000000000008</v>
      </c>
      <c r="T785" s="46">
        <v>4.0083000000000002</v>
      </c>
    </row>
    <row r="786" spans="16:20" x14ac:dyDescent="0.25">
      <c r="P786" s="18">
        <v>785</v>
      </c>
      <c r="Q786" s="50">
        <v>83.682000000000002</v>
      </c>
      <c r="R786" s="50">
        <v>0</v>
      </c>
      <c r="S786" s="50">
        <v>-0.1762</v>
      </c>
      <c r="T786" s="46">
        <v>-0.1762</v>
      </c>
    </row>
    <row r="787" spans="16:20" x14ac:dyDescent="0.25">
      <c r="P787" s="18">
        <v>786</v>
      </c>
      <c r="Q787" s="50">
        <v>127.0911</v>
      </c>
      <c r="R787" s="50">
        <v>27.091100000000001</v>
      </c>
      <c r="S787" s="50">
        <v>29.171600000000002</v>
      </c>
      <c r="T787" s="46">
        <v>2.0804999999999998</v>
      </c>
    </row>
    <row r="788" spans="16:20" x14ac:dyDescent="0.25">
      <c r="P788" s="18">
        <v>787</v>
      </c>
      <c r="Q788" s="50">
        <v>76.850200000000001</v>
      </c>
      <c r="R788" s="50">
        <v>0</v>
      </c>
      <c r="S788" s="50">
        <v>-2.7241</v>
      </c>
      <c r="T788" s="46">
        <v>-2.7241</v>
      </c>
    </row>
    <row r="789" spans="16:20" x14ac:dyDescent="0.25">
      <c r="P789" s="18">
        <v>788</v>
      </c>
      <c r="Q789" s="50">
        <v>123.7929</v>
      </c>
      <c r="R789" s="50">
        <v>23.792999999999999</v>
      </c>
      <c r="S789" s="50">
        <v>25.1128</v>
      </c>
      <c r="T789" s="46">
        <v>1.3199000000000001</v>
      </c>
    </row>
    <row r="790" spans="16:20" x14ac:dyDescent="0.25">
      <c r="P790" s="18">
        <v>789</v>
      </c>
      <c r="Q790" s="50">
        <v>108.81019999999999</v>
      </c>
      <c r="R790" s="50">
        <v>8.8102</v>
      </c>
      <c r="S790" s="50">
        <v>8.9024000000000001</v>
      </c>
      <c r="T790" s="46">
        <v>9.2200000000000004E-2</v>
      </c>
    </row>
    <row r="791" spans="16:20" x14ac:dyDescent="0.25">
      <c r="P791" s="18">
        <v>790</v>
      </c>
      <c r="Q791" s="50">
        <v>99.185699999999997</v>
      </c>
      <c r="R791" s="50">
        <v>0</v>
      </c>
      <c r="S791" s="50">
        <v>7.5857000000000001</v>
      </c>
      <c r="T791" s="46">
        <v>7.5857000000000001</v>
      </c>
    </row>
    <row r="792" spans="16:20" x14ac:dyDescent="0.25">
      <c r="P792" s="18">
        <v>791</v>
      </c>
      <c r="Q792" s="50">
        <v>116.7461</v>
      </c>
      <c r="R792" s="50">
        <v>16.746099999999998</v>
      </c>
      <c r="S792" s="50">
        <v>17.0779</v>
      </c>
      <c r="T792" s="46">
        <v>0.33179999999999998</v>
      </c>
    </row>
    <row r="793" spans="16:20" x14ac:dyDescent="0.25">
      <c r="P793" s="18">
        <v>792</v>
      </c>
      <c r="Q793" s="50">
        <v>120.71299999999999</v>
      </c>
      <c r="R793" s="50">
        <v>20.713000000000001</v>
      </c>
      <c r="S793" s="50">
        <v>20.2849</v>
      </c>
      <c r="T793" s="46">
        <v>-0.42809999999999998</v>
      </c>
    </row>
    <row r="794" spans="16:20" x14ac:dyDescent="0.25">
      <c r="P794" s="18">
        <v>793</v>
      </c>
      <c r="Q794" s="50">
        <v>103.0956</v>
      </c>
      <c r="R794" s="50">
        <v>3.0956000000000001</v>
      </c>
      <c r="S794" s="50">
        <v>6.0597000000000003</v>
      </c>
      <c r="T794" s="46">
        <v>2.9641000000000002</v>
      </c>
    </row>
    <row r="795" spans="16:20" x14ac:dyDescent="0.25">
      <c r="P795" s="18">
        <v>794</v>
      </c>
      <c r="Q795" s="50">
        <v>45.8354</v>
      </c>
      <c r="R795" s="50">
        <v>0</v>
      </c>
      <c r="S795" s="50">
        <v>0.57599999999999996</v>
      </c>
      <c r="T795" s="46">
        <v>0.57599999999999996</v>
      </c>
    </row>
    <row r="796" spans="16:20" x14ac:dyDescent="0.25">
      <c r="P796" s="18">
        <v>795</v>
      </c>
      <c r="Q796" s="50">
        <v>75.314800000000005</v>
      </c>
      <c r="R796" s="50">
        <v>0</v>
      </c>
      <c r="S796" s="50">
        <v>-3.6657000000000002</v>
      </c>
      <c r="T796" s="46">
        <v>-3.6657000000000002</v>
      </c>
    </row>
    <row r="797" spans="16:20" x14ac:dyDescent="0.25">
      <c r="P797" s="18">
        <v>796</v>
      </c>
      <c r="Q797" s="50">
        <v>87.492699999999999</v>
      </c>
      <c r="R797" s="50">
        <v>0</v>
      </c>
      <c r="S797" s="50">
        <v>3.2402000000000002</v>
      </c>
      <c r="T797" s="46">
        <v>3.2402000000000002</v>
      </c>
    </row>
    <row r="798" spans="16:20" x14ac:dyDescent="0.25">
      <c r="P798" s="18">
        <v>797</v>
      </c>
      <c r="Q798" s="50">
        <v>89.583699999999993</v>
      </c>
      <c r="R798" s="50">
        <v>0</v>
      </c>
      <c r="S798" s="50">
        <v>1.0996999999999999</v>
      </c>
      <c r="T798" s="46">
        <v>1.0996999999999999</v>
      </c>
    </row>
    <row r="799" spans="16:20" x14ac:dyDescent="0.25">
      <c r="P799" s="18">
        <v>798</v>
      </c>
      <c r="Q799" s="50">
        <v>105.15770000000001</v>
      </c>
      <c r="R799" s="50">
        <v>5.1577000000000002</v>
      </c>
      <c r="S799" s="50">
        <v>3.2818999999999998</v>
      </c>
      <c r="T799" s="46">
        <v>-1.8757999999999999</v>
      </c>
    </row>
    <row r="800" spans="16:20" x14ac:dyDescent="0.25">
      <c r="P800" s="18">
        <v>799</v>
      </c>
      <c r="Q800" s="50">
        <v>127.2754</v>
      </c>
      <c r="R800" s="50">
        <v>27.275400000000001</v>
      </c>
      <c r="S800" s="50">
        <v>26.657800000000002</v>
      </c>
      <c r="T800" s="46">
        <v>-0.61760000000000004</v>
      </c>
    </row>
    <row r="801" spans="16:20" x14ac:dyDescent="0.25">
      <c r="P801" s="18">
        <v>800</v>
      </c>
      <c r="Q801" s="50">
        <v>75.689599999999999</v>
      </c>
      <c r="R801" s="50">
        <v>0</v>
      </c>
      <c r="S801" s="50">
        <v>-0.17549999999999999</v>
      </c>
      <c r="T801" s="46">
        <v>-0.17549999999999999</v>
      </c>
    </row>
    <row r="802" spans="16:20" x14ac:dyDescent="0.25">
      <c r="P802" s="18">
        <v>801</v>
      </c>
      <c r="Q802" s="50">
        <v>80.066999999999993</v>
      </c>
      <c r="R802" s="50">
        <v>0</v>
      </c>
      <c r="S802" s="50">
        <v>1.2867</v>
      </c>
      <c r="T802" s="46">
        <v>1.2867</v>
      </c>
    </row>
    <row r="803" spans="16:20" x14ac:dyDescent="0.25">
      <c r="P803" s="18">
        <v>802</v>
      </c>
      <c r="Q803" s="50">
        <v>78.522900000000007</v>
      </c>
      <c r="R803" s="50">
        <v>0</v>
      </c>
      <c r="S803" s="50">
        <v>-0.4965</v>
      </c>
      <c r="T803" s="46">
        <v>-0.4965</v>
      </c>
    </row>
    <row r="804" spans="16:20" x14ac:dyDescent="0.25">
      <c r="P804" s="18">
        <v>803</v>
      </c>
      <c r="Q804" s="50">
        <v>104.5714</v>
      </c>
      <c r="R804" s="50">
        <v>4.5713999999999997</v>
      </c>
      <c r="S804" s="50">
        <v>9.2739999999999991</v>
      </c>
      <c r="T804" s="46">
        <v>4.7026000000000003</v>
      </c>
    </row>
    <row r="805" spans="16:20" x14ac:dyDescent="0.25">
      <c r="P805" s="18">
        <v>804</v>
      </c>
      <c r="Q805" s="50">
        <v>94.370999999999995</v>
      </c>
      <c r="R805" s="50">
        <v>0</v>
      </c>
      <c r="S805" s="50">
        <v>1.9281999999999999</v>
      </c>
      <c r="T805" s="46">
        <v>1.9281999999999999</v>
      </c>
    </row>
    <row r="806" spans="16:20" x14ac:dyDescent="0.25">
      <c r="P806" s="18">
        <v>805</v>
      </c>
      <c r="Q806" s="50">
        <v>90.7483</v>
      </c>
      <c r="R806" s="50">
        <v>0</v>
      </c>
      <c r="S806" s="50">
        <v>4.3129999999999997</v>
      </c>
      <c r="T806" s="46">
        <v>4.3129999999999997</v>
      </c>
    </row>
    <row r="807" spans="16:20" x14ac:dyDescent="0.25">
      <c r="P807" s="18">
        <v>806</v>
      </c>
      <c r="Q807" s="50">
        <v>81.595200000000006</v>
      </c>
      <c r="R807" s="50">
        <v>0</v>
      </c>
      <c r="S807" s="50">
        <v>0.2475</v>
      </c>
      <c r="T807" s="46">
        <v>0.2475</v>
      </c>
    </row>
    <row r="808" spans="16:20" x14ac:dyDescent="0.25">
      <c r="P808" s="18">
        <v>807</v>
      </c>
      <c r="Q808" s="50">
        <v>76.182900000000004</v>
      </c>
      <c r="R808" s="50">
        <v>0</v>
      </c>
      <c r="S808" s="50">
        <v>-1.6083000000000001</v>
      </c>
      <c r="T808" s="46">
        <v>-1.6083000000000001</v>
      </c>
    </row>
    <row r="809" spans="16:20" x14ac:dyDescent="0.25">
      <c r="P809" s="18">
        <v>808</v>
      </c>
      <c r="Q809" s="50">
        <v>101.70820000000001</v>
      </c>
      <c r="R809" s="50">
        <v>1.7081999999999999</v>
      </c>
      <c r="S809" s="50">
        <v>2.0808</v>
      </c>
      <c r="T809" s="46">
        <v>0.37269999999999998</v>
      </c>
    </row>
    <row r="810" spans="16:20" x14ac:dyDescent="0.25">
      <c r="P810" s="18">
        <v>809</v>
      </c>
      <c r="Q810" s="50">
        <v>86.302400000000006</v>
      </c>
      <c r="R810" s="50">
        <v>0</v>
      </c>
      <c r="S810" s="50">
        <v>-0.21809999999999999</v>
      </c>
      <c r="T810" s="46">
        <v>-0.21809999999999999</v>
      </c>
    </row>
    <row r="811" spans="16:20" x14ac:dyDescent="0.25">
      <c r="P811" s="18">
        <v>810</v>
      </c>
      <c r="Q811" s="50">
        <v>153.13229999999999</v>
      </c>
      <c r="R811" s="50">
        <v>53.132300000000001</v>
      </c>
      <c r="S811" s="50">
        <v>53.261099999999999</v>
      </c>
      <c r="T811" s="46">
        <v>0.1288</v>
      </c>
    </row>
    <row r="812" spans="16:20" x14ac:dyDescent="0.25">
      <c r="P812" s="18">
        <v>811</v>
      </c>
      <c r="Q812" s="50">
        <v>89.917299999999997</v>
      </c>
      <c r="R812" s="50">
        <v>0</v>
      </c>
      <c r="S812" s="50">
        <v>1.4360999999999999</v>
      </c>
      <c r="T812" s="46">
        <v>1.4360999999999999</v>
      </c>
    </row>
    <row r="813" spans="16:20" x14ac:dyDescent="0.25">
      <c r="P813" s="18">
        <v>812</v>
      </c>
      <c r="Q813" s="50">
        <v>137.18559999999999</v>
      </c>
      <c r="R813" s="50">
        <v>37.185600000000001</v>
      </c>
      <c r="S813" s="50">
        <v>38.965000000000003</v>
      </c>
      <c r="T813" s="46">
        <v>1.7794000000000001</v>
      </c>
    </row>
    <row r="814" spans="16:20" x14ac:dyDescent="0.25">
      <c r="P814" s="18">
        <v>813</v>
      </c>
      <c r="Q814" s="50">
        <v>69.761899999999997</v>
      </c>
      <c r="R814" s="50">
        <v>0</v>
      </c>
      <c r="S814" s="50">
        <v>0.2752</v>
      </c>
      <c r="T814" s="46">
        <v>0.2752</v>
      </c>
    </row>
    <row r="815" spans="16:20" x14ac:dyDescent="0.25">
      <c r="P815" s="18">
        <v>814</v>
      </c>
      <c r="Q815" s="50">
        <v>84.212999999999994</v>
      </c>
      <c r="R815" s="50">
        <v>0</v>
      </c>
      <c r="S815" s="50">
        <v>-3.6198999999999999</v>
      </c>
      <c r="T815" s="46">
        <v>-3.6198999999999999</v>
      </c>
    </row>
    <row r="816" spans="16:20" x14ac:dyDescent="0.25">
      <c r="P816" s="18">
        <v>815</v>
      </c>
      <c r="Q816" s="50">
        <v>86.863600000000005</v>
      </c>
      <c r="R816" s="50">
        <v>0</v>
      </c>
      <c r="S816" s="50">
        <v>-0.60560000000000003</v>
      </c>
      <c r="T816" s="46">
        <v>-0.60560000000000003</v>
      </c>
    </row>
    <row r="817" spans="16:20" x14ac:dyDescent="0.25">
      <c r="P817" s="18">
        <v>816</v>
      </c>
      <c r="Q817" s="50">
        <v>94.903099999999995</v>
      </c>
      <c r="R817" s="50">
        <v>0</v>
      </c>
      <c r="S817" s="50">
        <v>1.6578999999999999</v>
      </c>
      <c r="T817" s="46">
        <v>1.6578999999999999</v>
      </c>
    </row>
    <row r="818" spans="16:20" x14ac:dyDescent="0.25">
      <c r="P818" s="18">
        <v>817</v>
      </c>
      <c r="Q818" s="50">
        <v>70.367999999999995</v>
      </c>
      <c r="R818" s="50">
        <v>0</v>
      </c>
      <c r="S818" s="50">
        <v>1.1137999999999999</v>
      </c>
      <c r="T818" s="46">
        <v>1.1137999999999999</v>
      </c>
    </row>
    <row r="819" spans="16:20" x14ac:dyDescent="0.25">
      <c r="P819" s="18">
        <v>818</v>
      </c>
      <c r="Q819" s="50">
        <v>179.37950000000001</v>
      </c>
      <c r="R819" s="50">
        <v>79.379499999999993</v>
      </c>
      <c r="S819" s="50">
        <v>78.444599999999994</v>
      </c>
      <c r="T819" s="46">
        <v>-0.93489999999999995</v>
      </c>
    </row>
    <row r="820" spans="16:20" x14ac:dyDescent="0.25">
      <c r="P820" s="18">
        <v>819</v>
      </c>
      <c r="Q820" s="50">
        <v>148.04050000000001</v>
      </c>
      <c r="R820" s="50">
        <v>48.040500000000002</v>
      </c>
      <c r="S820" s="50">
        <v>46.96</v>
      </c>
      <c r="T820" s="46">
        <v>-1.0805</v>
      </c>
    </row>
    <row r="821" spans="16:20" x14ac:dyDescent="0.25">
      <c r="P821" s="18">
        <v>820</v>
      </c>
      <c r="Q821" s="50">
        <v>83.444500000000005</v>
      </c>
      <c r="R821" s="50">
        <v>0</v>
      </c>
      <c r="S821" s="50">
        <v>1.6209</v>
      </c>
      <c r="T821" s="46">
        <v>1.6209</v>
      </c>
    </row>
    <row r="822" spans="16:20" x14ac:dyDescent="0.25">
      <c r="P822" s="18">
        <v>821</v>
      </c>
      <c r="Q822" s="50">
        <v>66.036900000000003</v>
      </c>
      <c r="R822" s="50">
        <v>0</v>
      </c>
      <c r="S822" s="50">
        <v>-1.0753999999999999</v>
      </c>
      <c r="T822" s="46">
        <v>-1.0753999999999999</v>
      </c>
    </row>
    <row r="823" spans="16:20" x14ac:dyDescent="0.25">
      <c r="P823" s="18">
        <v>822</v>
      </c>
      <c r="Q823" s="50">
        <v>77.2637</v>
      </c>
      <c r="R823" s="50">
        <v>0</v>
      </c>
      <c r="S823" s="50">
        <v>1.1257999999999999</v>
      </c>
      <c r="T823" s="46">
        <v>1.1257999999999999</v>
      </c>
    </row>
    <row r="824" spans="16:20" x14ac:dyDescent="0.25">
      <c r="P824" s="18">
        <v>823</v>
      </c>
      <c r="Q824" s="50">
        <v>154.84909999999999</v>
      </c>
      <c r="R824" s="50">
        <v>54.8491</v>
      </c>
      <c r="S824" s="50">
        <v>54.097000000000001</v>
      </c>
      <c r="T824" s="46">
        <v>-0.75209999999999999</v>
      </c>
    </row>
    <row r="825" spans="16:20" x14ac:dyDescent="0.25">
      <c r="P825" s="18">
        <v>824</v>
      </c>
      <c r="Q825" s="50">
        <v>134.03749999999999</v>
      </c>
      <c r="R825" s="50">
        <v>34.037500000000001</v>
      </c>
      <c r="S825" s="50">
        <v>34.509700000000002</v>
      </c>
      <c r="T825" s="46">
        <v>0.47220000000000001</v>
      </c>
    </row>
    <row r="826" spans="16:20" x14ac:dyDescent="0.25">
      <c r="P826" s="18">
        <v>825</v>
      </c>
      <c r="Q826" s="50">
        <v>81.981700000000004</v>
      </c>
      <c r="R826" s="50">
        <v>0</v>
      </c>
      <c r="S826" s="50">
        <v>0.16039999999999999</v>
      </c>
      <c r="T826" s="46">
        <v>0.16039999999999999</v>
      </c>
    </row>
    <row r="827" spans="16:20" x14ac:dyDescent="0.25">
      <c r="P827" s="18">
        <v>826</v>
      </c>
      <c r="Q827" s="50">
        <v>56.029400000000003</v>
      </c>
      <c r="R827" s="50">
        <v>0</v>
      </c>
      <c r="S827" s="50">
        <v>1.3801000000000001</v>
      </c>
      <c r="T827" s="46">
        <v>1.3801000000000001</v>
      </c>
    </row>
    <row r="828" spans="16:20" x14ac:dyDescent="0.25">
      <c r="P828" s="18">
        <v>827</v>
      </c>
      <c r="Q828" s="50">
        <v>118.50060000000001</v>
      </c>
      <c r="R828" s="50">
        <v>18.500599999999999</v>
      </c>
      <c r="S828" s="50">
        <v>19.3566</v>
      </c>
      <c r="T828" s="46">
        <v>0.85599999999999998</v>
      </c>
    </row>
    <row r="829" spans="16:20" x14ac:dyDescent="0.25">
      <c r="P829" s="18">
        <v>828</v>
      </c>
      <c r="Q829" s="50">
        <v>78.421899999999994</v>
      </c>
      <c r="R829" s="50">
        <v>0</v>
      </c>
      <c r="S829" s="50">
        <v>-2.9064999999999999</v>
      </c>
      <c r="T829" s="46">
        <v>-2.9064999999999999</v>
      </c>
    </row>
    <row r="830" spans="16:20" x14ac:dyDescent="0.25">
      <c r="P830" s="18">
        <v>829</v>
      </c>
      <c r="Q830" s="50">
        <v>151.27979999999999</v>
      </c>
      <c r="R830" s="50">
        <v>51.279899999999998</v>
      </c>
      <c r="S830" s="50">
        <v>52.7301</v>
      </c>
      <c r="T830" s="46">
        <v>1.4501999999999999</v>
      </c>
    </row>
    <row r="831" spans="16:20" x14ac:dyDescent="0.25">
      <c r="P831" s="18">
        <v>830</v>
      </c>
      <c r="Q831" s="50">
        <v>62.181899999999999</v>
      </c>
      <c r="R831" s="50">
        <v>0</v>
      </c>
      <c r="S831" s="50">
        <v>-4.5438000000000001</v>
      </c>
      <c r="T831" s="46">
        <v>-4.5438000000000001</v>
      </c>
    </row>
    <row r="832" spans="16:20" x14ac:dyDescent="0.25">
      <c r="P832" s="18">
        <v>831</v>
      </c>
      <c r="Q832" s="50">
        <v>161.91640000000001</v>
      </c>
      <c r="R832" s="50">
        <v>61.916400000000003</v>
      </c>
      <c r="S832" s="50">
        <v>62.168599999999998</v>
      </c>
      <c r="T832" s="46">
        <v>0.25219999999999998</v>
      </c>
    </row>
    <row r="833" spans="16:20" x14ac:dyDescent="0.25">
      <c r="P833" s="18">
        <v>832</v>
      </c>
      <c r="Q833" s="50">
        <v>81.358500000000006</v>
      </c>
      <c r="R833" s="50">
        <v>0</v>
      </c>
      <c r="S833" s="50">
        <v>0.80200000000000005</v>
      </c>
      <c r="T833" s="46">
        <v>0.80200000000000005</v>
      </c>
    </row>
    <row r="834" spans="16:20" x14ac:dyDescent="0.25">
      <c r="P834" s="18">
        <v>833</v>
      </c>
      <c r="Q834" s="50">
        <v>151.79400000000001</v>
      </c>
      <c r="R834" s="50">
        <v>51.793999999999997</v>
      </c>
      <c r="S834" s="50">
        <v>51.380800000000001</v>
      </c>
      <c r="T834" s="46">
        <v>-0.41320000000000001</v>
      </c>
    </row>
    <row r="835" spans="16:20" x14ac:dyDescent="0.25">
      <c r="P835" s="18">
        <v>834</v>
      </c>
      <c r="Q835" s="50">
        <v>107.673</v>
      </c>
      <c r="R835" s="50">
        <v>7.6730999999999998</v>
      </c>
      <c r="S835" s="50">
        <v>7.5660999999999996</v>
      </c>
      <c r="T835" s="46">
        <v>-0.1069</v>
      </c>
    </row>
    <row r="836" spans="16:20" x14ac:dyDescent="0.25">
      <c r="P836" s="18">
        <v>835</v>
      </c>
      <c r="Q836" s="50">
        <v>73.513999999999996</v>
      </c>
      <c r="R836" s="50">
        <v>0</v>
      </c>
      <c r="S836" s="50">
        <v>1.6927000000000001</v>
      </c>
      <c r="T836" s="46">
        <v>1.6927000000000001</v>
      </c>
    </row>
    <row r="837" spans="16:20" x14ac:dyDescent="0.25">
      <c r="P837" s="18">
        <v>836</v>
      </c>
      <c r="Q837" s="50">
        <v>121.70659999999999</v>
      </c>
      <c r="R837" s="50">
        <v>21.706600000000002</v>
      </c>
      <c r="S837" s="50">
        <v>22.718800000000002</v>
      </c>
      <c r="T837" s="46">
        <v>1.0122</v>
      </c>
    </row>
    <row r="838" spans="16:20" x14ac:dyDescent="0.25">
      <c r="P838" s="18">
        <v>837</v>
      </c>
      <c r="Q838" s="50">
        <v>81.320599999999999</v>
      </c>
      <c r="R838" s="50">
        <v>0</v>
      </c>
      <c r="S838" s="50">
        <v>0.29060000000000002</v>
      </c>
      <c r="T838" s="46">
        <v>0.29060000000000002</v>
      </c>
    </row>
    <row r="839" spans="16:20" x14ac:dyDescent="0.25">
      <c r="P839" s="18">
        <v>838</v>
      </c>
      <c r="Q839" s="50">
        <v>78.5184</v>
      </c>
      <c r="R839" s="50">
        <v>0</v>
      </c>
      <c r="S839" s="50">
        <v>-1.4285000000000001</v>
      </c>
      <c r="T839" s="46">
        <v>-1.4285000000000001</v>
      </c>
    </row>
    <row r="840" spans="16:20" x14ac:dyDescent="0.25">
      <c r="P840" s="18">
        <v>839</v>
      </c>
      <c r="Q840" s="50">
        <v>111.8554</v>
      </c>
      <c r="R840" s="50">
        <v>11.855399999999999</v>
      </c>
      <c r="S840" s="50">
        <v>13.607699999999999</v>
      </c>
      <c r="T840" s="46">
        <v>1.7523</v>
      </c>
    </row>
    <row r="841" spans="16:20" x14ac:dyDescent="0.25">
      <c r="P841" s="18">
        <v>840</v>
      </c>
      <c r="Q841" s="50">
        <v>99.023600000000002</v>
      </c>
      <c r="R841" s="50">
        <v>0</v>
      </c>
      <c r="S841" s="50">
        <v>3.6987000000000001</v>
      </c>
      <c r="T841" s="46">
        <v>3.6987000000000001</v>
      </c>
    </row>
    <row r="842" spans="16:20" x14ac:dyDescent="0.25">
      <c r="P842" s="18">
        <v>841</v>
      </c>
      <c r="Q842" s="50">
        <v>116.9169</v>
      </c>
      <c r="R842" s="50">
        <v>16.916899999999998</v>
      </c>
      <c r="S842" s="50">
        <v>16.2865</v>
      </c>
      <c r="T842" s="46">
        <v>-0.63039999999999996</v>
      </c>
    </row>
    <row r="843" spans="16:20" x14ac:dyDescent="0.25">
      <c r="P843" s="18">
        <v>842</v>
      </c>
      <c r="Q843" s="50">
        <v>89.402000000000001</v>
      </c>
      <c r="R843" s="50">
        <v>0</v>
      </c>
      <c r="S843" s="50">
        <v>-1.3431</v>
      </c>
      <c r="T843" s="46">
        <v>-1.3431</v>
      </c>
    </row>
    <row r="844" spans="16:20" x14ac:dyDescent="0.25">
      <c r="P844" s="18">
        <v>843</v>
      </c>
      <c r="Q844" s="50">
        <v>119.5446</v>
      </c>
      <c r="R844" s="50">
        <v>19.544599999999999</v>
      </c>
      <c r="S844" s="50">
        <v>19.331800000000001</v>
      </c>
      <c r="T844" s="46">
        <v>-0.21279999999999999</v>
      </c>
    </row>
    <row r="845" spans="16:20" x14ac:dyDescent="0.25">
      <c r="P845" s="18">
        <v>844</v>
      </c>
      <c r="Q845" s="50">
        <v>130.2328</v>
      </c>
      <c r="R845" s="50">
        <v>30.232800000000001</v>
      </c>
      <c r="S845" s="50">
        <v>30.3445</v>
      </c>
      <c r="T845" s="46">
        <v>0.11169999999999999</v>
      </c>
    </row>
    <row r="846" spans="16:20" x14ac:dyDescent="0.25">
      <c r="P846" s="18">
        <v>845</v>
      </c>
      <c r="Q846" s="50">
        <v>51.962899999999998</v>
      </c>
      <c r="R846" s="50">
        <v>0</v>
      </c>
      <c r="S846" s="50">
        <v>-1.5350999999999999</v>
      </c>
      <c r="T846" s="46">
        <v>-1.5350999999999999</v>
      </c>
    </row>
    <row r="847" spans="16:20" x14ac:dyDescent="0.25">
      <c r="P847" s="18">
        <v>846</v>
      </c>
      <c r="Q847" s="50">
        <v>66.620199999999997</v>
      </c>
      <c r="R847" s="50">
        <v>0</v>
      </c>
      <c r="S847" s="50">
        <v>0.58850000000000002</v>
      </c>
      <c r="T847" s="46">
        <v>0.58850000000000002</v>
      </c>
    </row>
    <row r="848" spans="16:20" x14ac:dyDescent="0.25">
      <c r="P848" s="18">
        <v>847</v>
      </c>
      <c r="Q848" s="50">
        <v>142.24279999999999</v>
      </c>
      <c r="R848" s="50">
        <v>42.242800000000003</v>
      </c>
      <c r="S848" s="50">
        <v>41.511800000000001</v>
      </c>
      <c r="T848" s="46">
        <v>-0.73109999999999997</v>
      </c>
    </row>
    <row r="849" spans="16:20" x14ac:dyDescent="0.25">
      <c r="P849" s="18">
        <v>848</v>
      </c>
      <c r="Q849" s="50">
        <v>65.282899999999998</v>
      </c>
      <c r="R849" s="50">
        <v>0</v>
      </c>
      <c r="S849" s="50">
        <v>0.1138</v>
      </c>
      <c r="T849" s="46">
        <v>0.1138</v>
      </c>
    </row>
    <row r="850" spans="16:20" x14ac:dyDescent="0.25">
      <c r="P850" s="18">
        <v>849</v>
      </c>
      <c r="Q850" s="50">
        <v>75.661600000000007</v>
      </c>
      <c r="R850" s="50">
        <v>0</v>
      </c>
      <c r="S850" s="50">
        <v>-4.1867000000000001</v>
      </c>
      <c r="T850" s="46">
        <v>-4.1867000000000001</v>
      </c>
    </row>
    <row r="851" spans="16:20" x14ac:dyDescent="0.25">
      <c r="P851" s="18">
        <v>850</v>
      </c>
      <c r="Q851" s="50">
        <v>91.665700000000001</v>
      </c>
      <c r="R851" s="50">
        <v>0</v>
      </c>
      <c r="S851" s="50">
        <v>3.7473999999999998</v>
      </c>
      <c r="T851" s="46">
        <v>3.7473999999999998</v>
      </c>
    </row>
    <row r="852" spans="16:20" x14ac:dyDescent="0.25">
      <c r="P852" s="18">
        <v>851</v>
      </c>
      <c r="Q852" s="50">
        <v>116.5839</v>
      </c>
      <c r="R852" s="50">
        <v>16.5839</v>
      </c>
      <c r="S852" s="50">
        <v>15.2934</v>
      </c>
      <c r="T852" s="46">
        <v>-1.2905</v>
      </c>
    </row>
    <row r="853" spans="16:20" x14ac:dyDescent="0.25">
      <c r="P853" s="18">
        <v>852</v>
      </c>
      <c r="Q853" s="50">
        <v>61.512700000000002</v>
      </c>
      <c r="R853" s="50">
        <v>0</v>
      </c>
      <c r="S853" s="50">
        <v>-0.18390000000000001</v>
      </c>
      <c r="T853" s="46">
        <v>-0.18390000000000001</v>
      </c>
    </row>
    <row r="854" spans="16:20" x14ac:dyDescent="0.25">
      <c r="P854" s="18">
        <v>853</v>
      </c>
      <c r="Q854" s="50">
        <v>123.7816</v>
      </c>
      <c r="R854" s="50">
        <v>23.781600000000001</v>
      </c>
      <c r="S854" s="50">
        <v>23.5182</v>
      </c>
      <c r="T854" s="46">
        <v>-0.26340000000000002</v>
      </c>
    </row>
    <row r="855" spans="16:20" x14ac:dyDescent="0.25">
      <c r="P855" s="18">
        <v>854</v>
      </c>
      <c r="Q855" s="50">
        <v>98.635999999999996</v>
      </c>
      <c r="R855" s="50">
        <v>0</v>
      </c>
      <c r="S855" s="50">
        <v>1.2849999999999999</v>
      </c>
      <c r="T855" s="46">
        <v>1.2849999999999999</v>
      </c>
    </row>
    <row r="856" spans="16:20" x14ac:dyDescent="0.25">
      <c r="P856" s="18">
        <v>855</v>
      </c>
      <c r="Q856" s="50">
        <v>69.776499999999999</v>
      </c>
      <c r="R856" s="50">
        <v>0</v>
      </c>
      <c r="S856" s="50">
        <v>0.60560000000000003</v>
      </c>
      <c r="T856" s="46">
        <v>0.60560000000000003</v>
      </c>
    </row>
    <row r="857" spans="16:20" x14ac:dyDescent="0.25">
      <c r="P857" s="18">
        <v>856</v>
      </c>
      <c r="Q857" s="50">
        <v>100.1859</v>
      </c>
      <c r="R857" s="50">
        <v>0.18590000000000001</v>
      </c>
      <c r="S857" s="50">
        <v>1.4489000000000001</v>
      </c>
      <c r="T857" s="46">
        <v>1.2629999999999999</v>
      </c>
    </row>
    <row r="858" spans="16:20" x14ac:dyDescent="0.25">
      <c r="P858" s="18">
        <v>857</v>
      </c>
      <c r="Q858" s="50">
        <v>122.7608</v>
      </c>
      <c r="R858" s="50">
        <v>22.7608</v>
      </c>
      <c r="S858" s="50">
        <v>18.037800000000001</v>
      </c>
      <c r="T858" s="46">
        <v>-4.7229999999999999</v>
      </c>
    </row>
    <row r="859" spans="16:20" x14ac:dyDescent="0.25">
      <c r="P859" s="18">
        <v>858</v>
      </c>
      <c r="Q859" s="50">
        <v>123.18</v>
      </c>
      <c r="R859" s="50">
        <v>23.18</v>
      </c>
      <c r="S859" s="50">
        <v>25.272300000000001</v>
      </c>
      <c r="T859" s="46">
        <v>2.0922999999999998</v>
      </c>
    </row>
    <row r="860" spans="16:20" x14ac:dyDescent="0.25">
      <c r="P860" s="18">
        <v>859</v>
      </c>
      <c r="Q860" s="50">
        <v>108.7658</v>
      </c>
      <c r="R860" s="50">
        <v>8.7658000000000005</v>
      </c>
      <c r="S860" s="50">
        <v>9.8839000000000006</v>
      </c>
      <c r="T860" s="46">
        <v>1.1181000000000001</v>
      </c>
    </row>
    <row r="861" spans="16:20" x14ac:dyDescent="0.25">
      <c r="P861" s="18">
        <v>860</v>
      </c>
      <c r="Q861" s="50">
        <v>120.26300000000001</v>
      </c>
      <c r="R861" s="50">
        <v>20.263000000000002</v>
      </c>
      <c r="S861" s="50">
        <v>23.179099999999998</v>
      </c>
      <c r="T861" s="46">
        <v>2.9161000000000001</v>
      </c>
    </row>
    <row r="862" spans="16:20" x14ac:dyDescent="0.25">
      <c r="P862" s="18">
        <v>861</v>
      </c>
      <c r="Q862" s="50">
        <v>77.31</v>
      </c>
      <c r="R862" s="50">
        <v>0</v>
      </c>
      <c r="S862" s="50">
        <v>-1.9346000000000001</v>
      </c>
      <c r="T862" s="46">
        <v>-1.9346000000000001</v>
      </c>
    </row>
    <row r="863" spans="16:20" x14ac:dyDescent="0.25">
      <c r="P863" s="18">
        <v>862</v>
      </c>
      <c r="Q863" s="50">
        <v>75.620400000000004</v>
      </c>
      <c r="R863" s="50">
        <v>0</v>
      </c>
      <c r="S863" s="50">
        <v>1.3653</v>
      </c>
      <c r="T863" s="46">
        <v>1.3653</v>
      </c>
    </row>
    <row r="864" spans="16:20" x14ac:dyDescent="0.25">
      <c r="P864" s="18">
        <v>863</v>
      </c>
      <c r="Q864" s="50">
        <v>60.596200000000003</v>
      </c>
      <c r="R864" s="50">
        <v>0</v>
      </c>
      <c r="S864" s="50">
        <v>-0.30209999999999998</v>
      </c>
      <c r="T864" s="46">
        <v>-0.30209999999999998</v>
      </c>
    </row>
    <row r="865" spans="16:20" x14ac:dyDescent="0.25">
      <c r="P865" s="18">
        <v>864</v>
      </c>
      <c r="Q865" s="50">
        <v>137.08000000000001</v>
      </c>
      <c r="R865" s="50">
        <v>37.08</v>
      </c>
      <c r="S865" s="50">
        <v>34.5518</v>
      </c>
      <c r="T865" s="46">
        <v>-2.5282</v>
      </c>
    </row>
    <row r="866" spans="16:20" x14ac:dyDescent="0.25">
      <c r="P866" s="18">
        <v>865</v>
      </c>
      <c r="Q866" s="50">
        <v>93.066800000000001</v>
      </c>
      <c r="R866" s="50">
        <v>0</v>
      </c>
      <c r="S866" s="50">
        <v>-2.944</v>
      </c>
      <c r="T866" s="46">
        <v>-2.944</v>
      </c>
    </row>
    <row r="867" spans="16:20" x14ac:dyDescent="0.25">
      <c r="P867" s="18">
        <v>866</v>
      </c>
      <c r="Q867" s="50">
        <v>162.8477</v>
      </c>
      <c r="R867" s="50">
        <v>62.847700000000003</v>
      </c>
      <c r="S867" s="50">
        <v>58.337000000000003</v>
      </c>
      <c r="T867" s="46">
        <v>-4.5106999999999999</v>
      </c>
    </row>
    <row r="868" spans="16:20" x14ac:dyDescent="0.25">
      <c r="P868" s="18">
        <v>867</v>
      </c>
      <c r="Q868" s="50">
        <v>118.7727</v>
      </c>
      <c r="R868" s="50">
        <v>18.7727</v>
      </c>
      <c r="S868" s="50">
        <v>20.878799999999998</v>
      </c>
      <c r="T868" s="46">
        <v>2.1061999999999999</v>
      </c>
    </row>
    <row r="869" spans="16:20" x14ac:dyDescent="0.25">
      <c r="P869" s="18">
        <v>868</v>
      </c>
      <c r="Q869" s="50">
        <v>66.882499999999993</v>
      </c>
      <c r="R869" s="50">
        <v>0</v>
      </c>
      <c r="S869" s="50">
        <v>-2.1030000000000002</v>
      </c>
      <c r="T869" s="46">
        <v>-2.1030000000000002</v>
      </c>
    </row>
    <row r="870" spans="16:20" x14ac:dyDescent="0.25">
      <c r="P870" s="18">
        <v>869</v>
      </c>
      <c r="Q870" s="50">
        <v>122.3254</v>
      </c>
      <c r="R870" s="50">
        <v>22.325399999999998</v>
      </c>
      <c r="S870" s="50">
        <v>21.163499999999999</v>
      </c>
      <c r="T870" s="46">
        <v>-1.1618999999999999</v>
      </c>
    </row>
    <row r="871" spans="16:20" x14ac:dyDescent="0.25">
      <c r="P871" s="18">
        <v>870</v>
      </c>
      <c r="Q871" s="50">
        <v>99.913499999999999</v>
      </c>
      <c r="R871" s="50">
        <v>0</v>
      </c>
      <c r="S871" s="50">
        <v>4.1329000000000002</v>
      </c>
      <c r="T871" s="46">
        <v>4.1327999999999996</v>
      </c>
    </row>
    <row r="872" spans="16:20" x14ac:dyDescent="0.25">
      <c r="P872" s="18">
        <v>871</v>
      </c>
      <c r="Q872" s="50">
        <v>128.03219999999999</v>
      </c>
      <c r="R872" s="50">
        <v>28.0322</v>
      </c>
      <c r="S872" s="50">
        <v>28.968599999999999</v>
      </c>
      <c r="T872" s="46">
        <v>0.93640000000000001</v>
      </c>
    </row>
    <row r="873" spans="16:20" x14ac:dyDescent="0.25">
      <c r="P873" s="18">
        <v>872</v>
      </c>
      <c r="Q873" s="50">
        <v>104.5022</v>
      </c>
      <c r="R873" s="50">
        <v>4.5022000000000002</v>
      </c>
      <c r="S873" s="50">
        <v>4.4318999999999997</v>
      </c>
      <c r="T873" s="46">
        <v>-7.0300000000000001E-2</v>
      </c>
    </row>
    <row r="874" spans="16:20" x14ac:dyDescent="0.25">
      <c r="P874" s="18">
        <v>873</v>
      </c>
      <c r="Q874" s="50">
        <v>70.454099999999997</v>
      </c>
      <c r="R874" s="50">
        <v>0</v>
      </c>
      <c r="S874" s="50">
        <v>-1.0721000000000001</v>
      </c>
      <c r="T874" s="46">
        <v>-1.0721000000000001</v>
      </c>
    </row>
    <row r="875" spans="16:20" x14ac:dyDescent="0.25">
      <c r="P875" s="18">
        <v>874</v>
      </c>
      <c r="Q875" s="50">
        <v>83.805400000000006</v>
      </c>
      <c r="R875" s="50">
        <v>0</v>
      </c>
      <c r="S875" s="50">
        <v>-5.16E-2</v>
      </c>
      <c r="T875" s="46">
        <v>-5.16E-2</v>
      </c>
    </row>
    <row r="876" spans="16:20" x14ac:dyDescent="0.25">
      <c r="P876" s="18">
        <v>875</v>
      </c>
      <c r="Q876" s="50">
        <v>89.141400000000004</v>
      </c>
      <c r="R876" s="50">
        <v>0</v>
      </c>
      <c r="S876" s="50">
        <v>0.58699999999999997</v>
      </c>
      <c r="T876" s="46">
        <v>0.58699999999999997</v>
      </c>
    </row>
    <row r="877" spans="16:20" x14ac:dyDescent="0.25">
      <c r="P877" s="18">
        <v>876</v>
      </c>
      <c r="Q877" s="50">
        <v>104.3921</v>
      </c>
      <c r="R877" s="50">
        <v>4.3921000000000001</v>
      </c>
      <c r="S877" s="50">
        <v>7.1407999999999996</v>
      </c>
      <c r="T877" s="46">
        <v>2.7486999999999999</v>
      </c>
    </row>
    <row r="878" spans="16:20" x14ac:dyDescent="0.25">
      <c r="P878" s="18">
        <v>877</v>
      </c>
      <c r="Q878" s="50">
        <v>108.81699999999999</v>
      </c>
      <c r="R878" s="50">
        <v>8.8170000000000002</v>
      </c>
      <c r="S878" s="50">
        <v>7.0774999999999997</v>
      </c>
      <c r="T878" s="46">
        <v>-1.7395</v>
      </c>
    </row>
    <row r="879" spans="16:20" x14ac:dyDescent="0.25">
      <c r="P879" s="18">
        <v>878</v>
      </c>
      <c r="Q879" s="50">
        <v>64.534400000000005</v>
      </c>
      <c r="R879" s="50">
        <v>0</v>
      </c>
      <c r="S879" s="50">
        <v>-0.18729999999999999</v>
      </c>
      <c r="T879" s="46">
        <v>-0.18729999999999999</v>
      </c>
    </row>
    <row r="880" spans="16:20" x14ac:dyDescent="0.25">
      <c r="P880" s="18">
        <v>879</v>
      </c>
      <c r="Q880" s="50">
        <v>185.8038</v>
      </c>
      <c r="R880" s="50">
        <v>85.803799999999995</v>
      </c>
      <c r="S880" s="50">
        <v>87.449100000000001</v>
      </c>
      <c r="T880" s="46">
        <v>1.6453</v>
      </c>
    </row>
    <row r="881" spans="16:20" x14ac:dyDescent="0.25">
      <c r="P881" s="18">
        <v>880</v>
      </c>
      <c r="Q881" s="50">
        <v>74.331999999999994</v>
      </c>
      <c r="R881" s="50">
        <v>0</v>
      </c>
      <c r="S881" s="50">
        <v>-0.42280000000000001</v>
      </c>
      <c r="T881" s="46">
        <v>-0.42280000000000001</v>
      </c>
    </row>
    <row r="882" spans="16:20" x14ac:dyDescent="0.25">
      <c r="P882" s="18">
        <v>881</v>
      </c>
      <c r="Q882" s="50">
        <v>148.69990000000001</v>
      </c>
      <c r="R882" s="50">
        <v>48.6999</v>
      </c>
      <c r="S882" s="50">
        <v>49.081299999999999</v>
      </c>
      <c r="T882" s="46">
        <v>0.38140000000000002</v>
      </c>
    </row>
    <row r="883" spans="16:20" x14ac:dyDescent="0.25">
      <c r="P883" s="18">
        <v>882</v>
      </c>
      <c r="Q883" s="50">
        <v>119.038</v>
      </c>
      <c r="R883" s="50">
        <v>19.038</v>
      </c>
      <c r="S883" s="50">
        <v>17.0764</v>
      </c>
      <c r="T883" s="46">
        <v>-1.9616</v>
      </c>
    </row>
    <row r="884" spans="16:20" x14ac:dyDescent="0.25">
      <c r="P884" s="18">
        <v>883</v>
      </c>
      <c r="Q884" s="50">
        <v>118.69670000000001</v>
      </c>
      <c r="R884" s="50">
        <v>18.6967</v>
      </c>
      <c r="S884" s="50">
        <v>19.2666</v>
      </c>
      <c r="T884" s="46">
        <v>0.56989999999999996</v>
      </c>
    </row>
    <row r="885" spans="16:20" x14ac:dyDescent="0.25">
      <c r="P885" s="18">
        <v>884</v>
      </c>
      <c r="Q885" s="50">
        <v>158.5273</v>
      </c>
      <c r="R885" s="50">
        <v>58.527299999999997</v>
      </c>
      <c r="S885" s="50">
        <v>59.520200000000003</v>
      </c>
      <c r="T885" s="46">
        <v>0.99280000000000002</v>
      </c>
    </row>
    <row r="886" spans="16:20" x14ac:dyDescent="0.25">
      <c r="P886" s="18">
        <v>885</v>
      </c>
      <c r="Q886" s="50">
        <v>74.382199999999997</v>
      </c>
      <c r="R886" s="50">
        <v>0</v>
      </c>
      <c r="S886" s="50">
        <v>-1.5693999999999999</v>
      </c>
      <c r="T886" s="46">
        <v>-1.5693999999999999</v>
      </c>
    </row>
    <row r="887" spans="16:20" x14ac:dyDescent="0.25">
      <c r="P887" s="18">
        <v>886</v>
      </c>
      <c r="Q887" s="50">
        <v>118.12</v>
      </c>
      <c r="R887" s="50">
        <v>18.12</v>
      </c>
      <c r="S887" s="50">
        <v>17.427499999999998</v>
      </c>
      <c r="T887" s="46">
        <v>-0.69259999999999999</v>
      </c>
    </row>
    <row r="888" spans="16:20" x14ac:dyDescent="0.25">
      <c r="P888" s="18">
        <v>887</v>
      </c>
      <c r="Q888" s="50">
        <v>138.89150000000001</v>
      </c>
      <c r="R888" s="50">
        <v>38.891500000000001</v>
      </c>
      <c r="S888" s="50">
        <v>37.191899999999997</v>
      </c>
      <c r="T888" s="46">
        <v>-1.6996</v>
      </c>
    </row>
    <row r="889" spans="16:20" x14ac:dyDescent="0.25">
      <c r="P889" s="18">
        <v>888</v>
      </c>
      <c r="Q889" s="50">
        <v>84.892200000000003</v>
      </c>
      <c r="R889" s="50">
        <v>0</v>
      </c>
      <c r="S889" s="50">
        <v>1.9389000000000001</v>
      </c>
      <c r="T889" s="46">
        <v>1.9389000000000001</v>
      </c>
    </row>
    <row r="890" spans="16:20" x14ac:dyDescent="0.25">
      <c r="P890" s="18">
        <v>889</v>
      </c>
      <c r="Q890" s="50">
        <v>62.195300000000003</v>
      </c>
      <c r="R890" s="50">
        <v>0</v>
      </c>
      <c r="S890" s="50">
        <v>-3.3761999999999999</v>
      </c>
      <c r="T890" s="46">
        <v>-3.3761999999999999</v>
      </c>
    </row>
    <row r="891" spans="16:20" x14ac:dyDescent="0.25">
      <c r="P891" s="18">
        <v>890</v>
      </c>
      <c r="Q891" s="50">
        <v>104.3981</v>
      </c>
      <c r="R891" s="50">
        <v>4.3981000000000003</v>
      </c>
      <c r="S891" s="50">
        <v>6.8765999999999998</v>
      </c>
      <c r="T891" s="46">
        <v>2.4784000000000002</v>
      </c>
    </row>
    <row r="892" spans="16:20" x14ac:dyDescent="0.25">
      <c r="P892" s="18">
        <v>891</v>
      </c>
      <c r="Q892" s="50">
        <v>153.45590000000001</v>
      </c>
      <c r="R892" s="50">
        <v>53.4559</v>
      </c>
      <c r="S892" s="50">
        <v>51.243400000000001</v>
      </c>
      <c r="T892" s="46">
        <v>-2.2124000000000001</v>
      </c>
    </row>
    <row r="893" spans="16:20" x14ac:dyDescent="0.25">
      <c r="P893" s="18">
        <v>892</v>
      </c>
      <c r="Q893" s="50">
        <v>74.300799999999995</v>
      </c>
      <c r="R893" s="50">
        <v>0</v>
      </c>
      <c r="S893" s="50">
        <v>1.5649</v>
      </c>
      <c r="T893" s="46">
        <v>1.5649</v>
      </c>
    </row>
    <row r="894" spans="16:20" x14ac:dyDescent="0.25">
      <c r="P894" s="18">
        <v>893</v>
      </c>
      <c r="Q894" s="50">
        <v>88.926900000000003</v>
      </c>
      <c r="R894" s="50">
        <v>0</v>
      </c>
      <c r="S894" s="50">
        <v>1.7798</v>
      </c>
      <c r="T894" s="46">
        <v>1.7798</v>
      </c>
    </row>
    <row r="895" spans="16:20" x14ac:dyDescent="0.25">
      <c r="P895" s="18">
        <v>894</v>
      </c>
      <c r="Q895" s="50">
        <v>121.181</v>
      </c>
      <c r="R895" s="50">
        <v>21.181000000000001</v>
      </c>
      <c r="S895" s="50">
        <v>21.428000000000001</v>
      </c>
      <c r="T895" s="46">
        <v>0.24690000000000001</v>
      </c>
    </row>
    <row r="896" spans="16:20" x14ac:dyDescent="0.25">
      <c r="P896" s="18">
        <v>895</v>
      </c>
      <c r="Q896" s="50">
        <v>146.70269999999999</v>
      </c>
      <c r="R896" s="50">
        <v>46.7027</v>
      </c>
      <c r="S896" s="50">
        <v>48.379300000000001</v>
      </c>
      <c r="T896" s="46">
        <v>1.6766000000000001</v>
      </c>
    </row>
    <row r="897" spans="16:20" x14ac:dyDescent="0.25">
      <c r="P897" s="18">
        <v>896</v>
      </c>
      <c r="Q897" s="50">
        <v>152.7473</v>
      </c>
      <c r="R897" s="50">
        <v>52.747399999999999</v>
      </c>
      <c r="S897" s="50">
        <v>55.143500000000003</v>
      </c>
      <c r="T897" s="46">
        <v>2.3961000000000001</v>
      </c>
    </row>
    <row r="898" spans="16:20" x14ac:dyDescent="0.25">
      <c r="P898" s="18">
        <v>897</v>
      </c>
      <c r="Q898" s="50">
        <v>114.6641</v>
      </c>
      <c r="R898" s="50">
        <v>14.664099999999999</v>
      </c>
      <c r="S898" s="50">
        <v>9.1961999999999993</v>
      </c>
      <c r="T898" s="46">
        <v>-5.4679000000000002</v>
      </c>
    </row>
    <row r="899" spans="16:20" x14ac:dyDescent="0.25">
      <c r="P899" s="18">
        <v>898</v>
      </c>
      <c r="Q899" s="50">
        <v>120.96850000000001</v>
      </c>
      <c r="R899" s="50">
        <v>20.968499999999999</v>
      </c>
      <c r="S899" s="50">
        <v>19.688099999999999</v>
      </c>
      <c r="T899" s="46">
        <v>-1.2804</v>
      </c>
    </row>
    <row r="900" spans="16:20" x14ac:dyDescent="0.25">
      <c r="P900" s="18">
        <v>899</v>
      </c>
      <c r="Q900" s="50">
        <v>77.383700000000005</v>
      </c>
      <c r="R900" s="50">
        <v>0</v>
      </c>
      <c r="S900" s="50">
        <v>-2.6128</v>
      </c>
      <c r="T900" s="46">
        <v>-2.6128</v>
      </c>
    </row>
    <row r="901" spans="16:20" x14ac:dyDescent="0.25">
      <c r="P901" s="18">
        <v>900</v>
      </c>
      <c r="Q901" s="50">
        <v>72.169399999999996</v>
      </c>
      <c r="R901" s="50">
        <v>0</v>
      </c>
      <c r="S901" s="50">
        <v>0.10100000000000001</v>
      </c>
      <c r="T901" s="46">
        <v>0.10100000000000001</v>
      </c>
    </row>
    <row r="902" spans="16:20" x14ac:dyDescent="0.25">
      <c r="P902" s="18">
        <v>901</v>
      </c>
      <c r="Q902" s="50">
        <v>52.821599999999997</v>
      </c>
      <c r="R902" s="50">
        <v>0</v>
      </c>
      <c r="S902" s="50">
        <v>-2.5205000000000002</v>
      </c>
      <c r="T902" s="46">
        <v>-2.5205000000000002</v>
      </c>
    </row>
    <row r="903" spans="16:20" x14ac:dyDescent="0.25">
      <c r="P903" s="18">
        <v>902</v>
      </c>
      <c r="Q903" s="50">
        <v>82.487200000000001</v>
      </c>
      <c r="R903" s="50">
        <v>0</v>
      </c>
      <c r="S903" s="50">
        <v>2.6297000000000001</v>
      </c>
      <c r="T903" s="46">
        <v>2.6297000000000001</v>
      </c>
    </row>
    <row r="904" spans="16:20" x14ac:dyDescent="0.25">
      <c r="P904" s="18">
        <v>903</v>
      </c>
      <c r="Q904" s="50">
        <v>146.49969999999999</v>
      </c>
      <c r="R904" s="50">
        <v>46.499699999999997</v>
      </c>
      <c r="S904" s="50">
        <v>45.4343</v>
      </c>
      <c r="T904" s="46">
        <v>-1.0654999999999999</v>
      </c>
    </row>
    <row r="905" spans="16:20" x14ac:dyDescent="0.25">
      <c r="P905" s="18">
        <v>904</v>
      </c>
      <c r="Q905" s="50">
        <v>96.354399999999998</v>
      </c>
      <c r="R905" s="50">
        <v>0</v>
      </c>
      <c r="S905" s="50">
        <v>-3.62</v>
      </c>
      <c r="T905" s="46">
        <v>-3.62</v>
      </c>
    </row>
    <row r="906" spans="16:20" x14ac:dyDescent="0.25">
      <c r="P906" s="18">
        <v>905</v>
      </c>
      <c r="Q906" s="50">
        <v>130.2201</v>
      </c>
      <c r="R906" s="50">
        <v>30.220099999999999</v>
      </c>
      <c r="S906" s="50">
        <v>30.6251</v>
      </c>
      <c r="T906" s="46">
        <v>0.40500000000000003</v>
      </c>
    </row>
    <row r="907" spans="16:20" x14ac:dyDescent="0.25">
      <c r="P907" s="18">
        <v>906</v>
      </c>
      <c r="Q907" s="50">
        <v>104.19289999999999</v>
      </c>
      <c r="R907" s="50">
        <v>4.1928999999999998</v>
      </c>
      <c r="S907" s="50">
        <v>7.3011999999999997</v>
      </c>
      <c r="T907" s="46">
        <v>3.1082999999999998</v>
      </c>
    </row>
    <row r="908" spans="16:20" x14ac:dyDescent="0.25">
      <c r="P908" s="18">
        <v>907</v>
      </c>
      <c r="Q908" s="50">
        <v>100.72750000000001</v>
      </c>
      <c r="R908" s="50">
        <v>0.72750000000000004</v>
      </c>
      <c r="S908" s="50">
        <v>4.0442</v>
      </c>
      <c r="T908" s="46">
        <v>3.3167</v>
      </c>
    </row>
    <row r="909" spans="16:20" x14ac:dyDescent="0.25">
      <c r="P909" s="18">
        <v>908</v>
      </c>
      <c r="Q909" s="50">
        <v>115.3198</v>
      </c>
      <c r="R909" s="50">
        <v>15.319800000000001</v>
      </c>
      <c r="S909" s="50">
        <v>10.3926</v>
      </c>
      <c r="T909" s="46">
        <v>-4.9272999999999998</v>
      </c>
    </row>
    <row r="910" spans="16:20" x14ac:dyDescent="0.25">
      <c r="P910" s="18">
        <v>909</v>
      </c>
      <c r="Q910" s="50">
        <v>104.1737</v>
      </c>
      <c r="R910" s="50">
        <v>4.1737000000000002</v>
      </c>
      <c r="S910" s="50">
        <v>3.7542</v>
      </c>
      <c r="T910" s="46">
        <v>-0.41949999999999998</v>
      </c>
    </row>
    <row r="911" spans="16:20" x14ac:dyDescent="0.25">
      <c r="P911" s="18">
        <v>910</v>
      </c>
      <c r="Q911" s="50">
        <v>179.8878</v>
      </c>
      <c r="R911" s="50">
        <v>79.887799999999999</v>
      </c>
      <c r="S911" s="50">
        <v>79.943600000000004</v>
      </c>
      <c r="T911" s="46">
        <v>5.5800000000000002E-2</v>
      </c>
    </row>
    <row r="912" spans="16:20" x14ac:dyDescent="0.25">
      <c r="P912" s="18">
        <v>911</v>
      </c>
      <c r="Q912" s="50">
        <v>137.32259999999999</v>
      </c>
      <c r="R912" s="50">
        <v>37.322600000000001</v>
      </c>
      <c r="S912" s="50">
        <v>33.875300000000003</v>
      </c>
      <c r="T912" s="46">
        <v>-3.4472999999999998</v>
      </c>
    </row>
    <row r="913" spans="16:20" x14ac:dyDescent="0.25">
      <c r="P913" s="18">
        <v>912</v>
      </c>
      <c r="Q913" s="50">
        <v>94.018000000000001</v>
      </c>
      <c r="R913" s="50">
        <v>0</v>
      </c>
      <c r="S913" s="50">
        <v>-2.206</v>
      </c>
      <c r="T913" s="46">
        <v>-2.206</v>
      </c>
    </row>
    <row r="914" spans="16:20" x14ac:dyDescent="0.25">
      <c r="P914" s="18">
        <v>913</v>
      </c>
      <c r="Q914" s="50">
        <v>124.9956</v>
      </c>
      <c r="R914" s="50">
        <v>24.9956</v>
      </c>
      <c r="S914" s="50">
        <v>23.930499999999999</v>
      </c>
      <c r="T914" s="46">
        <v>-1.0650999999999999</v>
      </c>
    </row>
    <row r="915" spans="16:20" x14ac:dyDescent="0.25">
      <c r="P915" s="18">
        <v>914</v>
      </c>
      <c r="Q915" s="50">
        <v>101.46810000000001</v>
      </c>
      <c r="R915" s="50">
        <v>1.4681</v>
      </c>
      <c r="S915" s="50">
        <v>4.4652000000000003</v>
      </c>
      <c r="T915" s="46">
        <v>2.9971000000000001</v>
      </c>
    </row>
    <row r="916" spans="16:20" x14ac:dyDescent="0.25">
      <c r="P916" s="18">
        <v>915</v>
      </c>
      <c r="Q916" s="50">
        <v>97.845200000000006</v>
      </c>
      <c r="R916" s="50">
        <v>0</v>
      </c>
      <c r="S916" s="50">
        <v>3.9685999999999999</v>
      </c>
      <c r="T916" s="46">
        <v>3.9685999999999999</v>
      </c>
    </row>
    <row r="917" spans="16:20" x14ac:dyDescent="0.25">
      <c r="P917" s="18">
        <v>916</v>
      </c>
      <c r="Q917" s="50">
        <v>69.666300000000007</v>
      </c>
      <c r="R917" s="50">
        <v>0</v>
      </c>
      <c r="S917" s="50">
        <v>-0.29620000000000002</v>
      </c>
      <c r="T917" s="46">
        <v>-0.29620000000000002</v>
      </c>
    </row>
    <row r="918" spans="16:20" x14ac:dyDescent="0.25">
      <c r="P918" s="18">
        <v>917</v>
      </c>
      <c r="Q918" s="50">
        <v>95.304699999999997</v>
      </c>
      <c r="R918" s="50">
        <v>0</v>
      </c>
      <c r="S918" s="50">
        <v>-1.6595</v>
      </c>
      <c r="T918" s="46">
        <v>-1.6595</v>
      </c>
    </row>
    <row r="919" spans="16:20" x14ac:dyDescent="0.25">
      <c r="P919" s="18">
        <v>918</v>
      </c>
      <c r="Q919" s="50">
        <v>97.598699999999994</v>
      </c>
      <c r="R919" s="50">
        <v>0</v>
      </c>
      <c r="S919" s="50">
        <v>4.0334000000000003</v>
      </c>
      <c r="T919" s="46">
        <v>4.0334000000000003</v>
      </c>
    </row>
    <row r="920" spans="16:20" x14ac:dyDescent="0.25">
      <c r="P920" s="18">
        <v>919</v>
      </c>
      <c r="Q920" s="50">
        <v>176.56989999999999</v>
      </c>
      <c r="R920" s="50">
        <v>76.569900000000004</v>
      </c>
      <c r="S920" s="50">
        <v>76.259699999999995</v>
      </c>
      <c r="T920" s="46">
        <v>-0.31019999999999998</v>
      </c>
    </row>
    <row r="921" spans="16:20" x14ac:dyDescent="0.25">
      <c r="P921" s="18">
        <v>920</v>
      </c>
      <c r="Q921" s="50">
        <v>103.89</v>
      </c>
      <c r="R921" s="50">
        <v>3.89</v>
      </c>
      <c r="S921" s="50">
        <v>8.4181000000000008</v>
      </c>
      <c r="T921" s="46">
        <v>4.5281000000000002</v>
      </c>
    </row>
    <row r="922" spans="16:20" x14ac:dyDescent="0.25">
      <c r="P922" s="18">
        <v>921</v>
      </c>
      <c r="Q922" s="50">
        <v>197.58709999999999</v>
      </c>
      <c r="R922" s="50">
        <v>97.587100000000007</v>
      </c>
      <c r="S922" s="50">
        <v>96.294899999999998</v>
      </c>
      <c r="T922" s="46">
        <v>-1.2922</v>
      </c>
    </row>
    <row r="923" spans="16:20" x14ac:dyDescent="0.25">
      <c r="P923" s="18">
        <v>922</v>
      </c>
      <c r="Q923" s="50">
        <v>99.808099999999996</v>
      </c>
      <c r="R923" s="50">
        <v>0</v>
      </c>
      <c r="S923" s="50">
        <v>2.3532999999999999</v>
      </c>
      <c r="T923" s="46">
        <v>2.3532999999999999</v>
      </c>
    </row>
    <row r="924" spans="16:20" x14ac:dyDescent="0.25">
      <c r="P924" s="18">
        <v>923</v>
      </c>
      <c r="Q924" s="50">
        <v>81.118700000000004</v>
      </c>
      <c r="R924" s="50">
        <v>0</v>
      </c>
      <c r="S924" s="50">
        <v>1.6231</v>
      </c>
      <c r="T924" s="46">
        <v>1.6231</v>
      </c>
    </row>
    <row r="925" spans="16:20" x14ac:dyDescent="0.25">
      <c r="P925" s="18">
        <v>924</v>
      </c>
      <c r="Q925" s="50">
        <v>85.519800000000004</v>
      </c>
      <c r="R925" s="50">
        <v>0</v>
      </c>
      <c r="S925" s="50">
        <v>-2.8025000000000002</v>
      </c>
      <c r="T925" s="46">
        <v>-2.8025000000000002</v>
      </c>
    </row>
    <row r="926" spans="16:20" x14ac:dyDescent="0.25">
      <c r="P926" s="18">
        <v>925</v>
      </c>
      <c r="Q926" s="50">
        <v>107.79170000000001</v>
      </c>
      <c r="R926" s="50">
        <v>7.7916999999999996</v>
      </c>
      <c r="S926" s="50">
        <v>9.5675000000000008</v>
      </c>
      <c r="T926" s="46">
        <v>1.7759</v>
      </c>
    </row>
    <row r="927" spans="16:20" x14ac:dyDescent="0.25">
      <c r="P927" s="18">
        <v>926</v>
      </c>
      <c r="Q927" s="50">
        <v>82.121700000000004</v>
      </c>
      <c r="R927" s="50">
        <v>0</v>
      </c>
      <c r="S927" s="50">
        <v>1.1996</v>
      </c>
      <c r="T927" s="46">
        <v>1.1996</v>
      </c>
    </row>
    <row r="928" spans="16:20" x14ac:dyDescent="0.25">
      <c r="P928" s="18">
        <v>927</v>
      </c>
      <c r="Q928" s="50">
        <v>67.229900000000001</v>
      </c>
      <c r="R928" s="50">
        <v>0</v>
      </c>
      <c r="S928" s="50">
        <v>-0.79969999999999997</v>
      </c>
      <c r="T928" s="46">
        <v>-0.79969999999999997</v>
      </c>
    </row>
    <row r="929" spans="16:20" x14ac:dyDescent="0.25">
      <c r="P929" s="18">
        <v>928</v>
      </c>
      <c r="Q929" s="50">
        <v>102.8295</v>
      </c>
      <c r="R929" s="50">
        <v>2.8294999999999999</v>
      </c>
      <c r="S929" s="50">
        <v>3.4710999999999999</v>
      </c>
      <c r="T929" s="46">
        <v>0.64159999999999995</v>
      </c>
    </row>
    <row r="930" spans="16:20" x14ac:dyDescent="0.25">
      <c r="P930" s="18">
        <v>929</v>
      </c>
      <c r="Q930" s="50">
        <v>137.5299</v>
      </c>
      <c r="R930" s="50">
        <v>37.529899999999998</v>
      </c>
      <c r="S930" s="50">
        <v>35.908000000000001</v>
      </c>
      <c r="T930" s="46">
        <v>-1.6218999999999999</v>
      </c>
    </row>
    <row r="931" spans="16:20" x14ac:dyDescent="0.25">
      <c r="P931" s="18">
        <v>930</v>
      </c>
      <c r="Q931" s="50">
        <v>50.768700000000003</v>
      </c>
      <c r="R931" s="50">
        <v>0</v>
      </c>
      <c r="S931" s="50">
        <v>0.39750000000000002</v>
      </c>
      <c r="T931" s="46">
        <v>0.39750000000000002</v>
      </c>
    </row>
    <row r="932" spans="16:20" x14ac:dyDescent="0.25">
      <c r="P932" s="18">
        <v>931</v>
      </c>
      <c r="Q932" s="50">
        <v>70.602099999999993</v>
      </c>
      <c r="R932" s="50">
        <v>0</v>
      </c>
      <c r="S932" s="50">
        <v>-0.56479999999999997</v>
      </c>
      <c r="T932" s="46">
        <v>-0.56479999999999997</v>
      </c>
    </row>
    <row r="933" spans="16:20" x14ac:dyDescent="0.25">
      <c r="P933" s="18">
        <v>932</v>
      </c>
      <c r="Q933" s="50">
        <v>102.9661</v>
      </c>
      <c r="R933" s="50">
        <v>2.9661</v>
      </c>
      <c r="S933" s="50">
        <v>4.5776000000000003</v>
      </c>
      <c r="T933" s="46">
        <v>1.6114999999999999</v>
      </c>
    </row>
    <row r="934" spans="16:20" x14ac:dyDescent="0.25">
      <c r="P934" s="18">
        <v>933</v>
      </c>
      <c r="Q934" s="50">
        <v>112.2186</v>
      </c>
      <c r="R934" s="50">
        <v>12.2186</v>
      </c>
      <c r="S934" s="50">
        <v>9.0740999999999996</v>
      </c>
      <c r="T934" s="46">
        <v>-3.1446000000000001</v>
      </c>
    </row>
    <row r="935" spans="16:20" x14ac:dyDescent="0.25">
      <c r="P935" s="18">
        <v>934</v>
      </c>
      <c r="Q935" s="50">
        <v>126.7846</v>
      </c>
      <c r="R935" s="50">
        <v>26.784600000000001</v>
      </c>
      <c r="S935" s="50">
        <v>29.681699999999999</v>
      </c>
      <c r="T935" s="46">
        <v>2.8971</v>
      </c>
    </row>
    <row r="936" spans="16:20" x14ac:dyDescent="0.25">
      <c r="P936" s="18">
        <v>935</v>
      </c>
      <c r="Q936" s="50">
        <v>157.42529999999999</v>
      </c>
      <c r="R936" s="50">
        <v>57.4253</v>
      </c>
      <c r="S936" s="50">
        <v>56.500999999999998</v>
      </c>
      <c r="T936" s="46">
        <v>-0.92430000000000001</v>
      </c>
    </row>
    <row r="937" spans="16:20" x14ac:dyDescent="0.25">
      <c r="P937" s="18">
        <v>936</v>
      </c>
      <c r="Q937" s="50">
        <v>75.574200000000005</v>
      </c>
      <c r="R937" s="50">
        <v>0</v>
      </c>
      <c r="S937" s="50">
        <v>-2.4676999999999998</v>
      </c>
      <c r="T937" s="46">
        <v>-2.4676999999999998</v>
      </c>
    </row>
    <row r="938" spans="16:20" x14ac:dyDescent="0.25">
      <c r="P938" s="18">
        <v>937</v>
      </c>
      <c r="Q938" s="50">
        <v>150.98599999999999</v>
      </c>
      <c r="R938" s="50">
        <v>50.985999999999997</v>
      </c>
      <c r="S938" s="50">
        <v>50.372</v>
      </c>
      <c r="T938" s="46">
        <v>-0.61399999999999999</v>
      </c>
    </row>
    <row r="939" spans="16:20" x14ac:dyDescent="0.25">
      <c r="P939" s="18">
        <v>938</v>
      </c>
      <c r="Q939" s="50">
        <v>128.4</v>
      </c>
      <c r="R939" s="50">
        <v>28.4</v>
      </c>
      <c r="S939" s="50">
        <v>26.613399999999999</v>
      </c>
      <c r="T939" s="46">
        <v>-1.7866</v>
      </c>
    </row>
    <row r="940" spans="16:20" x14ac:dyDescent="0.25">
      <c r="P940" s="18">
        <v>939</v>
      </c>
      <c r="Q940" s="50">
        <v>153.02809999999999</v>
      </c>
      <c r="R940" s="50">
        <v>53.028100000000002</v>
      </c>
      <c r="S940" s="50">
        <v>51.410899999999998</v>
      </c>
      <c r="T940" s="46">
        <v>-1.6173</v>
      </c>
    </row>
    <row r="941" spans="16:20" x14ac:dyDescent="0.25">
      <c r="P941" s="18">
        <v>940</v>
      </c>
      <c r="Q941" s="50">
        <v>135.2413</v>
      </c>
      <c r="R941" s="50">
        <v>35.241300000000003</v>
      </c>
      <c r="S941" s="50">
        <v>27.1616</v>
      </c>
      <c r="T941" s="46">
        <v>-8.0797000000000008</v>
      </c>
    </row>
    <row r="942" spans="16:20" x14ac:dyDescent="0.25">
      <c r="P942" s="18">
        <v>941</v>
      </c>
      <c r="Q942" s="50">
        <v>78.995099999999994</v>
      </c>
      <c r="R942" s="50">
        <v>0</v>
      </c>
      <c r="S942" s="50">
        <v>-0.62119999999999997</v>
      </c>
      <c r="T942" s="46">
        <v>-0.62119999999999997</v>
      </c>
    </row>
    <row r="943" spans="16:20" x14ac:dyDescent="0.25">
      <c r="P943" s="18">
        <v>942</v>
      </c>
      <c r="Q943" s="50">
        <v>85.127399999999994</v>
      </c>
      <c r="R943" s="50">
        <v>0</v>
      </c>
      <c r="S943" s="50">
        <v>-0.3644</v>
      </c>
      <c r="T943" s="46">
        <v>-0.3644</v>
      </c>
    </row>
    <row r="944" spans="16:20" x14ac:dyDescent="0.25">
      <c r="P944" s="18">
        <v>943</v>
      </c>
      <c r="Q944" s="50">
        <v>124.5633</v>
      </c>
      <c r="R944" s="50">
        <v>24.563300000000002</v>
      </c>
      <c r="S944" s="50">
        <v>24.656500000000001</v>
      </c>
      <c r="T944" s="46">
        <v>9.3200000000000005E-2</v>
      </c>
    </row>
    <row r="945" spans="16:20" x14ac:dyDescent="0.25">
      <c r="P945" s="18">
        <v>944</v>
      </c>
      <c r="Q945" s="50">
        <v>89.616600000000005</v>
      </c>
      <c r="R945" s="50">
        <v>0</v>
      </c>
      <c r="S945" s="50">
        <v>0.20039999999999999</v>
      </c>
      <c r="T945" s="46">
        <v>0.20039999999999999</v>
      </c>
    </row>
    <row r="946" spans="16:20" x14ac:dyDescent="0.25">
      <c r="P946" s="18">
        <v>945</v>
      </c>
      <c r="Q946" s="50">
        <v>117.98869999999999</v>
      </c>
      <c r="R946" s="50">
        <v>17.988700000000001</v>
      </c>
      <c r="S946" s="50">
        <v>18.224399999999999</v>
      </c>
      <c r="T946" s="46">
        <v>0.2356</v>
      </c>
    </row>
    <row r="947" spans="16:20" x14ac:dyDescent="0.25">
      <c r="P947" s="18">
        <v>946</v>
      </c>
      <c r="Q947" s="50">
        <v>126.8189</v>
      </c>
      <c r="R947" s="50">
        <v>26.818899999999999</v>
      </c>
      <c r="S947" s="50">
        <v>26.723400000000002</v>
      </c>
      <c r="T947" s="46">
        <v>-9.5399999999999999E-2</v>
      </c>
    </row>
    <row r="948" spans="16:20" x14ac:dyDescent="0.25">
      <c r="P948" s="18">
        <v>947</v>
      </c>
      <c r="Q948" s="50">
        <v>116.04179999999999</v>
      </c>
      <c r="R948" s="50">
        <v>16.041799999999999</v>
      </c>
      <c r="S948" s="50">
        <v>15.533300000000001</v>
      </c>
      <c r="T948" s="46">
        <v>-0.50849999999999995</v>
      </c>
    </row>
    <row r="949" spans="16:20" x14ac:dyDescent="0.25">
      <c r="P949" s="18">
        <v>948</v>
      </c>
      <c r="Q949" s="50">
        <v>99.831999999999994</v>
      </c>
      <c r="R949" s="50">
        <v>0</v>
      </c>
      <c r="S949" s="50">
        <v>6.4290000000000003</v>
      </c>
      <c r="T949" s="46">
        <v>6.4290000000000003</v>
      </c>
    </row>
    <row r="950" spans="16:20" x14ac:dyDescent="0.25">
      <c r="P950" s="18">
        <v>949</v>
      </c>
      <c r="Q950" s="50">
        <v>116.476</v>
      </c>
      <c r="R950" s="50">
        <v>16.475999999999999</v>
      </c>
      <c r="S950" s="50">
        <v>15.215199999999999</v>
      </c>
      <c r="T950" s="46">
        <v>-1.2607999999999999</v>
      </c>
    </row>
    <row r="951" spans="16:20" x14ac:dyDescent="0.25">
      <c r="P951" s="18">
        <v>950</v>
      </c>
      <c r="Q951" s="50">
        <v>118.6155</v>
      </c>
      <c r="R951" s="50">
        <v>18.615500000000001</v>
      </c>
      <c r="S951" s="50">
        <v>17.756699999999999</v>
      </c>
      <c r="T951" s="46">
        <v>-0.85880000000000001</v>
      </c>
    </row>
    <row r="952" spans="16:20" x14ac:dyDescent="0.25">
      <c r="P952" s="18">
        <v>951</v>
      </c>
      <c r="Q952" s="50">
        <v>78.150800000000004</v>
      </c>
      <c r="R952" s="50">
        <v>0</v>
      </c>
      <c r="S952" s="50">
        <v>1.0679000000000001</v>
      </c>
      <c r="T952" s="46">
        <v>1.0679000000000001</v>
      </c>
    </row>
    <row r="953" spans="16:20" x14ac:dyDescent="0.25">
      <c r="P953" s="18">
        <v>952</v>
      </c>
      <c r="Q953" s="50">
        <v>89.069199999999995</v>
      </c>
      <c r="R953" s="50">
        <v>0</v>
      </c>
      <c r="S953" s="50">
        <v>3.3043999999999998</v>
      </c>
      <c r="T953" s="46">
        <v>3.3043999999999998</v>
      </c>
    </row>
    <row r="954" spans="16:20" x14ac:dyDescent="0.25">
      <c r="P954" s="18">
        <v>953</v>
      </c>
      <c r="Q954" s="50">
        <v>138.48259999999999</v>
      </c>
      <c r="R954" s="50">
        <v>38.482599999999998</v>
      </c>
      <c r="S954" s="50">
        <v>34.802799999999998</v>
      </c>
      <c r="T954" s="46">
        <v>-3.6798000000000002</v>
      </c>
    </row>
    <row r="955" spans="16:20" x14ac:dyDescent="0.25">
      <c r="P955" s="18">
        <v>954</v>
      </c>
      <c r="Q955" s="50">
        <v>112.4663</v>
      </c>
      <c r="R955" s="50">
        <v>12.4663</v>
      </c>
      <c r="S955" s="50">
        <v>6.12</v>
      </c>
      <c r="T955" s="46">
        <v>-6.3463000000000003</v>
      </c>
    </row>
    <row r="956" spans="16:20" x14ac:dyDescent="0.25">
      <c r="P956" s="18">
        <v>955</v>
      </c>
      <c r="Q956" s="50">
        <v>93.466899999999995</v>
      </c>
      <c r="R956" s="50">
        <v>0</v>
      </c>
      <c r="S956" s="50">
        <v>3.3422999999999998</v>
      </c>
      <c r="T956" s="46">
        <v>3.3422999999999998</v>
      </c>
    </row>
    <row r="957" spans="16:20" x14ac:dyDescent="0.25">
      <c r="P957" s="18">
        <v>956</v>
      </c>
      <c r="Q957" s="50">
        <v>73.219300000000004</v>
      </c>
      <c r="R957" s="50">
        <v>0</v>
      </c>
      <c r="S957" s="50">
        <v>-1.4300999999999999</v>
      </c>
      <c r="T957" s="46">
        <v>-1.4300999999999999</v>
      </c>
    </row>
    <row r="958" spans="16:20" x14ac:dyDescent="0.25">
      <c r="P958" s="18">
        <v>957</v>
      </c>
      <c r="Q958" s="50">
        <v>119.3181</v>
      </c>
      <c r="R958" s="50">
        <v>19.318100000000001</v>
      </c>
      <c r="S958" s="50">
        <v>19.549900000000001</v>
      </c>
      <c r="T958" s="46">
        <v>0.23180000000000001</v>
      </c>
    </row>
    <row r="959" spans="16:20" x14ac:dyDescent="0.25">
      <c r="P959" s="18">
        <v>958</v>
      </c>
      <c r="Q959" s="50">
        <v>118.6354</v>
      </c>
      <c r="R959" s="50">
        <v>18.635400000000001</v>
      </c>
      <c r="S959" s="50">
        <v>18.204899999999999</v>
      </c>
      <c r="T959" s="46">
        <v>-0.43049999999999999</v>
      </c>
    </row>
    <row r="960" spans="16:20" x14ac:dyDescent="0.25">
      <c r="P960" s="18">
        <v>959</v>
      </c>
      <c r="Q960" s="50">
        <v>74.773899999999998</v>
      </c>
      <c r="R960" s="50">
        <v>0</v>
      </c>
      <c r="S960" s="50">
        <v>1.9818</v>
      </c>
      <c r="T960" s="46">
        <v>1.9818</v>
      </c>
    </row>
    <row r="961" spans="16:20" x14ac:dyDescent="0.25">
      <c r="P961" s="18">
        <v>960</v>
      </c>
      <c r="Q961" s="50">
        <v>89.015100000000004</v>
      </c>
      <c r="R961" s="50">
        <v>0</v>
      </c>
      <c r="S961" s="50">
        <v>5.7187999999999999</v>
      </c>
      <c r="T961" s="46">
        <v>5.7187999999999999</v>
      </c>
    </row>
    <row r="962" spans="16:20" x14ac:dyDescent="0.25">
      <c r="P962" s="18">
        <v>961</v>
      </c>
      <c r="Q962" s="50">
        <v>132.1934</v>
      </c>
      <c r="R962" s="50">
        <v>32.193399999999997</v>
      </c>
      <c r="S962" s="50">
        <v>32.334200000000003</v>
      </c>
      <c r="T962" s="46">
        <v>0.14080000000000001</v>
      </c>
    </row>
    <row r="963" spans="16:20" x14ac:dyDescent="0.25">
      <c r="P963" s="18">
        <v>962</v>
      </c>
      <c r="Q963" s="50">
        <v>94.565200000000004</v>
      </c>
      <c r="R963" s="50">
        <v>0</v>
      </c>
      <c r="S963" s="50">
        <v>1.6815</v>
      </c>
      <c r="T963" s="46">
        <v>1.6815</v>
      </c>
    </row>
    <row r="964" spans="16:20" x14ac:dyDescent="0.25">
      <c r="P964" s="18">
        <v>963</v>
      </c>
      <c r="Q964" s="50">
        <v>87.284099999999995</v>
      </c>
      <c r="R964" s="50">
        <v>0</v>
      </c>
      <c r="S964" s="50">
        <v>1.7729999999999999</v>
      </c>
      <c r="T964" s="46">
        <v>1.7729999999999999</v>
      </c>
    </row>
    <row r="965" spans="16:20" x14ac:dyDescent="0.25">
      <c r="P965" s="18">
        <v>964</v>
      </c>
      <c r="Q965" s="50">
        <v>117.4525</v>
      </c>
      <c r="R965" s="50">
        <v>17.452500000000001</v>
      </c>
      <c r="S965" s="50">
        <v>16.502400000000002</v>
      </c>
      <c r="T965" s="46">
        <v>-0.95009999999999994</v>
      </c>
    </row>
    <row r="966" spans="16:20" x14ac:dyDescent="0.25">
      <c r="P966" s="18">
        <v>965</v>
      </c>
      <c r="Q966" s="50">
        <v>77.0214</v>
      </c>
      <c r="R966" s="50">
        <v>0</v>
      </c>
      <c r="S966" s="50">
        <v>-3.6246999999999998</v>
      </c>
      <c r="T966" s="46">
        <v>-3.6246999999999998</v>
      </c>
    </row>
    <row r="967" spans="16:20" x14ac:dyDescent="0.25">
      <c r="P967" s="18">
        <v>966</v>
      </c>
      <c r="Q967" s="50">
        <v>89.633499999999998</v>
      </c>
      <c r="R967" s="50">
        <v>0</v>
      </c>
      <c r="S967" s="50">
        <v>3.6886000000000001</v>
      </c>
      <c r="T967" s="46">
        <v>3.6886000000000001</v>
      </c>
    </row>
    <row r="968" spans="16:20" x14ac:dyDescent="0.25">
      <c r="P968" s="18">
        <v>967</v>
      </c>
      <c r="Q968" s="50">
        <v>68.007999999999996</v>
      </c>
      <c r="R968" s="50">
        <v>0</v>
      </c>
      <c r="S968" s="50">
        <v>-0.62509999999999999</v>
      </c>
      <c r="T968" s="46">
        <v>-0.62509999999999999</v>
      </c>
    </row>
    <row r="969" spans="16:20" x14ac:dyDescent="0.25">
      <c r="P969" s="18">
        <v>968</v>
      </c>
      <c r="Q969" s="50">
        <v>69.909099999999995</v>
      </c>
      <c r="R969" s="50">
        <v>0</v>
      </c>
      <c r="S969" s="50">
        <v>1.7766</v>
      </c>
      <c r="T969" s="46">
        <v>1.7766</v>
      </c>
    </row>
    <row r="970" spans="16:20" x14ac:dyDescent="0.25">
      <c r="P970" s="18">
        <v>969</v>
      </c>
      <c r="Q970" s="50">
        <v>142.13990000000001</v>
      </c>
      <c r="R970" s="50">
        <v>42.139899999999997</v>
      </c>
      <c r="S970" s="50">
        <v>41.506399999999999</v>
      </c>
      <c r="T970" s="46">
        <v>-0.63349999999999995</v>
      </c>
    </row>
    <row r="971" spans="16:20" x14ac:dyDescent="0.25">
      <c r="P971" s="18">
        <v>970</v>
      </c>
      <c r="Q971" s="50">
        <v>136.0489</v>
      </c>
      <c r="R971" s="50">
        <v>36.048900000000003</v>
      </c>
      <c r="S971" s="50">
        <v>36.537799999999997</v>
      </c>
      <c r="T971" s="46">
        <v>0.4889</v>
      </c>
    </row>
    <row r="972" spans="16:20" x14ac:dyDescent="0.25">
      <c r="P972" s="18">
        <v>971</v>
      </c>
      <c r="Q972" s="50">
        <v>89.445899999999995</v>
      </c>
      <c r="R972" s="50">
        <v>0</v>
      </c>
      <c r="S972" s="50">
        <v>-0.63060000000000005</v>
      </c>
      <c r="T972" s="46">
        <v>-0.63060000000000005</v>
      </c>
    </row>
    <row r="973" spans="16:20" x14ac:dyDescent="0.25">
      <c r="P973" s="18">
        <v>972</v>
      </c>
      <c r="Q973" s="50">
        <v>104.1551</v>
      </c>
      <c r="R973" s="50">
        <v>4.1551</v>
      </c>
      <c r="S973" s="50">
        <v>6.7286999999999999</v>
      </c>
      <c r="T973" s="46">
        <v>2.5735999999999999</v>
      </c>
    </row>
    <row r="974" spans="16:20" x14ac:dyDescent="0.25">
      <c r="P974" s="18">
        <v>973</v>
      </c>
      <c r="Q974" s="50">
        <v>115.355</v>
      </c>
      <c r="R974" s="50">
        <v>15.355</v>
      </c>
      <c r="S974" s="50">
        <v>15.3881</v>
      </c>
      <c r="T974" s="46">
        <v>3.3099999999999997E-2</v>
      </c>
    </row>
    <row r="975" spans="16:20" x14ac:dyDescent="0.25">
      <c r="P975" s="18">
        <v>974</v>
      </c>
      <c r="Q975" s="50">
        <v>83.814700000000002</v>
      </c>
      <c r="R975" s="50">
        <v>0</v>
      </c>
      <c r="S975" s="50">
        <v>3.1739000000000002</v>
      </c>
      <c r="T975" s="46">
        <v>3.1739000000000002</v>
      </c>
    </row>
    <row r="976" spans="16:20" x14ac:dyDescent="0.25">
      <c r="P976" s="18">
        <v>975</v>
      </c>
      <c r="Q976" s="50">
        <v>52.112299999999998</v>
      </c>
      <c r="R976" s="50">
        <v>0</v>
      </c>
      <c r="S976" s="50">
        <v>-3.4043999999999999</v>
      </c>
      <c r="T976" s="46">
        <v>-3.4043999999999999</v>
      </c>
    </row>
    <row r="977" spans="16:20" x14ac:dyDescent="0.25">
      <c r="P977" s="18">
        <v>976</v>
      </c>
      <c r="Q977" s="50">
        <v>109.1104</v>
      </c>
      <c r="R977" s="50">
        <v>9.1104000000000003</v>
      </c>
      <c r="S977" s="50">
        <v>8.9510000000000005</v>
      </c>
      <c r="T977" s="46">
        <v>-0.15939999999999999</v>
      </c>
    </row>
    <row r="978" spans="16:20" x14ac:dyDescent="0.25">
      <c r="P978" s="18">
        <v>977</v>
      </c>
      <c r="Q978" s="50">
        <v>170.2997</v>
      </c>
      <c r="R978" s="50">
        <v>70.299700000000001</v>
      </c>
      <c r="S978" s="50">
        <v>68.6935</v>
      </c>
      <c r="T978" s="46">
        <v>-1.6062000000000001</v>
      </c>
    </row>
    <row r="979" spans="16:20" x14ac:dyDescent="0.25">
      <c r="P979" s="18">
        <v>978</v>
      </c>
      <c r="Q979" s="50">
        <v>90.183999999999997</v>
      </c>
      <c r="R979" s="50">
        <v>0</v>
      </c>
      <c r="S979" s="50">
        <v>-0.18049999999999999</v>
      </c>
      <c r="T979" s="46">
        <v>-0.18049999999999999</v>
      </c>
    </row>
    <row r="980" spans="16:20" x14ac:dyDescent="0.25">
      <c r="P980" s="18">
        <v>979</v>
      </c>
      <c r="Q980" s="50">
        <v>245.01480000000001</v>
      </c>
      <c r="R980" s="50">
        <v>145.01480000000001</v>
      </c>
      <c r="S980" s="50">
        <v>142.1241</v>
      </c>
      <c r="T980" s="46">
        <v>-2.8906999999999998</v>
      </c>
    </row>
    <row r="981" spans="16:20" x14ac:dyDescent="0.25">
      <c r="P981" s="18">
        <v>980</v>
      </c>
      <c r="Q981" s="50">
        <v>122.7174</v>
      </c>
      <c r="R981" s="50">
        <v>22.717400000000001</v>
      </c>
      <c r="S981" s="50">
        <v>17.5594</v>
      </c>
      <c r="T981" s="46">
        <v>-5.1580000000000004</v>
      </c>
    </row>
    <row r="982" spans="16:20" x14ac:dyDescent="0.25">
      <c r="P982" s="18">
        <v>981</v>
      </c>
      <c r="Q982" s="50">
        <v>113.1527</v>
      </c>
      <c r="R982" s="50">
        <v>13.152699999999999</v>
      </c>
      <c r="S982" s="50">
        <v>11.611800000000001</v>
      </c>
      <c r="T982" s="46">
        <v>-1.5409999999999999</v>
      </c>
    </row>
    <row r="983" spans="16:20" x14ac:dyDescent="0.25">
      <c r="P983" s="18">
        <v>982</v>
      </c>
      <c r="Q983" s="50">
        <v>95.958399999999997</v>
      </c>
      <c r="R983" s="50">
        <v>0</v>
      </c>
      <c r="S983" s="50">
        <v>4.3731999999999998</v>
      </c>
      <c r="T983" s="46">
        <v>4.3731999999999998</v>
      </c>
    </row>
    <row r="984" spans="16:20" x14ac:dyDescent="0.25">
      <c r="P984" s="18">
        <v>983</v>
      </c>
      <c r="Q984" s="50">
        <v>116.7822</v>
      </c>
      <c r="R984" s="50">
        <v>16.7822</v>
      </c>
      <c r="S984" s="50">
        <v>17.299199999999999</v>
      </c>
      <c r="T984" s="46">
        <v>0.51700000000000002</v>
      </c>
    </row>
    <row r="985" spans="16:20" x14ac:dyDescent="0.25">
      <c r="P985" s="18">
        <v>984</v>
      </c>
      <c r="Q985" s="50">
        <v>101.96510000000001</v>
      </c>
      <c r="R985" s="50">
        <v>1.9651000000000001</v>
      </c>
      <c r="S985" s="50">
        <v>7.6246999999999998</v>
      </c>
      <c r="T985" s="46">
        <v>5.6596000000000002</v>
      </c>
    </row>
    <row r="986" spans="16:20" x14ac:dyDescent="0.25">
      <c r="P986" s="18">
        <v>985</v>
      </c>
      <c r="Q986" s="50">
        <v>52.4373</v>
      </c>
      <c r="R986" s="50">
        <v>0</v>
      </c>
      <c r="S986" s="50">
        <v>1.7597</v>
      </c>
      <c r="T986" s="46">
        <v>1.7597</v>
      </c>
    </row>
    <row r="987" spans="16:20" x14ac:dyDescent="0.25">
      <c r="P987" s="18">
        <v>986</v>
      </c>
      <c r="Q987" s="50">
        <v>123.52160000000001</v>
      </c>
      <c r="R987" s="50">
        <v>23.521599999999999</v>
      </c>
      <c r="S987" s="50">
        <v>25.8384</v>
      </c>
      <c r="T987" s="46">
        <v>2.3167</v>
      </c>
    </row>
    <row r="988" spans="16:20" x14ac:dyDescent="0.25">
      <c r="P988" s="18">
        <v>987</v>
      </c>
      <c r="Q988" s="50">
        <v>64.311999999999998</v>
      </c>
      <c r="R988" s="50">
        <v>0</v>
      </c>
      <c r="S988" s="50">
        <v>-0.72819999999999996</v>
      </c>
      <c r="T988" s="46">
        <v>-0.72819999999999996</v>
      </c>
    </row>
    <row r="989" spans="16:20" x14ac:dyDescent="0.25">
      <c r="P989" s="18">
        <v>988</v>
      </c>
      <c r="Q989" s="50">
        <v>103.9025</v>
      </c>
      <c r="R989" s="50">
        <v>3.9024999999999999</v>
      </c>
      <c r="S989" s="50">
        <v>6.1425999999999998</v>
      </c>
      <c r="T989" s="46">
        <v>2.2401</v>
      </c>
    </row>
    <row r="990" spans="16:20" x14ac:dyDescent="0.25">
      <c r="P990" s="18">
        <v>989</v>
      </c>
      <c r="Q990" s="50">
        <v>114.37860000000001</v>
      </c>
      <c r="R990" s="50">
        <v>14.3786</v>
      </c>
      <c r="S990" s="50">
        <v>10.9907</v>
      </c>
      <c r="T990" s="46">
        <v>-3.3879999999999999</v>
      </c>
    </row>
    <row r="991" spans="16:20" x14ac:dyDescent="0.25">
      <c r="P991" s="18">
        <v>990</v>
      </c>
      <c r="Q991" s="50">
        <v>106.4083</v>
      </c>
      <c r="R991" s="50">
        <v>6.4082999999999997</v>
      </c>
      <c r="S991" s="50">
        <v>8.6412999999999993</v>
      </c>
      <c r="T991" s="46">
        <v>2.2330000000000001</v>
      </c>
    </row>
    <row r="992" spans="16:20" x14ac:dyDescent="0.25">
      <c r="P992" s="18">
        <v>991</v>
      </c>
      <c r="Q992" s="50">
        <v>77.027299999999997</v>
      </c>
      <c r="R992" s="50">
        <v>0</v>
      </c>
      <c r="S992" s="50">
        <v>1.4061999999999999</v>
      </c>
      <c r="T992" s="46">
        <v>1.4061999999999999</v>
      </c>
    </row>
    <row r="993" spans="16:20" x14ac:dyDescent="0.25">
      <c r="P993" s="18">
        <v>992</v>
      </c>
      <c r="Q993" s="50">
        <v>89.030500000000004</v>
      </c>
      <c r="R993" s="50">
        <v>0</v>
      </c>
      <c r="S993" s="50">
        <v>-1.0351999999999999</v>
      </c>
      <c r="T993" s="46">
        <v>-1.0351999999999999</v>
      </c>
    </row>
    <row r="994" spans="16:20" x14ac:dyDescent="0.25">
      <c r="P994" s="18">
        <v>993</v>
      </c>
      <c r="Q994" s="50">
        <v>119.9422</v>
      </c>
      <c r="R994" s="50">
        <v>19.9422</v>
      </c>
      <c r="S994" s="50">
        <v>22.240400000000001</v>
      </c>
      <c r="T994" s="46">
        <v>2.2982</v>
      </c>
    </row>
    <row r="995" spans="16:20" x14ac:dyDescent="0.25">
      <c r="P995" s="18">
        <v>994</v>
      </c>
      <c r="Q995" s="50">
        <v>145.71029999999999</v>
      </c>
      <c r="R995" s="50">
        <v>45.710299999999997</v>
      </c>
      <c r="S995" s="50">
        <v>46.246499999999997</v>
      </c>
      <c r="T995" s="46">
        <v>0.53620000000000001</v>
      </c>
    </row>
    <row r="996" spans="16:20" x14ac:dyDescent="0.25">
      <c r="P996" s="18">
        <v>995</v>
      </c>
      <c r="Q996" s="50">
        <v>67.784300000000002</v>
      </c>
      <c r="R996" s="50">
        <v>0</v>
      </c>
      <c r="S996" s="50">
        <v>-2.8165</v>
      </c>
      <c r="T996" s="46">
        <v>-2.8165</v>
      </c>
    </row>
    <row r="997" spans="16:20" x14ac:dyDescent="0.25">
      <c r="P997" s="18">
        <v>996</v>
      </c>
      <c r="Q997" s="50">
        <v>104.3715</v>
      </c>
      <c r="R997" s="50">
        <v>4.3715000000000002</v>
      </c>
      <c r="S997" s="50">
        <v>3.0127999999999999</v>
      </c>
      <c r="T997" s="46">
        <v>-1.3586</v>
      </c>
    </row>
    <row r="998" spans="16:20" x14ac:dyDescent="0.25">
      <c r="P998" s="18">
        <v>997</v>
      </c>
      <c r="Q998" s="50">
        <v>95.116299999999995</v>
      </c>
      <c r="R998" s="50">
        <v>0</v>
      </c>
      <c r="S998" s="50">
        <v>2.4079999999999999</v>
      </c>
      <c r="T998" s="46">
        <v>2.4079999999999999</v>
      </c>
    </row>
    <row r="999" spans="16:20" x14ac:dyDescent="0.25">
      <c r="P999" s="18">
        <v>998</v>
      </c>
      <c r="Q999" s="50">
        <v>111.94629999999999</v>
      </c>
      <c r="R999" s="50">
        <v>11.946300000000001</v>
      </c>
      <c r="S999" s="50">
        <v>10.5884</v>
      </c>
      <c r="T999" s="46">
        <v>-1.3579000000000001</v>
      </c>
    </row>
    <row r="1000" spans="16:20" x14ac:dyDescent="0.25">
      <c r="P1000" s="18">
        <v>999</v>
      </c>
      <c r="Q1000" s="50">
        <v>79.861199999999997</v>
      </c>
      <c r="R1000" s="50">
        <v>0</v>
      </c>
      <c r="S1000" s="50">
        <v>-0.70440000000000003</v>
      </c>
      <c r="T1000" s="46">
        <v>-0.70440000000000003</v>
      </c>
    </row>
    <row r="1001" spans="16:20" ht="15.75" thickBot="1" x14ac:dyDescent="0.3">
      <c r="P1001" s="19">
        <v>1000</v>
      </c>
      <c r="Q1001" s="51">
        <v>95.048000000000002</v>
      </c>
      <c r="R1001" s="51">
        <v>0</v>
      </c>
      <c r="S1001" s="51">
        <v>-1.3349</v>
      </c>
      <c r="T1001" s="52">
        <v>-1.3349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W1001"/>
  <sheetViews>
    <sheetView workbookViewId="0">
      <selection activeCell="K6" sqref="K6"/>
    </sheetView>
  </sheetViews>
  <sheetFormatPr defaultRowHeight="15" x14ac:dyDescent="0.25"/>
  <cols>
    <col min="1" max="1" width="8.7109375" style="1" bestFit="1" customWidth="1"/>
    <col min="2" max="2" width="9.140625" style="1"/>
    <col min="3" max="3" width="2.140625" style="1" customWidth="1"/>
    <col min="4" max="6" width="8.42578125" style="1" customWidth="1"/>
    <col min="7" max="7" width="8.42578125" style="3" customWidth="1"/>
    <col min="8" max="14" width="8.42578125" style="1" customWidth="1"/>
    <col min="15" max="15" width="2" style="1" customWidth="1"/>
    <col min="16" max="20" width="10.5703125" style="1" customWidth="1"/>
    <col min="21" max="16384" width="9.140625" style="1"/>
  </cols>
  <sheetData>
    <row r="1" spans="1:23" s="2" customFormat="1" ht="18" x14ac:dyDescent="0.35">
      <c r="D1" s="7" t="s">
        <v>4</v>
      </c>
      <c r="E1" s="8" t="s">
        <v>4</v>
      </c>
      <c r="F1" s="9" t="s">
        <v>15</v>
      </c>
      <c r="G1" s="24" t="s">
        <v>17</v>
      </c>
      <c r="H1" s="9" t="s">
        <v>9</v>
      </c>
      <c r="I1" s="9" t="s">
        <v>10</v>
      </c>
      <c r="J1" s="57" t="s">
        <v>25</v>
      </c>
      <c r="K1" s="56" t="s">
        <v>14</v>
      </c>
      <c r="L1" s="9" t="s">
        <v>6</v>
      </c>
      <c r="M1" s="9" t="s">
        <v>7</v>
      </c>
      <c r="N1" s="10" t="s">
        <v>8</v>
      </c>
      <c r="P1" s="7" t="s">
        <v>16</v>
      </c>
      <c r="Q1" s="9" t="s">
        <v>17</v>
      </c>
      <c r="R1" s="9" t="s">
        <v>25</v>
      </c>
      <c r="S1" s="9" t="s">
        <v>8</v>
      </c>
      <c r="T1" s="10" t="s">
        <v>19</v>
      </c>
      <c r="V1" s="2" t="s">
        <v>34</v>
      </c>
      <c r="W1" s="2" t="s">
        <v>35</v>
      </c>
    </row>
    <row r="2" spans="1:23" x14ac:dyDescent="0.25">
      <c r="D2" s="45">
        <v>0</v>
      </c>
      <c r="E2" s="43">
        <f>$B$9-D2</f>
        <v>1</v>
      </c>
      <c r="F2" s="43"/>
      <c r="G2" s="43">
        <v>100</v>
      </c>
      <c r="H2" s="43">
        <f>(LN(G2/$B$6)+($B$7+($B$8^2)/2)*E2)/($B$8*SQRT(E2))</f>
        <v>0.28333333333333333</v>
      </c>
      <c r="I2" s="43">
        <f>(LN(G2/$B$6)+($B$7+($B$8^2)/2)*E2)/($B$8*SQRT(E2))-$B$8*SQRT(E2)</f>
        <v>-1.6666666666666663E-2</v>
      </c>
      <c r="J2" s="53">
        <f>$B$5*EXP(-$B$7*E2)*NORMSDIST(I2)</f>
        <v>0.47400668982229821</v>
      </c>
      <c r="K2" s="43">
        <f>$B$5*EXP(-$B$7*E2)*NORMDIST(I2,0,1,FALSE)/(G2*SQRT(E2))</f>
        <v>3.8324629749200661E-3</v>
      </c>
      <c r="L2" s="43"/>
      <c r="M2" s="43">
        <f>-(J2-K2*G2)</f>
        <v>-9.0760392330291595E-2</v>
      </c>
      <c r="N2" s="46">
        <f>K2*G2+M2</f>
        <v>0.29248590516171502</v>
      </c>
      <c r="P2" s="18">
        <v>1</v>
      </c>
      <c r="Q2" s="50">
        <v>82.213999999999999</v>
      </c>
      <c r="R2" s="50">
        <v>0</v>
      </c>
      <c r="S2" s="50">
        <v>-15.348699999999999</v>
      </c>
      <c r="T2" s="46">
        <v>-15.348699999999999</v>
      </c>
      <c r="V2" s="58">
        <f>MIN($T$2:$T$1001)</f>
        <v>-22.8141</v>
      </c>
    </row>
    <row r="3" spans="1:23" ht="15.75" thickBot="1" x14ac:dyDescent="0.3">
      <c r="D3" s="45">
        <f>(D2)+$B$9/19</f>
        <v>5.2631578947368418E-2</v>
      </c>
      <c r="E3" s="43">
        <f t="shared" ref="E3:E20" si="0">$B$9-D3</f>
        <v>0.94736842105263164</v>
      </c>
      <c r="F3" s="43">
        <f ca="1">NORMINV(RAND(),0,1)</f>
        <v>5.7538344123931523E-2</v>
      </c>
      <c r="G3" s="43">
        <f ca="1">G2*EXP((($B$7-0.5*$B$8^2))*$B$10+$B$8*SQRT($B$10)*F4)</f>
        <v>113.20844571807847</v>
      </c>
      <c r="H3" s="43">
        <f ca="1">(LN(G3/$B$6)+($B$7+($B$8^2)/2)*E3)/($B$8*SQRT(E3))</f>
        <v>0.70064353392981327</v>
      </c>
      <c r="I3" s="43">
        <f t="shared" ref="I3:I21" ca="1" si="1">(LN(G3/$B$6)+($B$7+($B$8^2)/2)*E3)/($B$8*SQRT(E3))-$B$8*SQRT(E3)</f>
        <v>0.40864497589444071</v>
      </c>
      <c r="J3" s="53">
        <f t="shared" ref="J3:J21" ca="1" si="2">$B$5*EXP(-$B$7*E3)*NORMSDIST(I3)</f>
        <v>0.63410938210835111</v>
      </c>
      <c r="K3" s="43">
        <f t="shared" ref="K3:K21" ca="1" si="3">$B$5*EXP(-$B$7*E3)*NORMDIST(I3,0,1,FALSE)/(G3*SQRT(E3))</f>
        <v>3.2066586936083195E-3</v>
      </c>
      <c r="L3" s="43">
        <f ca="1">(K3-K2)*G3</f>
        <v>-7.0846330011021974E-2</v>
      </c>
      <c r="M3" s="43">
        <f ca="1">M2*EXP($B$7*$B$10)+L3</f>
        <v>-0.16179799812376486</v>
      </c>
      <c r="N3" s="46">
        <f ca="1">K3*G3-M3</f>
        <v>0.52481884477552665</v>
      </c>
      <c r="P3" s="18">
        <v>2</v>
      </c>
      <c r="Q3" s="50">
        <v>102.4973</v>
      </c>
      <c r="R3" s="50">
        <v>2.4973000000000001</v>
      </c>
      <c r="S3" s="50">
        <v>-13.4732</v>
      </c>
      <c r="T3" s="46">
        <v>-15.9704</v>
      </c>
      <c r="V3" s="1">
        <f>V2+(($V$21-$V$2)/19)</f>
        <v>-21.907468421052631</v>
      </c>
    </row>
    <row r="4" spans="1:23" x14ac:dyDescent="0.25">
      <c r="A4" s="20" t="s">
        <v>0</v>
      </c>
      <c r="B4" s="11">
        <v>100</v>
      </c>
      <c r="D4" s="45">
        <f t="shared" ref="D4:D21" si="4">(D3)+$B$9/19</f>
        <v>0.10526315789473684</v>
      </c>
      <c r="E4" s="43">
        <f t="shared" si="0"/>
        <v>0.89473684210526316</v>
      </c>
      <c r="F4" s="43">
        <f t="shared" ref="F4:F21" ca="1" si="5">NORMINV(RAND(),0,1)</f>
        <v>1.8063821170423124</v>
      </c>
      <c r="G4" s="43">
        <f t="shared" ref="G4:G21" ca="1" si="6">G3*EXP((($B$7-0.5*$B$8^2))*$B$10+$B$8*SQRT($B$10)*F5)</f>
        <v>115.63652019683343</v>
      </c>
      <c r="H4" s="43">
        <f ca="1">(LN(G4/$B$6)+($B$7+($B$8^2)/2)*E4)/($B$8*SQRT(E4))</f>
        <v>0.77997332259439689</v>
      </c>
      <c r="I4" s="43">
        <f t="shared" ca="1" si="1"/>
        <v>0.4962017317163217</v>
      </c>
      <c r="J4" s="53">
        <f t="shared" ca="1" si="2"/>
        <v>0.66586154142917964</v>
      </c>
      <c r="K4" s="43">
        <f t="shared" ca="1" si="3"/>
        <v>3.1114230234934983E-3</v>
      </c>
      <c r="L4" s="43">
        <f ca="1">(K4-K3)*G4</f>
        <v>-1.1012721490691489E-2</v>
      </c>
      <c r="M4" s="43">
        <f ca="1">M3*EXP($B$7*$B$10)+L4</f>
        <v>-0.17315170578579803</v>
      </c>
      <c r="N4" s="46">
        <f t="shared" ref="N4:N21" ca="1" si="7">K4*G4-M4</f>
        <v>0.53294583708289656</v>
      </c>
      <c r="P4" s="18">
        <v>3</v>
      </c>
      <c r="Q4" s="50">
        <v>89.796199999999999</v>
      </c>
      <c r="R4" s="50">
        <v>0</v>
      </c>
      <c r="S4" s="50">
        <v>-14.318300000000001</v>
      </c>
      <c r="T4" s="46">
        <v>-14.318300000000001</v>
      </c>
      <c r="V4" s="1">
        <f t="shared" ref="V4:V20" si="8">V3+(($V$21-$V$2)/19)</f>
        <v>-21.000836842105262</v>
      </c>
    </row>
    <row r="5" spans="1:23" x14ac:dyDescent="0.25">
      <c r="A5" s="21" t="s">
        <v>36</v>
      </c>
      <c r="B5" s="12">
        <v>1</v>
      </c>
      <c r="D5" s="45">
        <f t="shared" si="4"/>
        <v>0.15789473684210525</v>
      </c>
      <c r="E5" s="43">
        <f t="shared" si="0"/>
        <v>0.84210526315789469</v>
      </c>
      <c r="F5" s="43">
        <f t="shared" ca="1" si="5"/>
        <v>0.31215835016415783</v>
      </c>
      <c r="G5" s="43">
        <f t="shared" ca="1" si="6"/>
        <v>112.05612381538801</v>
      </c>
      <c r="H5" s="43">
        <f t="shared" ref="H5:H20" ca="1" si="9">(LN(G5/$B$6)+($B$7+($B$8^2)/2)*E5)/($B$8*SQRT(E5))</f>
        <v>0.6734811715338388</v>
      </c>
      <c r="I5" s="43">
        <f t="shared" ca="1" si="1"/>
        <v>0.39818229088916468</v>
      </c>
      <c r="J5" s="53">
        <f t="shared" ca="1" si="2"/>
        <v>0.63306459692342387</v>
      </c>
      <c r="K5" s="43">
        <f t="shared" ca="1" si="3"/>
        <v>3.4652446771585941E-3</v>
      </c>
      <c r="L5" s="43">
        <f t="shared" ref="L5:L21" ca="1" si="10">(K5-K4)*G5</f>
        <v>3.9647883031661314E-2</v>
      </c>
      <c r="M5" s="43">
        <f t="shared" ref="M5:M21" ca="1" si="11">M4*EXP($B$7*$B$10)+L5</f>
        <v>-0.13386873664616161</v>
      </c>
      <c r="N5" s="46">
        <f t="shared" ca="1" si="7"/>
        <v>0.52217062324045926</v>
      </c>
      <c r="P5" s="18">
        <v>4</v>
      </c>
      <c r="Q5" s="50">
        <v>61.225900000000003</v>
      </c>
      <c r="R5" s="50">
        <v>0</v>
      </c>
      <c r="S5" s="50">
        <v>-14.804399999999999</v>
      </c>
      <c r="T5" s="46">
        <v>-14.804399999999999</v>
      </c>
      <c r="V5" s="1">
        <f t="shared" si="8"/>
        <v>-20.094205263157892</v>
      </c>
    </row>
    <row r="6" spans="1:23" x14ac:dyDescent="0.25">
      <c r="A6" s="21" t="s">
        <v>1</v>
      </c>
      <c r="B6" s="12">
        <v>100</v>
      </c>
      <c r="D6" s="45">
        <f t="shared" si="4"/>
        <v>0.21052631578947367</v>
      </c>
      <c r="E6" s="43">
        <f t="shared" si="0"/>
        <v>0.78947368421052633</v>
      </c>
      <c r="F6" s="43">
        <f t="shared" ca="1" si="5"/>
        <v>-0.45316298792413356</v>
      </c>
      <c r="G6" s="43">
        <f t="shared" ca="1" si="6"/>
        <v>116.07459492001803</v>
      </c>
      <c r="H6" s="43">
        <f t="shared" ca="1" si="9"/>
        <v>0.81096397888208693</v>
      </c>
      <c r="I6" s="43">
        <f t="shared" ca="1" si="1"/>
        <v>0.54440698389049536</v>
      </c>
      <c r="J6" s="53">
        <f t="shared" ca="1" si="2"/>
        <v>0.68494431211815454</v>
      </c>
      <c r="K6" s="43">
        <f ca="1">$B$5*EXP(-$B$7*E6)*NORMDIST(I6,0,1,FALSE)/(G6*SQRT(E6))</f>
        <v>3.2317043522331569E-3</v>
      </c>
      <c r="L6" s="43">
        <f t="shared" ca="1" si="10"/>
        <v>-2.7108098613209515E-2</v>
      </c>
      <c r="M6" s="43">
        <f t="shared" ca="1" si="11"/>
        <v>-0.16125896104893994</v>
      </c>
      <c r="N6" s="46">
        <f t="shared" ca="1" si="7"/>
        <v>0.53637773463566285</v>
      </c>
      <c r="P6" s="18">
        <v>5</v>
      </c>
      <c r="Q6" s="50">
        <v>94.0608</v>
      </c>
      <c r="R6" s="50">
        <v>0</v>
      </c>
      <c r="S6" s="50">
        <v>-14.238</v>
      </c>
      <c r="T6" s="46">
        <v>-14.238</v>
      </c>
      <c r="V6" s="1">
        <f t="shared" si="8"/>
        <v>-19.187573684210523</v>
      </c>
    </row>
    <row r="7" spans="1:23" x14ac:dyDescent="0.25">
      <c r="A7" s="21" t="s">
        <v>2</v>
      </c>
      <c r="B7" s="13">
        <v>0.04</v>
      </c>
      <c r="D7" s="45">
        <f>(D6)+$B$9/19</f>
        <v>0.26315789473684209</v>
      </c>
      <c r="E7" s="43">
        <f t="shared" si="0"/>
        <v>0.73684210526315796</v>
      </c>
      <c r="F7" s="43">
        <f t="shared" ca="1" si="5"/>
        <v>0.51575001861023695</v>
      </c>
      <c r="G7" s="43">
        <f t="shared" ca="1" si="6"/>
        <v>112.86228308947487</v>
      </c>
      <c r="H7" s="43">
        <f t="shared" ca="1" si="9"/>
        <v>0.71307389017265144</v>
      </c>
      <c r="I7" s="43">
        <f t="shared" ca="1" si="1"/>
        <v>0.45555536758896581</v>
      </c>
      <c r="J7" s="53">
        <f t="shared" ca="1" si="2"/>
        <v>0.65602198044363258</v>
      </c>
      <c r="K7" s="43">
        <f t="shared" ca="1" si="3"/>
        <v>3.6042013192814325E-3</v>
      </c>
      <c r="L7" s="43">
        <f t="shared" ca="1" si="10"/>
        <v>4.2040858144973277E-2</v>
      </c>
      <c r="M7" s="43">
        <f t="shared" ca="1" si="11"/>
        <v>-0.11955795306503328</v>
      </c>
      <c r="N7" s="46">
        <f t="shared" ca="1" si="7"/>
        <v>0.52633634267323315</v>
      </c>
      <c r="P7" s="18">
        <v>6</v>
      </c>
      <c r="Q7" s="50">
        <v>96.915199999999999</v>
      </c>
      <c r="R7" s="50">
        <v>0</v>
      </c>
      <c r="S7" s="50">
        <v>-13.6813</v>
      </c>
      <c r="T7" s="46">
        <v>-13.6813</v>
      </c>
      <c r="V7" s="1">
        <f t="shared" si="8"/>
        <v>-18.280942105263154</v>
      </c>
    </row>
    <row r="8" spans="1:23" x14ac:dyDescent="0.25">
      <c r="A8" s="22" t="s">
        <v>11</v>
      </c>
      <c r="B8" s="14">
        <v>0.3</v>
      </c>
      <c r="D8" s="45">
        <f t="shared" si="4"/>
        <v>0.31578947368421051</v>
      </c>
      <c r="E8" s="43">
        <f t="shared" si="0"/>
        <v>0.68421052631578949</v>
      </c>
      <c r="F8" s="43">
        <f t="shared" ca="1" si="5"/>
        <v>-0.40394707594312562</v>
      </c>
      <c r="G8" s="43">
        <f t="shared" ca="1" si="6"/>
        <v>98.284626446451384</v>
      </c>
      <c r="H8" s="43">
        <f t="shared" ca="1" si="9"/>
        <v>0.16463894949762239</v>
      </c>
      <c r="I8" s="43">
        <f t="shared" ca="1" si="1"/>
        <v>-8.351210806293094E-2</v>
      </c>
      <c r="J8" s="53">
        <f t="shared" ca="1" si="2"/>
        <v>0.45412193688790331</v>
      </c>
      <c r="K8" s="43">
        <f t="shared" ca="1" si="3"/>
        <v>4.7580521808687406E-3</v>
      </c>
      <c r="L8" s="43">
        <f t="shared" ca="1" si="10"/>
        <v>0.11340580090602466</v>
      </c>
      <c r="M8" s="43">
        <f t="shared" ca="1" si="11"/>
        <v>-6.4041182472287517E-3</v>
      </c>
      <c r="N8" s="46">
        <f t="shared" ca="1" si="7"/>
        <v>0.47404749945663627</v>
      </c>
      <c r="P8" s="18">
        <v>7</v>
      </c>
      <c r="Q8" s="50">
        <v>78.119699999999995</v>
      </c>
      <c r="R8" s="50">
        <v>0</v>
      </c>
      <c r="S8" s="50">
        <v>-22.8141</v>
      </c>
      <c r="T8" s="46">
        <v>-22.8141</v>
      </c>
      <c r="V8" s="1">
        <f t="shared" si="8"/>
        <v>-17.374310526315785</v>
      </c>
    </row>
    <row r="9" spans="1:23" x14ac:dyDescent="0.25">
      <c r="A9" s="21" t="s">
        <v>3</v>
      </c>
      <c r="B9" s="15">
        <v>1</v>
      </c>
      <c r="D9" s="45">
        <f t="shared" si="4"/>
        <v>0.36842105263157893</v>
      </c>
      <c r="E9" s="43">
        <f t="shared" si="0"/>
        <v>0.63157894736842102</v>
      </c>
      <c r="F9" s="43">
        <f t="shared" ca="1" si="5"/>
        <v>-2.0056392939667576</v>
      </c>
      <c r="G9" s="43">
        <f t="shared" ca="1" si="6"/>
        <v>90.558264092563363</v>
      </c>
      <c r="H9" s="43">
        <f t="shared" ca="1" si="9"/>
        <v>-0.19081170437731906</v>
      </c>
      <c r="I9" s="43">
        <f t="shared" ca="1" si="1"/>
        <v>-0.42922752864902691</v>
      </c>
      <c r="J9" s="53">
        <f t="shared" ca="1" si="2"/>
        <v>0.32554964576274448</v>
      </c>
      <c r="K9" s="43">
        <f t="shared" ca="1" si="3"/>
        <v>4.9293551151621262E-3</v>
      </c>
      <c r="L9" s="43">
        <f t="shared" ca="1" si="10"/>
        <v>1.5512896363571444E-2</v>
      </c>
      <c r="M9" s="43">
        <f ca="1">M8*EXP($B$7*$B$10)+L9</f>
        <v>9.0952815602216991E-3</v>
      </c>
      <c r="N9" s="46">
        <f t="shared" ca="1" si="7"/>
        <v>0.43729856076465817</v>
      </c>
      <c r="P9" s="18">
        <v>8</v>
      </c>
      <c r="Q9" s="50">
        <v>107.9014</v>
      </c>
      <c r="R9" s="50">
        <v>7.9013999999999998</v>
      </c>
      <c r="S9" s="50">
        <v>-0.40749999999999997</v>
      </c>
      <c r="T9" s="46">
        <v>-8.3088999999999995</v>
      </c>
      <c r="V9" s="1">
        <f t="shared" si="8"/>
        <v>-16.467678947368416</v>
      </c>
    </row>
    <row r="10" spans="1:23" x14ac:dyDescent="0.25">
      <c r="A10" s="22" t="s">
        <v>12</v>
      </c>
      <c r="B10" s="16">
        <f>B9/19</f>
        <v>5.2631578947368418E-2</v>
      </c>
      <c r="D10" s="45">
        <f t="shared" si="4"/>
        <v>0.42105263157894735</v>
      </c>
      <c r="E10" s="43">
        <f t="shared" si="0"/>
        <v>0.57894736842105265</v>
      </c>
      <c r="F10" s="43">
        <f t="shared" ca="1" si="5"/>
        <v>-1.1857805875116942</v>
      </c>
      <c r="G10" s="43">
        <f t="shared" ca="1" si="6"/>
        <v>92.286291834551108</v>
      </c>
      <c r="H10" s="43">
        <f t="shared" ca="1" si="9"/>
        <v>-0.13608718590128091</v>
      </c>
      <c r="I10" s="43">
        <f t="shared" ca="1" si="1"/>
        <v>-0.36435295897708553</v>
      </c>
      <c r="J10" s="53">
        <f t="shared" ca="1" si="2"/>
        <v>0.34960660331383242</v>
      </c>
      <c r="K10" s="43">
        <f t="shared" ca="1" si="3"/>
        <v>5.1948022162909575E-3</v>
      </c>
      <c r="L10" s="43">
        <f t="shared" ca="1" si="10"/>
        <v>2.4497128641410921E-2</v>
      </c>
      <c r="M10" s="43">
        <f ca="1">M9*EXP($B$7*$B$10)+L10</f>
        <v>3.3611578332712472E-2</v>
      </c>
      <c r="N10" s="46">
        <f t="shared" ca="1" si="7"/>
        <v>0.44579745502268775</v>
      </c>
      <c r="P10" s="18">
        <v>9</v>
      </c>
      <c r="Q10" s="50">
        <v>105.8266</v>
      </c>
      <c r="R10" s="50">
        <v>5.8266</v>
      </c>
      <c r="S10" s="50">
        <v>-11.7532</v>
      </c>
      <c r="T10" s="46">
        <v>-17.579799999999999</v>
      </c>
      <c r="V10" s="1">
        <f t="shared" si="8"/>
        <v>-15.561047368421047</v>
      </c>
    </row>
    <row r="11" spans="1:23" x14ac:dyDescent="0.25">
      <c r="A11" s="21" t="s">
        <v>5</v>
      </c>
      <c r="B11" s="17">
        <v>9.9999999999999995E-7</v>
      </c>
      <c r="D11" s="45">
        <f t="shared" si="4"/>
        <v>0.47368421052631576</v>
      </c>
      <c r="E11" s="43">
        <f t="shared" si="0"/>
        <v>0.52631578947368429</v>
      </c>
      <c r="F11" s="43">
        <f t="shared" ca="1" si="5"/>
        <v>0.27846571907193701</v>
      </c>
      <c r="G11" s="43">
        <f t="shared" ca="1" si="6"/>
        <v>95.197174507925936</v>
      </c>
      <c r="H11" s="43">
        <f ca="1">(LN(G11/$B$6)+($B$7+($B$8^2)/2)*E11)/($B$8*SQRT(E11))</f>
        <v>-2.0598340579116293E-2</v>
      </c>
      <c r="I11" s="43">
        <f t="shared" ca="1" si="1"/>
        <v>-0.23824121561211981</v>
      </c>
      <c r="J11" s="53">
        <f t="shared" ca="1" si="2"/>
        <v>0.39739216896800361</v>
      </c>
      <c r="K11" s="43">
        <f ca="1">$B$5*EXP(-$B$7*E11)*NORMDIST(I11,0,1,FALSE)/(G11*SQRT(E11))</f>
        <v>5.4978733677573692E-3</v>
      </c>
      <c r="L11" s="43">
        <f t="shared" ca="1" si="10"/>
        <v>2.8851517294466049E-2</v>
      </c>
      <c r="M11" s="43">
        <f ca="1">M10*EXP($B$7*$B$10)+L11</f>
        <v>6.253393138251126E-2</v>
      </c>
      <c r="N11" s="46">
        <f t="shared" ca="1" si="7"/>
        <v>0.4608480790303654</v>
      </c>
      <c r="P11" s="18">
        <v>10</v>
      </c>
      <c r="Q11" s="50">
        <v>83.921400000000006</v>
      </c>
      <c r="R11" s="50">
        <v>0</v>
      </c>
      <c r="S11" s="50">
        <v>-12.857799999999999</v>
      </c>
      <c r="T11" s="46">
        <v>-12.857799999999999</v>
      </c>
      <c r="V11" s="1">
        <f t="shared" si="8"/>
        <v>-14.654415789473678</v>
      </c>
    </row>
    <row r="12" spans="1:23" ht="15.75" thickBot="1" x14ac:dyDescent="0.3">
      <c r="A12" s="23" t="s">
        <v>20</v>
      </c>
      <c r="B12" s="6">
        <f ca="1">N21-J21</f>
        <v>0.4104807881037284</v>
      </c>
      <c r="D12" s="45">
        <f t="shared" si="4"/>
        <v>0.52631578947368418</v>
      </c>
      <c r="E12" s="43">
        <f t="shared" si="0"/>
        <v>0.47368421052631582</v>
      </c>
      <c r="F12" s="43">
        <f t="shared" ca="1" si="5"/>
        <v>0.45503718232118046</v>
      </c>
      <c r="G12" s="43">
        <f t="shared" ca="1" si="6"/>
        <v>89.521596433405932</v>
      </c>
      <c r="H12" s="43">
        <f t="shared" ca="1" si="9"/>
        <v>-0.34109416318294444</v>
      </c>
      <c r="I12" s="43">
        <f t="shared" ca="1" si="1"/>
        <v>-0.54756832366645003</v>
      </c>
      <c r="J12" s="53">
        <f t="shared" ca="1" si="2"/>
        <v>0.28651373505633393</v>
      </c>
      <c r="K12" s="43">
        <f t="shared" ca="1" si="3"/>
        <v>5.4689199467919183E-3</v>
      </c>
      <c r="L12" s="43">
        <f t="shared" ca="1" si="10"/>
        <v>-2.5919564670356036E-3</v>
      </c>
      <c r="M12" s="43">
        <f ca="1">M11*EXP($B$7*$B$10)+L12</f>
        <v>6.0073763973982765E-2</v>
      </c>
      <c r="N12" s="46">
        <f t="shared" ca="1" si="7"/>
        <v>0.42951268042932716</v>
      </c>
      <c r="P12" s="18">
        <v>11</v>
      </c>
      <c r="Q12" s="50">
        <v>111.3386</v>
      </c>
      <c r="R12" s="50">
        <v>11.3386</v>
      </c>
      <c r="S12" s="50">
        <v>0.2601</v>
      </c>
      <c r="T12" s="46">
        <v>-11.0785</v>
      </c>
      <c r="V12" s="1">
        <f t="shared" si="8"/>
        <v>-13.747784210526309</v>
      </c>
    </row>
    <row r="13" spans="1:23" x14ac:dyDescent="0.25">
      <c r="D13" s="45">
        <f t="shared" si="4"/>
        <v>0.57894736842105265</v>
      </c>
      <c r="E13" s="43">
        <f t="shared" si="0"/>
        <v>0.42105263157894735</v>
      </c>
      <c r="F13" s="43">
        <f t="shared" ca="1" si="5"/>
        <v>-0.88932009713778648</v>
      </c>
      <c r="G13" s="43">
        <f t="shared" ca="1" si="6"/>
        <v>89.55280322149568</v>
      </c>
      <c r="H13" s="43">
        <f t="shared" ca="1" si="9"/>
        <v>-0.38297593676190383</v>
      </c>
      <c r="I13" s="43">
        <f t="shared" ca="1" si="1"/>
        <v>-0.57764164211881885</v>
      </c>
      <c r="J13" s="53">
        <f t="shared" ca="1" si="2"/>
        <v>0.27704746596819457</v>
      </c>
      <c r="K13" s="43">
        <f t="shared" ca="1" si="3"/>
        <v>5.7133754405370432E-3</v>
      </c>
      <c r="L13" s="43">
        <f ca="1">(K13-K12)*G13</f>
        <v>2.1891674727770732E-2</v>
      </c>
      <c r="M13" s="43">
        <f ca="1">M12*EXP($B$7*$B$10)+L13</f>
        <v>8.2092043004730747E-2</v>
      </c>
      <c r="N13" s="46">
        <f t="shared" ca="1" si="7"/>
        <v>0.4295567435522093</v>
      </c>
      <c r="P13" s="18">
        <v>12</v>
      </c>
      <c r="Q13" s="50">
        <v>90.393100000000004</v>
      </c>
      <c r="R13" s="50">
        <v>0</v>
      </c>
      <c r="S13" s="50">
        <v>-12.352</v>
      </c>
      <c r="T13" s="46">
        <v>-12.352</v>
      </c>
      <c r="V13" s="1">
        <f t="shared" si="8"/>
        <v>-12.841152631578939</v>
      </c>
    </row>
    <row r="14" spans="1:23" x14ac:dyDescent="0.25">
      <c r="D14" s="45">
        <f t="shared" si="4"/>
        <v>0.63157894736842102</v>
      </c>
      <c r="E14" s="43">
        <f t="shared" si="0"/>
        <v>0.36842105263157898</v>
      </c>
      <c r="F14" s="43">
        <f t="shared" ca="1" si="5"/>
        <v>8.8876820475505252E-3</v>
      </c>
      <c r="G14" s="43">
        <f t="shared" ca="1" si="6"/>
        <v>92.301975574934957</v>
      </c>
      <c r="H14" s="43">
        <f t="shared" ca="1" si="9"/>
        <v>-0.26793356312769612</v>
      </c>
      <c r="I14" s="43">
        <f ca="1">(LN(G14/$B$6)+($B$7+($B$8^2)/2)*E14)/($B$8*SQRT(E14))-$B$8*SQRT(E14)</f>
        <v>-0.45002665672776132</v>
      </c>
      <c r="J14" s="53">
        <f t="shared" ca="1" si="2"/>
        <v>0.32157156968987077</v>
      </c>
      <c r="K14" s="43">
        <f t="shared" ca="1" si="3"/>
        <v>6.3408750391562929E-3</v>
      </c>
      <c r="L14" s="43">
        <f t="shared" ca="1" si="10"/>
        <v>5.7919452625035478E-2</v>
      </c>
      <c r="M14" s="43">
        <f t="shared" ca="1" si="11"/>
        <v>0.1401845030326167</v>
      </c>
      <c r="N14" s="46">
        <f t="shared" ca="1" si="7"/>
        <v>0.44509078995530221</v>
      </c>
      <c r="P14" s="18">
        <v>13</v>
      </c>
      <c r="Q14" s="50">
        <v>108.4478</v>
      </c>
      <c r="R14" s="50">
        <v>8.4478000000000009</v>
      </c>
      <c r="S14" s="50">
        <v>-7.0987999999999998</v>
      </c>
      <c r="T14" s="46">
        <v>-15.5466</v>
      </c>
      <c r="V14" s="1">
        <f t="shared" si="8"/>
        <v>-11.93452105263157</v>
      </c>
    </row>
    <row r="15" spans="1:23" x14ac:dyDescent="0.25">
      <c r="D15" s="45">
        <f t="shared" si="4"/>
        <v>0.68421052631578938</v>
      </c>
      <c r="E15" s="43">
        <f t="shared" si="0"/>
        <v>0.31578947368421062</v>
      </c>
      <c r="F15" s="43">
        <f t="shared" ca="1" si="5"/>
        <v>0.44315867190031105</v>
      </c>
      <c r="G15" s="43">
        <f t="shared" ca="1" si="6"/>
        <v>91.409653779062509</v>
      </c>
      <c r="H15" s="43">
        <f t="shared" ca="1" si="9"/>
        <v>-0.37356123016448645</v>
      </c>
      <c r="I15" s="43">
        <f t="shared" ca="1" si="1"/>
        <v>-0.54214667624919133</v>
      </c>
      <c r="J15" s="53">
        <f t="shared" ca="1" si="2"/>
        <v>0.29017017842618786</v>
      </c>
      <c r="K15" s="43">
        <f t="shared" ca="1" si="3"/>
        <v>6.6207742441348905E-3</v>
      </c>
      <c r="L15" s="43">
        <f t="shared" ca="1" si="10"/>
        <v>2.5585489420128456E-2</v>
      </c>
      <c r="M15" s="43">
        <f t="shared" ca="1" si="11"/>
        <v>0.16606542859858647</v>
      </c>
      <c r="N15" s="46">
        <f ca="1">K15*G15-M15</f>
        <v>0.43913725280711818</v>
      </c>
      <c r="P15" s="18">
        <v>14</v>
      </c>
      <c r="Q15" s="50">
        <v>103.9939</v>
      </c>
      <c r="R15" s="50">
        <v>3.9939</v>
      </c>
      <c r="S15" s="50">
        <v>-10.1859</v>
      </c>
      <c r="T15" s="46">
        <v>-14.1797</v>
      </c>
      <c r="V15" s="1">
        <f t="shared" si="8"/>
        <v>-11.027889473684201</v>
      </c>
    </row>
    <row r="16" spans="1:23" x14ac:dyDescent="0.25">
      <c r="D16" s="45">
        <f t="shared" si="4"/>
        <v>0.73684210526315774</v>
      </c>
      <c r="E16" s="43">
        <f t="shared" si="0"/>
        <v>0.26315789473684226</v>
      </c>
      <c r="F16" s="43">
        <f t="shared" ca="1" si="5"/>
        <v>-0.1373241055048976</v>
      </c>
      <c r="G16" s="43">
        <f t="shared" ca="1" si="6"/>
        <v>93.008401620495221</v>
      </c>
      <c r="H16" s="43">
        <f t="shared" ca="1" si="9"/>
        <v>-0.32562048868085175</v>
      </c>
      <c r="I16" s="43">
        <f t="shared" ca="1" si="1"/>
        <v>-0.4795172414936249</v>
      </c>
      <c r="J16" s="53">
        <f t="shared" ca="1" si="2"/>
        <v>0.31247873021343908</v>
      </c>
      <c r="K16" s="43">
        <f t="shared" ca="1" si="3"/>
        <v>7.3752716970935227E-3</v>
      </c>
      <c r="L16" s="43">
        <f t="shared" ca="1" si="10"/>
        <v>7.0174602126417171E-2</v>
      </c>
      <c r="M16" s="43">
        <f ca="1">M15*EXP($B$7*$B$10)+L16</f>
        <v>0.23659001042405242</v>
      </c>
      <c r="N16" s="46">
        <f t="shared" ca="1" si="7"/>
        <v>0.44937222163949336</v>
      </c>
      <c r="P16" s="18">
        <v>15</v>
      </c>
      <c r="Q16" s="50">
        <v>65.189499999999995</v>
      </c>
      <c r="R16" s="50">
        <v>0</v>
      </c>
      <c r="S16" s="50">
        <v>-14.8283</v>
      </c>
      <c r="T16" s="46">
        <v>-14.8283</v>
      </c>
      <c r="V16" s="1">
        <f t="shared" si="8"/>
        <v>-10.121257894736832</v>
      </c>
    </row>
    <row r="17" spans="4:22" x14ac:dyDescent="0.25">
      <c r="D17" s="45">
        <f t="shared" si="4"/>
        <v>0.78947368421052611</v>
      </c>
      <c r="E17" s="43">
        <f t="shared" si="0"/>
        <v>0.21052631578947389</v>
      </c>
      <c r="F17" s="43">
        <f t="shared" ca="1" si="5"/>
        <v>0.25574957419345967</v>
      </c>
      <c r="G17" s="43">
        <f t="shared" ca="1" si="6"/>
        <v>85.017399075955481</v>
      </c>
      <c r="H17" s="43">
        <f t="shared" ca="1" si="9"/>
        <v>-1.0491834783592529</v>
      </c>
      <c r="I17" s="43">
        <f t="shared" ca="1" si="1"/>
        <v>-1.18683291868159</v>
      </c>
      <c r="J17" s="53">
        <f t="shared" ca="1" si="2"/>
        <v>0.11666021582554016</v>
      </c>
      <c r="K17" s="43">
        <f t="shared" ca="1" si="3"/>
        <v>5.0144607247620786E-3</v>
      </c>
      <c r="L17" s="43">
        <f t="shared" ca="1" si="10"/>
        <v>-0.20071000857759688</v>
      </c>
      <c r="M17" s="43">
        <f ca="1">M16*EXP($B$7*$B$10)+L17</f>
        <v>3.6378610746242268E-2</v>
      </c>
      <c r="N17" s="46">
        <f t="shared" ca="1" si="7"/>
        <v>0.3899377978415603</v>
      </c>
      <c r="P17" s="18">
        <v>16</v>
      </c>
      <c r="Q17" s="50">
        <v>95.177999999999997</v>
      </c>
      <c r="R17" s="50">
        <v>0</v>
      </c>
      <c r="S17" s="50">
        <v>-12.3292</v>
      </c>
      <c r="T17" s="46">
        <v>-12.3292</v>
      </c>
      <c r="V17" s="1">
        <f t="shared" si="8"/>
        <v>-9.214626315789463</v>
      </c>
    </row>
    <row r="18" spans="4:22" x14ac:dyDescent="0.25">
      <c r="D18" s="45">
        <f t="shared" si="4"/>
        <v>0.84210526315789447</v>
      </c>
      <c r="E18" s="43">
        <f t="shared" si="0"/>
        <v>0.15789473684210553</v>
      </c>
      <c r="F18" s="43">
        <f t="shared" ca="1" si="5"/>
        <v>-1.301432689000251</v>
      </c>
      <c r="G18" s="43">
        <f t="shared" ca="1" si="6"/>
        <v>83.696229572451912</v>
      </c>
      <c r="H18" s="43">
        <f ca="1">(LN(G18/$B$6)+($B$7+($B$8^2)/2)*E18)/($B$8*SQRT(E18))</f>
        <v>-1.3804050490566711</v>
      </c>
      <c r="I18" s="43">
        <f t="shared" ca="1" si="1"/>
        <v>-1.4996129611925251</v>
      </c>
      <c r="J18" s="53">
        <f t="shared" ca="1" si="2"/>
        <v>6.6436417886990451E-2</v>
      </c>
      <c r="K18" s="43">
        <f t="shared" ca="1" si="3"/>
        <v>3.8721149454862638E-3</v>
      </c>
      <c r="L18" s="43">
        <f t="shared" ca="1" si="10"/>
        <v>-9.561003459339007E-2</v>
      </c>
      <c r="M18" s="43">
        <f t="shared" ca="1" si="11"/>
        <v>-5.9154756624184998E-2</v>
      </c>
      <c r="N18" s="46">
        <f t="shared" ca="1" si="7"/>
        <v>0.38323617803252547</v>
      </c>
      <c r="P18" s="18">
        <v>17</v>
      </c>
      <c r="Q18" s="50">
        <v>74.046000000000006</v>
      </c>
      <c r="R18" s="50">
        <v>0</v>
      </c>
      <c r="S18" s="50">
        <v>-17.0884</v>
      </c>
      <c r="T18" s="46">
        <v>-17.0884</v>
      </c>
      <c r="V18" s="1">
        <f t="shared" si="8"/>
        <v>-8.3079947368420939</v>
      </c>
    </row>
    <row r="19" spans="4:22" x14ac:dyDescent="0.25">
      <c r="D19" s="45">
        <f t="shared" si="4"/>
        <v>0.89473684210526283</v>
      </c>
      <c r="E19" s="43">
        <f t="shared" si="0"/>
        <v>0.10526315789473717</v>
      </c>
      <c r="F19" s="43">
        <f t="shared" ca="1" si="5"/>
        <v>-0.22374000311108894</v>
      </c>
      <c r="G19" s="43">
        <f t="shared" ca="1" si="6"/>
        <v>84.93993657638417</v>
      </c>
      <c r="H19" s="43">
        <f t="shared" ca="1" si="9"/>
        <v>-1.5850602866754144</v>
      </c>
      <c r="I19" s="43">
        <f t="shared" ca="1" si="1"/>
        <v>-1.682393139353872</v>
      </c>
      <c r="J19" s="53">
        <f t="shared" ca="1" si="2"/>
        <v>4.6052003471619384E-2</v>
      </c>
      <c r="K19" s="43">
        <f t="shared" ca="1" si="3"/>
        <v>3.5011252012276742E-3</v>
      </c>
      <c r="L19" s="43">
        <f t="shared" ca="1" si="10"/>
        <v>-3.1511845347813587E-2</v>
      </c>
      <c r="M19" s="43">
        <f t="shared" ca="1" si="11"/>
        <v>-9.0791269484649148E-2</v>
      </c>
      <c r="N19" s="46">
        <f t="shared" ca="1" si="7"/>
        <v>0.38817662202290809</v>
      </c>
      <c r="P19" s="18">
        <v>18</v>
      </c>
      <c r="Q19" s="50">
        <v>92.451400000000007</v>
      </c>
      <c r="R19" s="50">
        <v>0</v>
      </c>
      <c r="S19" s="50">
        <v>-16.883800000000001</v>
      </c>
      <c r="T19" s="46">
        <v>-16.883800000000001</v>
      </c>
      <c r="V19" s="1">
        <f t="shared" si="8"/>
        <v>-7.4013631578947257</v>
      </c>
    </row>
    <row r="20" spans="4:22" x14ac:dyDescent="0.25">
      <c r="D20" s="45">
        <f t="shared" si="4"/>
        <v>0.94736842105263119</v>
      </c>
      <c r="E20" s="43">
        <f t="shared" si="0"/>
        <v>5.2631578947368807E-2</v>
      </c>
      <c r="F20" s="43">
        <f t="shared" ca="1" si="5"/>
        <v>0.21814264555657512</v>
      </c>
      <c r="G20" s="43">
        <f t="shared" ca="1" si="6"/>
        <v>91.518467581648054</v>
      </c>
      <c r="H20" s="43">
        <f t="shared" ca="1" si="9"/>
        <v>-1.2227542396225353</v>
      </c>
      <c r="I20" s="43">
        <f t="shared" ca="1" si="1"/>
        <v>-1.291578959783704</v>
      </c>
      <c r="J20" s="53">
        <f t="shared" ca="1" si="2"/>
        <v>9.8044869492142472E-2</v>
      </c>
      <c r="K20" s="43">
        <f t="shared" ca="1" si="3"/>
        <v>8.2342483475042142E-3</v>
      </c>
      <c r="L20" s="43">
        <f t="shared" ca="1" si="10"/>
        <v>0.43316817722245754</v>
      </c>
      <c r="M20" s="43">
        <f t="shared" ca="1" si="11"/>
        <v>0.34218556688234775</v>
      </c>
      <c r="N20" s="46">
        <f t="shared" ca="1" si="7"/>
        <v>0.41140022356795575</v>
      </c>
      <c r="P20" s="18">
        <v>19</v>
      </c>
      <c r="Q20" s="50">
        <v>83.238699999999994</v>
      </c>
      <c r="R20" s="50">
        <v>0</v>
      </c>
      <c r="S20" s="50">
        <v>-14.5055</v>
      </c>
      <c r="T20" s="46">
        <v>-14.5055</v>
      </c>
      <c r="V20" s="1">
        <f>V19+(($V$21-$V$2)/19)</f>
        <v>-6.4947315789473574</v>
      </c>
    </row>
    <row r="21" spans="4:22" ht="15.75" thickBot="1" x14ac:dyDescent="0.3">
      <c r="D21" s="47">
        <f t="shared" si="4"/>
        <v>0.99999999999999956</v>
      </c>
      <c r="E21" s="44">
        <f>$B$9-D21+B11</f>
        <v>1.0000000004440892E-6</v>
      </c>
      <c r="F21" s="44">
        <f t="shared" ca="1" si="5"/>
        <v>1.0876842351339868</v>
      </c>
      <c r="G21" s="48">
        <f t="shared" ca="1" si="6"/>
        <v>91.494386943033774</v>
      </c>
      <c r="H21" s="44">
        <f ca="1">(LN(G21/$B$6)+($B$7+($B$8^2)/2)*E21)/($B$8*SQRT(E21))</f>
        <v>-296.30825151142915</v>
      </c>
      <c r="I21" s="44">
        <f t="shared" ca="1" si="1"/>
        <v>-296.30855151142919</v>
      </c>
      <c r="J21" s="55">
        <f t="shared" ca="1" si="2"/>
        <v>0</v>
      </c>
      <c r="K21" s="44">
        <f t="shared" ca="1" si="3"/>
        <v>0</v>
      </c>
      <c r="L21" s="44">
        <f t="shared" ca="1" si="10"/>
        <v>-0.75338750449158698</v>
      </c>
      <c r="M21" s="44">
        <f t="shared" ca="1" si="11"/>
        <v>-0.4104807881037284</v>
      </c>
      <c r="N21" s="49">
        <f t="shared" ca="1" si="7"/>
        <v>0.4104807881037284</v>
      </c>
      <c r="P21" s="18">
        <v>20</v>
      </c>
      <c r="Q21" s="50">
        <v>130.14529999999999</v>
      </c>
      <c r="R21" s="50">
        <v>30.145299999999999</v>
      </c>
      <c r="S21" s="50">
        <v>15.414400000000001</v>
      </c>
      <c r="T21" s="46">
        <v>-14.7309</v>
      </c>
      <c r="V21" s="58">
        <f>MAX($T$2:$T$1001)</f>
        <v>-5.5880999999999998</v>
      </c>
    </row>
    <row r="22" spans="4:22" x14ac:dyDescent="0.25">
      <c r="D22" s="4"/>
      <c r="J22" s="5"/>
      <c r="P22" s="18">
        <v>21</v>
      </c>
      <c r="Q22" s="50">
        <v>55.022500000000001</v>
      </c>
      <c r="R22" s="50">
        <v>0</v>
      </c>
      <c r="S22" s="50">
        <v>-17.421299999999999</v>
      </c>
      <c r="T22" s="46">
        <v>-17.421299999999999</v>
      </c>
    </row>
    <row r="23" spans="4:22" x14ac:dyDescent="0.25">
      <c r="D23" s="4"/>
      <c r="P23" s="18">
        <v>22</v>
      </c>
      <c r="Q23" s="50">
        <v>140.8398</v>
      </c>
      <c r="R23" s="50">
        <v>40.839799999999997</v>
      </c>
      <c r="S23" s="50">
        <v>26.659600000000001</v>
      </c>
      <c r="T23" s="46">
        <v>-14.180199999999999</v>
      </c>
    </row>
    <row r="24" spans="4:22" x14ac:dyDescent="0.25">
      <c r="P24" s="18">
        <v>23</v>
      </c>
      <c r="Q24" s="50">
        <v>84.260300000000001</v>
      </c>
      <c r="R24" s="50">
        <v>0</v>
      </c>
      <c r="S24" s="50">
        <v>-14.916399999999999</v>
      </c>
      <c r="T24" s="46">
        <v>-14.916399999999999</v>
      </c>
    </row>
    <row r="25" spans="4:22" x14ac:dyDescent="0.25">
      <c r="P25" s="18">
        <v>24</v>
      </c>
      <c r="Q25" s="50">
        <v>65.149600000000007</v>
      </c>
      <c r="R25" s="50">
        <v>0</v>
      </c>
      <c r="S25" s="50">
        <v>-13.363899999999999</v>
      </c>
      <c r="T25" s="46">
        <v>-13.363899999999999</v>
      </c>
    </row>
    <row r="26" spans="4:22" x14ac:dyDescent="0.25">
      <c r="P26" s="18">
        <v>25</v>
      </c>
      <c r="Q26" s="50">
        <v>67.590599999999995</v>
      </c>
      <c r="R26" s="50">
        <v>0</v>
      </c>
      <c r="S26" s="50">
        <v>-13.2814</v>
      </c>
      <c r="T26" s="46">
        <v>-13.2814</v>
      </c>
    </row>
    <row r="27" spans="4:22" x14ac:dyDescent="0.25">
      <c r="P27" s="18">
        <v>26</v>
      </c>
      <c r="Q27" s="50">
        <v>110.8021</v>
      </c>
      <c r="R27" s="50">
        <v>10.802099999999999</v>
      </c>
      <c r="S27" s="50">
        <v>-2.2389000000000001</v>
      </c>
      <c r="T27" s="46">
        <v>-13.041</v>
      </c>
    </row>
    <row r="28" spans="4:22" x14ac:dyDescent="0.25">
      <c r="P28" s="18">
        <v>27</v>
      </c>
      <c r="Q28" s="50">
        <v>135.10310000000001</v>
      </c>
      <c r="R28" s="50">
        <v>35.103099999999998</v>
      </c>
      <c r="S28" s="50">
        <v>18.302299999999999</v>
      </c>
      <c r="T28" s="46">
        <v>-16.800799999999999</v>
      </c>
    </row>
    <row r="29" spans="4:22" x14ac:dyDescent="0.25">
      <c r="P29" s="18">
        <v>28</v>
      </c>
      <c r="Q29" s="50">
        <v>75.436999999999998</v>
      </c>
      <c r="R29" s="50">
        <v>0</v>
      </c>
      <c r="S29" s="50">
        <v>-15.4025</v>
      </c>
      <c r="T29" s="46">
        <v>-15.4025</v>
      </c>
    </row>
    <row r="30" spans="4:22" x14ac:dyDescent="0.25">
      <c r="P30" s="18">
        <v>29</v>
      </c>
      <c r="Q30" s="50">
        <v>144.47829999999999</v>
      </c>
      <c r="R30" s="50">
        <v>44.478299999999997</v>
      </c>
      <c r="S30" s="50">
        <v>30.097100000000001</v>
      </c>
      <c r="T30" s="46">
        <v>-14.3813</v>
      </c>
    </row>
    <row r="31" spans="4:22" x14ac:dyDescent="0.25">
      <c r="P31" s="18">
        <v>30</v>
      </c>
      <c r="Q31" s="50">
        <v>102.1598</v>
      </c>
      <c r="R31" s="50">
        <v>2.1598000000000002</v>
      </c>
      <c r="S31" s="50">
        <v>-3.4283000000000001</v>
      </c>
      <c r="T31" s="46">
        <v>-5.5880999999999998</v>
      </c>
    </row>
    <row r="32" spans="4:22" x14ac:dyDescent="0.25">
      <c r="P32" s="18">
        <v>31</v>
      </c>
      <c r="Q32" s="50">
        <v>76.789900000000003</v>
      </c>
      <c r="R32" s="50">
        <v>0</v>
      </c>
      <c r="S32" s="50">
        <v>-13.3363</v>
      </c>
      <c r="T32" s="46">
        <v>-13.3363</v>
      </c>
    </row>
    <row r="33" spans="16:20" x14ac:dyDescent="0.25">
      <c r="P33" s="18">
        <v>32</v>
      </c>
      <c r="Q33" s="50">
        <v>115.46810000000001</v>
      </c>
      <c r="R33" s="50">
        <v>15.4681</v>
      </c>
      <c r="S33" s="50">
        <v>3.6816</v>
      </c>
      <c r="T33" s="46">
        <v>-11.7865</v>
      </c>
    </row>
    <row r="34" spans="16:20" x14ac:dyDescent="0.25">
      <c r="P34" s="18">
        <v>33</v>
      </c>
      <c r="Q34" s="50">
        <v>127.9319</v>
      </c>
      <c r="R34" s="50">
        <v>27.931899999999999</v>
      </c>
      <c r="S34" s="50">
        <v>13.025499999999999</v>
      </c>
      <c r="T34" s="46">
        <v>-14.9064</v>
      </c>
    </row>
    <row r="35" spans="16:20" x14ac:dyDescent="0.25">
      <c r="P35" s="18">
        <v>34</v>
      </c>
      <c r="Q35" s="50">
        <v>49.417200000000001</v>
      </c>
      <c r="R35" s="50">
        <v>0</v>
      </c>
      <c r="S35" s="50">
        <v>-15.969900000000001</v>
      </c>
      <c r="T35" s="46">
        <v>-15.969900000000001</v>
      </c>
    </row>
    <row r="36" spans="16:20" x14ac:dyDescent="0.25">
      <c r="P36" s="18">
        <v>35</v>
      </c>
      <c r="Q36" s="50">
        <v>95.464600000000004</v>
      </c>
      <c r="R36" s="50">
        <v>0</v>
      </c>
      <c r="S36" s="50">
        <v>-9.6244999999999994</v>
      </c>
      <c r="T36" s="46">
        <v>-9.6244999999999994</v>
      </c>
    </row>
    <row r="37" spans="16:20" x14ac:dyDescent="0.25">
      <c r="P37" s="18">
        <v>36</v>
      </c>
      <c r="Q37" s="50">
        <v>48.264600000000002</v>
      </c>
      <c r="R37" s="50">
        <v>0</v>
      </c>
      <c r="S37" s="50">
        <v>-15.3155</v>
      </c>
      <c r="T37" s="46">
        <v>-15.3155</v>
      </c>
    </row>
    <row r="38" spans="16:20" x14ac:dyDescent="0.25">
      <c r="P38" s="18">
        <v>37</v>
      </c>
      <c r="Q38" s="50">
        <v>58.499699999999997</v>
      </c>
      <c r="R38" s="50">
        <v>0</v>
      </c>
      <c r="S38" s="50">
        <v>-15.3292</v>
      </c>
      <c r="T38" s="46">
        <v>-15.3292</v>
      </c>
    </row>
    <row r="39" spans="16:20" x14ac:dyDescent="0.25">
      <c r="P39" s="18">
        <v>38</v>
      </c>
      <c r="Q39" s="50">
        <v>98.131600000000006</v>
      </c>
      <c r="R39" s="50">
        <v>0</v>
      </c>
      <c r="S39" s="50">
        <v>-13.515700000000001</v>
      </c>
      <c r="T39" s="46">
        <v>-13.515700000000001</v>
      </c>
    </row>
    <row r="40" spans="16:20" x14ac:dyDescent="0.25">
      <c r="P40" s="18">
        <v>39</v>
      </c>
      <c r="Q40" s="50">
        <v>121.038</v>
      </c>
      <c r="R40" s="50">
        <v>21.038</v>
      </c>
      <c r="S40" s="50">
        <v>3.5131000000000001</v>
      </c>
      <c r="T40" s="46">
        <v>-17.524799999999999</v>
      </c>
    </row>
    <row r="41" spans="16:20" x14ac:dyDescent="0.25">
      <c r="P41" s="18">
        <v>40</v>
      </c>
      <c r="Q41" s="50">
        <v>173.6542</v>
      </c>
      <c r="R41" s="50">
        <v>73.654200000000003</v>
      </c>
      <c r="S41" s="50">
        <v>57.5319</v>
      </c>
      <c r="T41" s="46">
        <v>-16.122299999999999</v>
      </c>
    </row>
    <row r="42" spans="16:20" x14ac:dyDescent="0.25">
      <c r="P42" s="18">
        <v>41</v>
      </c>
      <c r="Q42" s="50">
        <v>109.3192</v>
      </c>
      <c r="R42" s="50">
        <v>9.3192000000000004</v>
      </c>
      <c r="S42" s="50">
        <v>-8.9388000000000005</v>
      </c>
      <c r="T42" s="46">
        <v>-18.257999999999999</v>
      </c>
    </row>
    <row r="43" spans="16:20" x14ac:dyDescent="0.25">
      <c r="P43" s="18">
        <v>42</v>
      </c>
      <c r="Q43" s="50">
        <v>84.56</v>
      </c>
      <c r="R43" s="50">
        <v>0</v>
      </c>
      <c r="S43" s="50">
        <v>-11.7011</v>
      </c>
      <c r="T43" s="46">
        <v>-11.7011</v>
      </c>
    </row>
    <row r="44" spans="16:20" x14ac:dyDescent="0.25">
      <c r="P44" s="18">
        <v>43</v>
      </c>
      <c r="Q44" s="50">
        <v>90.349299999999999</v>
      </c>
      <c r="R44" s="50">
        <v>0</v>
      </c>
      <c r="S44" s="50">
        <v>-11.998100000000001</v>
      </c>
      <c r="T44" s="46">
        <v>-11.998100000000001</v>
      </c>
    </row>
    <row r="45" spans="16:20" x14ac:dyDescent="0.25">
      <c r="P45" s="18">
        <v>44</v>
      </c>
      <c r="Q45" s="50">
        <v>91.812799999999996</v>
      </c>
      <c r="R45" s="50">
        <v>0</v>
      </c>
      <c r="S45" s="50">
        <v>-17.7014</v>
      </c>
      <c r="T45" s="46">
        <v>-17.7014</v>
      </c>
    </row>
    <row r="46" spans="16:20" x14ac:dyDescent="0.25">
      <c r="P46" s="18">
        <v>45</v>
      </c>
      <c r="Q46" s="50">
        <v>133.71170000000001</v>
      </c>
      <c r="R46" s="50">
        <v>33.7117</v>
      </c>
      <c r="S46" s="50">
        <v>16.05</v>
      </c>
      <c r="T46" s="46">
        <v>-17.6617</v>
      </c>
    </row>
    <row r="47" spans="16:20" x14ac:dyDescent="0.25">
      <c r="P47" s="18">
        <v>46</v>
      </c>
      <c r="Q47" s="50">
        <v>122.4444</v>
      </c>
      <c r="R47" s="50">
        <v>22.444400000000002</v>
      </c>
      <c r="S47" s="50">
        <v>10.159000000000001</v>
      </c>
      <c r="T47" s="46">
        <v>-12.285399999999999</v>
      </c>
    </row>
    <row r="48" spans="16:20" x14ac:dyDescent="0.25">
      <c r="P48" s="18">
        <v>47</v>
      </c>
      <c r="Q48" s="50">
        <v>64.505700000000004</v>
      </c>
      <c r="R48" s="50">
        <v>0</v>
      </c>
      <c r="S48" s="50">
        <v>-13.427099999999999</v>
      </c>
      <c r="T48" s="46">
        <v>-13.427099999999999</v>
      </c>
    </row>
    <row r="49" spans="16:20" x14ac:dyDescent="0.25">
      <c r="P49" s="18">
        <v>48</v>
      </c>
      <c r="Q49" s="50">
        <v>125.0582</v>
      </c>
      <c r="R49" s="50">
        <v>25.058199999999999</v>
      </c>
      <c r="S49" s="50">
        <v>10.2606</v>
      </c>
      <c r="T49" s="46">
        <v>-14.797599999999999</v>
      </c>
    </row>
    <row r="50" spans="16:20" x14ac:dyDescent="0.25">
      <c r="P50" s="18">
        <v>49</v>
      </c>
      <c r="Q50" s="50">
        <v>167.95760000000001</v>
      </c>
      <c r="R50" s="50">
        <v>67.957599999999999</v>
      </c>
      <c r="S50" s="50">
        <v>53.264000000000003</v>
      </c>
      <c r="T50" s="46">
        <v>-14.6935</v>
      </c>
    </row>
    <row r="51" spans="16:20" x14ac:dyDescent="0.25">
      <c r="P51" s="18">
        <v>50</v>
      </c>
      <c r="Q51" s="50">
        <v>84.451400000000007</v>
      </c>
      <c r="R51" s="50">
        <v>0</v>
      </c>
      <c r="S51" s="50">
        <v>-12.5967</v>
      </c>
      <c r="T51" s="46">
        <v>-12.5967</v>
      </c>
    </row>
    <row r="52" spans="16:20" x14ac:dyDescent="0.25">
      <c r="P52" s="18">
        <v>51</v>
      </c>
      <c r="Q52" s="50">
        <v>156.7681</v>
      </c>
      <c r="R52" s="50">
        <v>56.768099999999997</v>
      </c>
      <c r="S52" s="50">
        <v>41.600299999999997</v>
      </c>
      <c r="T52" s="46">
        <v>-15.1678</v>
      </c>
    </row>
    <row r="53" spans="16:20" x14ac:dyDescent="0.25">
      <c r="P53" s="18">
        <v>52</v>
      </c>
      <c r="Q53" s="50">
        <v>85.846299999999999</v>
      </c>
      <c r="R53" s="50">
        <v>0</v>
      </c>
      <c r="S53" s="50">
        <v>-13.358599999999999</v>
      </c>
      <c r="T53" s="46">
        <v>-13.358599999999999</v>
      </c>
    </row>
    <row r="54" spans="16:20" x14ac:dyDescent="0.25">
      <c r="P54" s="18">
        <v>53</v>
      </c>
      <c r="Q54" s="50">
        <v>79.817899999999995</v>
      </c>
      <c r="R54" s="50">
        <v>0</v>
      </c>
      <c r="S54" s="50">
        <v>-13.4902</v>
      </c>
      <c r="T54" s="46">
        <v>-13.4902</v>
      </c>
    </row>
    <row r="55" spans="16:20" x14ac:dyDescent="0.25">
      <c r="P55" s="18">
        <v>54</v>
      </c>
      <c r="Q55" s="50">
        <v>163.28489999999999</v>
      </c>
      <c r="R55" s="50">
        <v>63.2849</v>
      </c>
      <c r="S55" s="50">
        <v>47.305199999999999</v>
      </c>
      <c r="T55" s="46">
        <v>-15.9796</v>
      </c>
    </row>
    <row r="56" spans="16:20" x14ac:dyDescent="0.25">
      <c r="P56" s="18">
        <v>55</v>
      </c>
      <c r="Q56" s="50">
        <v>97.198300000000003</v>
      </c>
      <c r="R56" s="50">
        <v>0</v>
      </c>
      <c r="S56" s="50">
        <v>-12.430300000000001</v>
      </c>
      <c r="T56" s="46">
        <v>-12.430300000000001</v>
      </c>
    </row>
    <row r="57" spans="16:20" x14ac:dyDescent="0.25">
      <c r="P57" s="18">
        <v>56</v>
      </c>
      <c r="Q57" s="50">
        <v>84.986699999999999</v>
      </c>
      <c r="R57" s="50">
        <v>0</v>
      </c>
      <c r="S57" s="50">
        <v>-10.726699999999999</v>
      </c>
      <c r="T57" s="46">
        <v>-10.726699999999999</v>
      </c>
    </row>
    <row r="58" spans="16:20" x14ac:dyDescent="0.25">
      <c r="P58" s="18">
        <v>57</v>
      </c>
      <c r="Q58" s="50">
        <v>92.822100000000006</v>
      </c>
      <c r="R58" s="50">
        <v>0</v>
      </c>
      <c r="S58" s="50">
        <v>-8.9130000000000003</v>
      </c>
      <c r="T58" s="46">
        <v>-8.9130000000000003</v>
      </c>
    </row>
    <row r="59" spans="16:20" x14ac:dyDescent="0.25">
      <c r="P59" s="18">
        <v>58</v>
      </c>
      <c r="Q59" s="50">
        <v>113.7323</v>
      </c>
      <c r="R59" s="50">
        <v>13.7323</v>
      </c>
      <c r="S59" s="50">
        <v>0.60719999999999996</v>
      </c>
      <c r="T59" s="46">
        <v>-13.1252</v>
      </c>
    </row>
    <row r="60" spans="16:20" x14ac:dyDescent="0.25">
      <c r="P60" s="18">
        <v>59</v>
      </c>
      <c r="Q60" s="50">
        <v>99.177499999999995</v>
      </c>
      <c r="R60" s="50">
        <v>0</v>
      </c>
      <c r="S60" s="50">
        <v>-10.216699999999999</v>
      </c>
      <c r="T60" s="46">
        <v>-10.216699999999999</v>
      </c>
    </row>
    <row r="61" spans="16:20" x14ac:dyDescent="0.25">
      <c r="P61" s="18">
        <v>60</v>
      </c>
      <c r="Q61" s="50">
        <v>129.59110000000001</v>
      </c>
      <c r="R61" s="50">
        <v>29.591100000000001</v>
      </c>
      <c r="S61" s="50">
        <v>14.9725</v>
      </c>
      <c r="T61" s="46">
        <v>-14.618499999999999</v>
      </c>
    </row>
    <row r="62" spans="16:20" x14ac:dyDescent="0.25">
      <c r="P62" s="18">
        <v>61</v>
      </c>
      <c r="Q62" s="50">
        <v>80.508499999999998</v>
      </c>
      <c r="R62" s="50">
        <v>0</v>
      </c>
      <c r="S62" s="50">
        <v>-19.113299999999999</v>
      </c>
      <c r="T62" s="46">
        <v>-19.113299999999999</v>
      </c>
    </row>
    <row r="63" spans="16:20" x14ac:dyDescent="0.25">
      <c r="P63" s="18">
        <v>62</v>
      </c>
      <c r="Q63" s="50">
        <v>57.511699999999998</v>
      </c>
      <c r="R63" s="50">
        <v>0</v>
      </c>
      <c r="S63" s="50">
        <v>-14.455299999999999</v>
      </c>
      <c r="T63" s="46">
        <v>-14.455299999999999</v>
      </c>
    </row>
    <row r="64" spans="16:20" x14ac:dyDescent="0.25">
      <c r="P64" s="18">
        <v>63</v>
      </c>
      <c r="Q64" s="50">
        <v>133.4836</v>
      </c>
      <c r="R64" s="50">
        <v>33.483600000000003</v>
      </c>
      <c r="S64" s="50">
        <v>19.479099999999999</v>
      </c>
      <c r="T64" s="46">
        <v>-14.0045</v>
      </c>
    </row>
    <row r="65" spans="16:20" x14ac:dyDescent="0.25">
      <c r="P65" s="18">
        <v>64</v>
      </c>
      <c r="Q65" s="50">
        <v>92.750200000000007</v>
      </c>
      <c r="R65" s="50">
        <v>0</v>
      </c>
      <c r="S65" s="50">
        <v>-11.8062</v>
      </c>
      <c r="T65" s="46">
        <v>-11.8062</v>
      </c>
    </row>
    <row r="66" spans="16:20" x14ac:dyDescent="0.25">
      <c r="P66" s="18">
        <v>65</v>
      </c>
      <c r="Q66" s="50">
        <v>88.934100000000001</v>
      </c>
      <c r="R66" s="50">
        <v>0</v>
      </c>
      <c r="S66" s="50">
        <v>-12.1731</v>
      </c>
      <c r="T66" s="46">
        <v>-12.1731</v>
      </c>
    </row>
    <row r="67" spans="16:20" x14ac:dyDescent="0.25">
      <c r="P67" s="18">
        <v>66</v>
      </c>
      <c r="Q67" s="50">
        <v>82.587999999999994</v>
      </c>
      <c r="R67" s="50">
        <v>0</v>
      </c>
      <c r="S67" s="50">
        <v>-16.273299999999999</v>
      </c>
      <c r="T67" s="46">
        <v>-16.273299999999999</v>
      </c>
    </row>
    <row r="68" spans="16:20" x14ac:dyDescent="0.25">
      <c r="P68" s="18">
        <v>67</v>
      </c>
      <c r="Q68" s="50">
        <v>55.185400000000001</v>
      </c>
      <c r="R68" s="50">
        <v>0</v>
      </c>
      <c r="S68" s="50">
        <v>-16.4849</v>
      </c>
      <c r="T68" s="46">
        <v>-16.4849</v>
      </c>
    </row>
    <row r="69" spans="16:20" x14ac:dyDescent="0.25">
      <c r="P69" s="18">
        <v>68</v>
      </c>
      <c r="Q69" s="50">
        <v>81.930499999999995</v>
      </c>
      <c r="R69" s="50">
        <v>0</v>
      </c>
      <c r="S69" s="50">
        <v>-16.2422</v>
      </c>
      <c r="T69" s="46">
        <v>-16.2422</v>
      </c>
    </row>
    <row r="70" spans="16:20" x14ac:dyDescent="0.25">
      <c r="P70" s="18">
        <v>69</v>
      </c>
      <c r="Q70" s="50">
        <v>93.618499999999997</v>
      </c>
      <c r="R70" s="50">
        <v>0</v>
      </c>
      <c r="S70" s="50">
        <v>-10.930300000000001</v>
      </c>
      <c r="T70" s="46">
        <v>-10.930300000000001</v>
      </c>
    </row>
    <row r="71" spans="16:20" x14ac:dyDescent="0.25">
      <c r="P71" s="18">
        <v>70</v>
      </c>
      <c r="Q71" s="50">
        <v>112.4297</v>
      </c>
      <c r="R71" s="50">
        <v>12.4297</v>
      </c>
      <c r="S71" s="50">
        <v>-0.58799999999999997</v>
      </c>
      <c r="T71" s="46">
        <v>-13.0177</v>
      </c>
    </row>
    <row r="72" spans="16:20" x14ac:dyDescent="0.25">
      <c r="P72" s="18">
        <v>71</v>
      </c>
      <c r="Q72" s="50">
        <v>74.421499999999995</v>
      </c>
      <c r="R72" s="50">
        <v>0</v>
      </c>
      <c r="S72" s="50">
        <v>-13.3919</v>
      </c>
      <c r="T72" s="46">
        <v>-13.3919</v>
      </c>
    </row>
    <row r="73" spans="16:20" x14ac:dyDescent="0.25">
      <c r="P73" s="18">
        <v>72</v>
      </c>
      <c r="Q73" s="50">
        <v>140.12530000000001</v>
      </c>
      <c r="R73" s="50">
        <v>40.125300000000003</v>
      </c>
      <c r="S73" s="50">
        <v>21.502199999999998</v>
      </c>
      <c r="T73" s="46">
        <v>-18.623100000000001</v>
      </c>
    </row>
    <row r="74" spans="16:20" x14ac:dyDescent="0.25">
      <c r="P74" s="18">
        <v>73</v>
      </c>
      <c r="Q74" s="50">
        <v>70.2072</v>
      </c>
      <c r="R74" s="50">
        <v>0</v>
      </c>
      <c r="S74" s="50">
        <v>-16.789300000000001</v>
      </c>
      <c r="T74" s="46">
        <v>-16.789300000000001</v>
      </c>
    </row>
    <row r="75" spans="16:20" x14ac:dyDescent="0.25">
      <c r="P75" s="18">
        <v>74</v>
      </c>
      <c r="Q75" s="50">
        <v>86.707800000000006</v>
      </c>
      <c r="R75" s="50">
        <v>0</v>
      </c>
      <c r="S75" s="50">
        <v>-18.914999999999999</v>
      </c>
      <c r="T75" s="46">
        <v>-18.914999999999999</v>
      </c>
    </row>
    <row r="76" spans="16:20" x14ac:dyDescent="0.25">
      <c r="P76" s="18">
        <v>75</v>
      </c>
      <c r="Q76" s="50">
        <v>66.698599999999999</v>
      </c>
      <c r="R76" s="50">
        <v>0</v>
      </c>
      <c r="S76" s="50">
        <v>-16.183700000000002</v>
      </c>
      <c r="T76" s="46">
        <v>-16.183700000000002</v>
      </c>
    </row>
    <row r="77" spans="16:20" x14ac:dyDescent="0.25">
      <c r="P77" s="18">
        <v>76</v>
      </c>
      <c r="Q77" s="50">
        <v>106.58450000000001</v>
      </c>
      <c r="R77" s="50">
        <v>6.5845000000000002</v>
      </c>
      <c r="S77" s="50">
        <v>-7.0305999999999997</v>
      </c>
      <c r="T77" s="46">
        <v>-13.6151</v>
      </c>
    </row>
    <row r="78" spans="16:20" x14ac:dyDescent="0.25">
      <c r="P78" s="18">
        <v>77</v>
      </c>
      <c r="Q78" s="50">
        <v>84.361699999999999</v>
      </c>
      <c r="R78" s="50">
        <v>0</v>
      </c>
      <c r="S78" s="50">
        <v>-14.7637</v>
      </c>
      <c r="T78" s="46">
        <v>-14.7637</v>
      </c>
    </row>
    <row r="79" spans="16:20" x14ac:dyDescent="0.25">
      <c r="P79" s="18">
        <v>78</v>
      </c>
      <c r="Q79" s="50">
        <v>92.317400000000006</v>
      </c>
      <c r="R79" s="50">
        <v>0</v>
      </c>
      <c r="S79" s="50">
        <v>-13.545500000000001</v>
      </c>
      <c r="T79" s="46">
        <v>-13.545500000000001</v>
      </c>
    </row>
    <row r="80" spans="16:20" x14ac:dyDescent="0.25">
      <c r="P80" s="18">
        <v>79</v>
      </c>
      <c r="Q80" s="50">
        <v>104.7911</v>
      </c>
      <c r="R80" s="50">
        <v>4.7911000000000001</v>
      </c>
      <c r="S80" s="50">
        <v>-6.4180000000000001</v>
      </c>
      <c r="T80" s="46">
        <v>-11.209099999999999</v>
      </c>
    </row>
    <row r="81" spans="16:20" x14ac:dyDescent="0.25">
      <c r="P81" s="18">
        <v>80</v>
      </c>
      <c r="Q81" s="50">
        <v>110.98869999999999</v>
      </c>
      <c r="R81" s="50">
        <v>10.9887</v>
      </c>
      <c r="S81" s="50">
        <v>-0.31879999999999997</v>
      </c>
      <c r="T81" s="46">
        <v>-11.307499999999999</v>
      </c>
    </row>
    <row r="82" spans="16:20" x14ac:dyDescent="0.25">
      <c r="P82" s="18">
        <v>81</v>
      </c>
      <c r="Q82" s="50">
        <v>75.060699999999997</v>
      </c>
      <c r="R82" s="50">
        <v>0</v>
      </c>
      <c r="S82" s="50">
        <v>-14.1668</v>
      </c>
      <c r="T82" s="46">
        <v>-14.1668</v>
      </c>
    </row>
    <row r="83" spans="16:20" x14ac:dyDescent="0.25">
      <c r="P83" s="18">
        <v>82</v>
      </c>
      <c r="Q83" s="50">
        <v>85.380700000000004</v>
      </c>
      <c r="R83" s="50">
        <v>0</v>
      </c>
      <c r="S83" s="50">
        <v>-12.322800000000001</v>
      </c>
      <c r="T83" s="46">
        <v>-12.322800000000001</v>
      </c>
    </row>
    <row r="84" spans="16:20" x14ac:dyDescent="0.25">
      <c r="P84" s="18">
        <v>83</v>
      </c>
      <c r="Q84" s="50">
        <v>86.103499999999997</v>
      </c>
      <c r="R84" s="50">
        <v>0</v>
      </c>
      <c r="S84" s="50">
        <v>-11.7315</v>
      </c>
      <c r="T84" s="46">
        <v>-11.7315</v>
      </c>
    </row>
    <row r="85" spans="16:20" x14ac:dyDescent="0.25">
      <c r="P85" s="18">
        <v>84</v>
      </c>
      <c r="Q85" s="50">
        <v>80.983500000000006</v>
      </c>
      <c r="R85" s="50">
        <v>0</v>
      </c>
      <c r="S85" s="50">
        <v>-18.636600000000001</v>
      </c>
      <c r="T85" s="46">
        <v>-18.636600000000001</v>
      </c>
    </row>
    <row r="86" spans="16:20" x14ac:dyDescent="0.25">
      <c r="P86" s="18">
        <v>85</v>
      </c>
      <c r="Q86" s="50">
        <v>92.899299999999997</v>
      </c>
      <c r="R86" s="50">
        <v>0</v>
      </c>
      <c r="S86" s="50">
        <v>-9.3969000000000005</v>
      </c>
      <c r="T86" s="46">
        <v>-9.3969000000000005</v>
      </c>
    </row>
    <row r="87" spans="16:20" x14ac:dyDescent="0.25">
      <c r="P87" s="18">
        <v>86</v>
      </c>
      <c r="Q87" s="50">
        <v>90.559799999999996</v>
      </c>
      <c r="R87" s="50">
        <v>0</v>
      </c>
      <c r="S87" s="50">
        <v>-10.2683</v>
      </c>
      <c r="T87" s="46">
        <v>-10.2683</v>
      </c>
    </row>
    <row r="88" spans="16:20" x14ac:dyDescent="0.25">
      <c r="P88" s="18">
        <v>87</v>
      </c>
      <c r="Q88" s="50">
        <v>108.9769</v>
      </c>
      <c r="R88" s="50">
        <v>8.9769000000000005</v>
      </c>
      <c r="S88" s="50">
        <v>-7.5603999999999996</v>
      </c>
      <c r="T88" s="46">
        <v>-16.537400000000002</v>
      </c>
    </row>
    <row r="89" spans="16:20" x14ac:dyDescent="0.25">
      <c r="P89" s="18">
        <v>88</v>
      </c>
      <c r="Q89" s="50">
        <v>67.158100000000005</v>
      </c>
      <c r="R89" s="50">
        <v>0</v>
      </c>
      <c r="S89" s="50">
        <v>-15.9741</v>
      </c>
      <c r="T89" s="46">
        <v>-15.9741</v>
      </c>
    </row>
    <row r="90" spans="16:20" x14ac:dyDescent="0.25">
      <c r="P90" s="18">
        <v>89</v>
      </c>
      <c r="Q90" s="50">
        <v>105.4552</v>
      </c>
      <c r="R90" s="50">
        <v>5.4551999999999996</v>
      </c>
      <c r="S90" s="50">
        <v>-10.8565</v>
      </c>
      <c r="T90" s="46">
        <v>-16.311599999999999</v>
      </c>
    </row>
    <row r="91" spans="16:20" x14ac:dyDescent="0.25">
      <c r="P91" s="18">
        <v>90</v>
      </c>
      <c r="Q91" s="50">
        <v>98.430499999999995</v>
      </c>
      <c r="R91" s="50">
        <v>0</v>
      </c>
      <c r="S91" s="50">
        <v>-13.7074</v>
      </c>
      <c r="T91" s="46">
        <v>-13.7074</v>
      </c>
    </row>
    <row r="92" spans="16:20" x14ac:dyDescent="0.25">
      <c r="P92" s="18">
        <v>91</v>
      </c>
      <c r="Q92" s="50">
        <v>92.891999999999996</v>
      </c>
      <c r="R92" s="50">
        <v>0</v>
      </c>
      <c r="S92" s="50">
        <v>-14.7529</v>
      </c>
      <c r="T92" s="46">
        <v>-14.7529</v>
      </c>
    </row>
    <row r="93" spans="16:20" x14ac:dyDescent="0.25">
      <c r="P93" s="18">
        <v>92</v>
      </c>
      <c r="Q93" s="50">
        <v>106.1228</v>
      </c>
      <c r="R93" s="50">
        <v>6.1227999999999998</v>
      </c>
      <c r="S93" s="50">
        <v>-3.2052999999999998</v>
      </c>
      <c r="T93" s="46">
        <v>-9.3280999999999992</v>
      </c>
    </row>
    <row r="94" spans="16:20" x14ac:dyDescent="0.25">
      <c r="P94" s="18">
        <v>93</v>
      </c>
      <c r="Q94" s="50">
        <v>104.34139999999999</v>
      </c>
      <c r="R94" s="50">
        <v>4.3414000000000001</v>
      </c>
      <c r="S94" s="50">
        <v>-7.6448</v>
      </c>
      <c r="T94" s="46">
        <v>-11.9862</v>
      </c>
    </row>
    <row r="95" spans="16:20" x14ac:dyDescent="0.25">
      <c r="P95" s="18">
        <v>94</v>
      </c>
      <c r="Q95" s="50">
        <v>115.5129</v>
      </c>
      <c r="R95" s="50">
        <v>15.5129</v>
      </c>
      <c r="S95" s="50">
        <v>2.5390999999999999</v>
      </c>
      <c r="T95" s="46">
        <v>-12.973800000000001</v>
      </c>
    </row>
    <row r="96" spans="16:20" x14ac:dyDescent="0.25">
      <c r="P96" s="18">
        <v>95</v>
      </c>
      <c r="Q96" s="50">
        <v>61.0364</v>
      </c>
      <c r="R96" s="50">
        <v>0</v>
      </c>
      <c r="S96" s="50">
        <v>-15.941599999999999</v>
      </c>
      <c r="T96" s="46">
        <v>-15.941599999999999</v>
      </c>
    </row>
    <row r="97" spans="16:20" x14ac:dyDescent="0.25">
      <c r="P97" s="18">
        <v>96</v>
      </c>
      <c r="Q97" s="50">
        <v>112.56310000000001</v>
      </c>
      <c r="R97" s="50">
        <v>12.5631</v>
      </c>
      <c r="S97" s="50">
        <v>0.31340000000000001</v>
      </c>
      <c r="T97" s="46">
        <v>-12.249700000000001</v>
      </c>
    </row>
    <row r="98" spans="16:20" x14ac:dyDescent="0.25">
      <c r="P98" s="18">
        <v>97</v>
      </c>
      <c r="Q98" s="50">
        <v>91.051100000000005</v>
      </c>
      <c r="R98" s="50">
        <v>0</v>
      </c>
      <c r="S98" s="50">
        <v>-13.8637</v>
      </c>
      <c r="T98" s="46">
        <v>-13.8637</v>
      </c>
    </row>
    <row r="99" spans="16:20" x14ac:dyDescent="0.25">
      <c r="P99" s="18">
        <v>98</v>
      </c>
      <c r="Q99" s="50">
        <v>60.106999999999999</v>
      </c>
      <c r="R99" s="50">
        <v>0</v>
      </c>
      <c r="S99" s="50">
        <v>-13.6074</v>
      </c>
      <c r="T99" s="46">
        <v>-13.6074</v>
      </c>
    </row>
    <row r="100" spans="16:20" x14ac:dyDescent="0.25">
      <c r="P100" s="18">
        <v>99</v>
      </c>
      <c r="Q100" s="50">
        <v>122.6016</v>
      </c>
      <c r="R100" s="50">
        <v>22.601600000000001</v>
      </c>
      <c r="S100" s="50">
        <v>9.7417999999999996</v>
      </c>
      <c r="T100" s="46">
        <v>-12.8598</v>
      </c>
    </row>
    <row r="101" spans="16:20" x14ac:dyDescent="0.25">
      <c r="P101" s="18">
        <v>100</v>
      </c>
      <c r="Q101" s="50">
        <v>155.15969999999999</v>
      </c>
      <c r="R101" s="50">
        <v>55.159700000000001</v>
      </c>
      <c r="S101" s="50">
        <v>41.343699999999998</v>
      </c>
      <c r="T101" s="46">
        <v>-13.816000000000001</v>
      </c>
    </row>
    <row r="102" spans="16:20" x14ac:dyDescent="0.25">
      <c r="P102" s="18">
        <v>101</v>
      </c>
      <c r="Q102" s="50">
        <v>148.57149999999999</v>
      </c>
      <c r="R102" s="50">
        <v>48.5715</v>
      </c>
      <c r="S102" s="50">
        <v>31.807500000000001</v>
      </c>
      <c r="T102" s="46">
        <v>-16.763999999999999</v>
      </c>
    </row>
    <row r="103" spans="16:20" x14ac:dyDescent="0.25">
      <c r="P103" s="18">
        <v>102</v>
      </c>
      <c r="Q103" s="50">
        <v>80.556100000000001</v>
      </c>
      <c r="R103" s="50">
        <v>0</v>
      </c>
      <c r="S103" s="50">
        <v>-15.558400000000001</v>
      </c>
      <c r="T103" s="46">
        <v>-15.558400000000001</v>
      </c>
    </row>
    <row r="104" spans="16:20" x14ac:dyDescent="0.25">
      <c r="P104" s="18">
        <v>103</v>
      </c>
      <c r="Q104" s="50">
        <v>91.621700000000004</v>
      </c>
      <c r="R104" s="50">
        <v>0</v>
      </c>
      <c r="S104" s="50">
        <v>-12.352399999999999</v>
      </c>
      <c r="T104" s="46">
        <v>-12.352399999999999</v>
      </c>
    </row>
    <row r="105" spans="16:20" x14ac:dyDescent="0.25">
      <c r="P105" s="18">
        <v>104</v>
      </c>
      <c r="Q105" s="50">
        <v>130.4486</v>
      </c>
      <c r="R105" s="50">
        <v>30.448599999999999</v>
      </c>
      <c r="S105" s="50">
        <v>13.7302</v>
      </c>
      <c r="T105" s="46">
        <v>-16.718399999999999</v>
      </c>
    </row>
    <row r="106" spans="16:20" x14ac:dyDescent="0.25">
      <c r="P106" s="18">
        <v>105</v>
      </c>
      <c r="Q106" s="50">
        <v>138.39179999999999</v>
      </c>
      <c r="R106" s="50">
        <v>38.391800000000003</v>
      </c>
      <c r="S106" s="50">
        <v>21.412600000000001</v>
      </c>
      <c r="T106" s="46">
        <v>-16.979199999999999</v>
      </c>
    </row>
    <row r="107" spans="16:20" x14ac:dyDescent="0.25">
      <c r="P107" s="18">
        <v>106</v>
      </c>
      <c r="Q107" s="50">
        <v>113.1422</v>
      </c>
      <c r="R107" s="50">
        <v>13.142200000000001</v>
      </c>
      <c r="S107" s="50">
        <v>2.827</v>
      </c>
      <c r="T107" s="46">
        <v>-10.315099999999999</v>
      </c>
    </row>
    <row r="108" spans="16:20" x14ac:dyDescent="0.25">
      <c r="P108" s="18">
        <v>107</v>
      </c>
      <c r="Q108" s="50">
        <v>110.3995</v>
      </c>
      <c r="R108" s="50">
        <v>10.3995</v>
      </c>
      <c r="S108" s="50">
        <v>-3.6240999999999999</v>
      </c>
      <c r="T108" s="46">
        <v>-14.0237</v>
      </c>
    </row>
    <row r="109" spans="16:20" x14ac:dyDescent="0.25">
      <c r="P109" s="18">
        <v>108</v>
      </c>
      <c r="Q109" s="50">
        <v>248.40309999999999</v>
      </c>
      <c r="R109" s="50">
        <v>148.40309999999999</v>
      </c>
      <c r="S109" s="50">
        <v>130.95480000000001</v>
      </c>
      <c r="T109" s="46">
        <v>-17.448399999999999</v>
      </c>
    </row>
    <row r="110" spans="16:20" x14ac:dyDescent="0.25">
      <c r="P110" s="18">
        <v>109</v>
      </c>
      <c r="Q110" s="50">
        <v>177.09479999999999</v>
      </c>
      <c r="R110" s="50">
        <v>77.094800000000006</v>
      </c>
      <c r="S110" s="50">
        <v>62.053699999999999</v>
      </c>
      <c r="T110" s="46">
        <v>-15.0411</v>
      </c>
    </row>
    <row r="111" spans="16:20" x14ac:dyDescent="0.25">
      <c r="P111" s="18">
        <v>110</v>
      </c>
      <c r="Q111" s="50">
        <v>121.40389999999999</v>
      </c>
      <c r="R111" s="50">
        <v>21.4038</v>
      </c>
      <c r="S111" s="50">
        <v>7.282</v>
      </c>
      <c r="T111" s="46">
        <v>-14.1219</v>
      </c>
    </row>
    <row r="112" spans="16:20" x14ac:dyDescent="0.25">
      <c r="P112" s="18">
        <v>111</v>
      </c>
      <c r="Q112" s="50">
        <v>78.292299999999997</v>
      </c>
      <c r="R112" s="50">
        <v>0</v>
      </c>
      <c r="S112" s="50">
        <v>-14.1937</v>
      </c>
      <c r="T112" s="46">
        <v>-14.1937</v>
      </c>
    </row>
    <row r="113" spans="16:20" x14ac:dyDescent="0.25">
      <c r="P113" s="18">
        <v>112</v>
      </c>
      <c r="Q113" s="50">
        <v>81.899900000000002</v>
      </c>
      <c r="R113" s="50">
        <v>0</v>
      </c>
      <c r="S113" s="50">
        <v>-16.555</v>
      </c>
      <c r="T113" s="46">
        <v>-16.555</v>
      </c>
    </row>
    <row r="114" spans="16:20" x14ac:dyDescent="0.25">
      <c r="P114" s="18">
        <v>113</v>
      </c>
      <c r="Q114" s="50">
        <v>109.53440000000001</v>
      </c>
      <c r="R114" s="50">
        <v>9.5343999999999998</v>
      </c>
      <c r="S114" s="50">
        <v>-3.0977000000000001</v>
      </c>
      <c r="T114" s="46">
        <v>-12.632099999999999</v>
      </c>
    </row>
    <row r="115" spans="16:20" x14ac:dyDescent="0.25">
      <c r="P115" s="18">
        <v>114</v>
      </c>
      <c r="Q115" s="50">
        <v>115.6892</v>
      </c>
      <c r="R115" s="50">
        <v>15.6892</v>
      </c>
      <c r="S115" s="50">
        <v>1.6509</v>
      </c>
      <c r="T115" s="46">
        <v>-14.0383</v>
      </c>
    </row>
    <row r="116" spans="16:20" x14ac:dyDescent="0.25">
      <c r="P116" s="18">
        <v>115</v>
      </c>
      <c r="Q116" s="50">
        <v>55.167499999999997</v>
      </c>
      <c r="R116" s="50">
        <v>0</v>
      </c>
      <c r="S116" s="50">
        <v>-13.791700000000001</v>
      </c>
      <c r="T116" s="46">
        <v>-13.791700000000001</v>
      </c>
    </row>
    <row r="117" spans="16:20" x14ac:dyDescent="0.25">
      <c r="P117" s="18">
        <v>116</v>
      </c>
      <c r="Q117" s="50">
        <v>108.28449999999999</v>
      </c>
      <c r="R117" s="50">
        <v>8.2844999999999995</v>
      </c>
      <c r="S117" s="50">
        <v>-1.8447</v>
      </c>
      <c r="T117" s="46">
        <v>-10.129200000000001</v>
      </c>
    </row>
    <row r="118" spans="16:20" x14ac:dyDescent="0.25">
      <c r="P118" s="18">
        <v>117</v>
      </c>
      <c r="Q118" s="50">
        <v>89.170299999999997</v>
      </c>
      <c r="R118" s="50">
        <v>0</v>
      </c>
      <c r="S118" s="50">
        <v>-18.675999999999998</v>
      </c>
      <c r="T118" s="46">
        <v>-18.675999999999998</v>
      </c>
    </row>
    <row r="119" spans="16:20" x14ac:dyDescent="0.25">
      <c r="P119" s="18">
        <v>118</v>
      </c>
      <c r="Q119" s="50">
        <v>141.5205</v>
      </c>
      <c r="R119" s="50">
        <v>41.520499999999998</v>
      </c>
      <c r="S119" s="50">
        <v>29.003399999999999</v>
      </c>
      <c r="T119" s="46">
        <v>-12.517200000000001</v>
      </c>
    </row>
    <row r="120" spans="16:20" x14ac:dyDescent="0.25">
      <c r="P120" s="18">
        <v>119</v>
      </c>
      <c r="Q120" s="50">
        <v>129.0634</v>
      </c>
      <c r="R120" s="50">
        <v>29.063400000000001</v>
      </c>
      <c r="S120" s="50">
        <v>15.826700000000001</v>
      </c>
      <c r="T120" s="46">
        <v>-13.236700000000001</v>
      </c>
    </row>
    <row r="121" spans="16:20" x14ac:dyDescent="0.25">
      <c r="P121" s="18">
        <v>120</v>
      </c>
      <c r="Q121" s="50">
        <v>90.457400000000007</v>
      </c>
      <c r="R121" s="50">
        <v>0</v>
      </c>
      <c r="S121" s="50">
        <v>-10.615399999999999</v>
      </c>
      <c r="T121" s="46">
        <v>-10.615399999999999</v>
      </c>
    </row>
    <row r="122" spans="16:20" x14ac:dyDescent="0.25">
      <c r="P122" s="18">
        <v>121</v>
      </c>
      <c r="Q122" s="50">
        <v>83.874700000000004</v>
      </c>
      <c r="R122" s="50">
        <v>0</v>
      </c>
      <c r="S122" s="50">
        <v>-13.382999999999999</v>
      </c>
      <c r="T122" s="46">
        <v>-13.382999999999999</v>
      </c>
    </row>
    <row r="123" spans="16:20" x14ac:dyDescent="0.25">
      <c r="P123" s="18">
        <v>122</v>
      </c>
      <c r="Q123" s="50">
        <v>75.9649</v>
      </c>
      <c r="R123" s="50">
        <v>0</v>
      </c>
      <c r="S123" s="50">
        <v>-15.6457</v>
      </c>
      <c r="T123" s="46">
        <v>-15.6457</v>
      </c>
    </row>
    <row r="124" spans="16:20" x14ac:dyDescent="0.25">
      <c r="P124" s="18">
        <v>123</v>
      </c>
      <c r="Q124" s="50">
        <v>87.274500000000003</v>
      </c>
      <c r="R124" s="50">
        <v>0</v>
      </c>
      <c r="S124" s="50">
        <v>-12.8812</v>
      </c>
      <c r="T124" s="46">
        <v>-12.8812</v>
      </c>
    </row>
    <row r="125" spans="16:20" x14ac:dyDescent="0.25">
      <c r="P125" s="18">
        <v>124</v>
      </c>
      <c r="Q125" s="50">
        <v>73.3566</v>
      </c>
      <c r="R125" s="50">
        <v>0</v>
      </c>
      <c r="S125" s="50">
        <v>-13.180300000000001</v>
      </c>
      <c r="T125" s="46">
        <v>-13.180300000000001</v>
      </c>
    </row>
    <row r="126" spans="16:20" x14ac:dyDescent="0.25">
      <c r="P126" s="18">
        <v>125</v>
      </c>
      <c r="Q126" s="50">
        <v>77.211100000000002</v>
      </c>
      <c r="R126" s="50">
        <v>0</v>
      </c>
      <c r="S126" s="50">
        <v>-14.6752</v>
      </c>
      <c r="T126" s="46">
        <v>-14.6752</v>
      </c>
    </row>
    <row r="127" spans="16:20" x14ac:dyDescent="0.25">
      <c r="P127" s="18">
        <v>126</v>
      </c>
      <c r="Q127" s="50">
        <v>78.838700000000003</v>
      </c>
      <c r="R127" s="50">
        <v>0</v>
      </c>
      <c r="S127" s="50">
        <v>-13.887700000000001</v>
      </c>
      <c r="T127" s="46">
        <v>-13.887700000000001</v>
      </c>
    </row>
    <row r="128" spans="16:20" x14ac:dyDescent="0.25">
      <c r="P128" s="18">
        <v>127</v>
      </c>
      <c r="Q128" s="50">
        <v>82.629900000000006</v>
      </c>
      <c r="R128" s="50">
        <v>0</v>
      </c>
      <c r="S128" s="50">
        <v>-13.287000000000001</v>
      </c>
      <c r="T128" s="46">
        <v>-13.287000000000001</v>
      </c>
    </row>
    <row r="129" spans="16:20" x14ac:dyDescent="0.25">
      <c r="P129" s="18">
        <v>128</v>
      </c>
      <c r="Q129" s="50">
        <v>145.81460000000001</v>
      </c>
      <c r="R129" s="50">
        <v>45.814599999999999</v>
      </c>
      <c r="S129" s="50">
        <v>31.521899999999999</v>
      </c>
      <c r="T129" s="46">
        <v>-14.2926</v>
      </c>
    </row>
    <row r="130" spans="16:20" x14ac:dyDescent="0.25">
      <c r="P130" s="18">
        <v>129</v>
      </c>
      <c r="Q130" s="50">
        <v>84.771799999999999</v>
      </c>
      <c r="R130" s="50">
        <v>0</v>
      </c>
      <c r="S130" s="50">
        <v>-11.598800000000001</v>
      </c>
      <c r="T130" s="46">
        <v>-11.598800000000001</v>
      </c>
    </row>
    <row r="131" spans="16:20" x14ac:dyDescent="0.25">
      <c r="P131" s="18">
        <v>130</v>
      </c>
      <c r="Q131" s="50">
        <v>115.1211</v>
      </c>
      <c r="R131" s="50">
        <v>15.1211</v>
      </c>
      <c r="S131" s="50">
        <v>3.6278000000000001</v>
      </c>
      <c r="T131" s="46">
        <v>-11.4933</v>
      </c>
    </row>
    <row r="132" spans="16:20" x14ac:dyDescent="0.25">
      <c r="P132" s="18">
        <v>131</v>
      </c>
      <c r="Q132" s="50">
        <v>64.742000000000004</v>
      </c>
      <c r="R132" s="50">
        <v>0</v>
      </c>
      <c r="S132" s="50">
        <v>-14.0274</v>
      </c>
      <c r="T132" s="46">
        <v>-14.0274</v>
      </c>
    </row>
    <row r="133" spans="16:20" x14ac:dyDescent="0.25">
      <c r="P133" s="18">
        <v>132</v>
      </c>
      <c r="Q133" s="50">
        <v>115.8977</v>
      </c>
      <c r="R133" s="50">
        <v>15.8977</v>
      </c>
      <c r="S133" s="50">
        <v>-5.2839</v>
      </c>
      <c r="T133" s="46">
        <v>-21.1816</v>
      </c>
    </row>
    <row r="134" spans="16:20" x14ac:dyDescent="0.25">
      <c r="P134" s="18">
        <v>133</v>
      </c>
      <c r="Q134" s="50">
        <v>100.4355</v>
      </c>
      <c r="R134" s="50">
        <v>0.4355</v>
      </c>
      <c r="S134" s="50">
        <v>-13.627800000000001</v>
      </c>
      <c r="T134" s="46">
        <v>-14.0633</v>
      </c>
    </row>
    <row r="135" spans="16:20" x14ac:dyDescent="0.25">
      <c r="P135" s="18">
        <v>134</v>
      </c>
      <c r="Q135" s="50">
        <v>157.73509999999999</v>
      </c>
      <c r="R135" s="50">
        <v>57.735100000000003</v>
      </c>
      <c r="S135" s="50">
        <v>40.9681</v>
      </c>
      <c r="T135" s="46">
        <v>-16.766999999999999</v>
      </c>
    </row>
    <row r="136" spans="16:20" x14ac:dyDescent="0.25">
      <c r="P136" s="18">
        <v>135</v>
      </c>
      <c r="Q136" s="50">
        <v>151.6463</v>
      </c>
      <c r="R136" s="50">
        <v>51.646299999999997</v>
      </c>
      <c r="S136" s="50">
        <v>36.423200000000001</v>
      </c>
      <c r="T136" s="46">
        <v>-15.223000000000001</v>
      </c>
    </row>
    <row r="137" spans="16:20" x14ac:dyDescent="0.25">
      <c r="P137" s="18">
        <v>136</v>
      </c>
      <c r="Q137" s="50">
        <v>107.6902</v>
      </c>
      <c r="R137" s="50">
        <v>7.6901999999999999</v>
      </c>
      <c r="S137" s="50">
        <v>-3.7248999999999999</v>
      </c>
      <c r="T137" s="46">
        <v>-11.415100000000001</v>
      </c>
    </row>
    <row r="138" spans="16:20" x14ac:dyDescent="0.25">
      <c r="P138" s="18">
        <v>137</v>
      </c>
      <c r="Q138" s="50">
        <v>84.532399999999996</v>
      </c>
      <c r="R138" s="50">
        <v>0</v>
      </c>
      <c r="S138" s="50">
        <v>-13.5745</v>
      </c>
      <c r="T138" s="46">
        <v>-13.5745</v>
      </c>
    </row>
    <row r="139" spans="16:20" x14ac:dyDescent="0.25">
      <c r="P139" s="18">
        <v>138</v>
      </c>
      <c r="Q139" s="50">
        <v>80.794899999999998</v>
      </c>
      <c r="R139" s="50">
        <v>0</v>
      </c>
      <c r="S139" s="50">
        <v>-13.4407</v>
      </c>
      <c r="T139" s="46">
        <v>-13.4407</v>
      </c>
    </row>
    <row r="140" spans="16:20" x14ac:dyDescent="0.25">
      <c r="P140" s="18">
        <v>139</v>
      </c>
      <c r="Q140" s="50">
        <v>120.1347</v>
      </c>
      <c r="R140" s="50">
        <v>20.134699999999999</v>
      </c>
      <c r="S140" s="50">
        <v>3.14</v>
      </c>
      <c r="T140" s="46">
        <v>-16.994700000000002</v>
      </c>
    </row>
    <row r="141" spans="16:20" x14ac:dyDescent="0.25">
      <c r="P141" s="18">
        <v>140</v>
      </c>
      <c r="Q141" s="50">
        <v>108.1587</v>
      </c>
      <c r="R141" s="50">
        <v>8.1586999999999996</v>
      </c>
      <c r="S141" s="50">
        <v>-5.0963000000000003</v>
      </c>
      <c r="T141" s="46">
        <v>-13.255000000000001</v>
      </c>
    </row>
    <row r="142" spans="16:20" x14ac:dyDescent="0.25">
      <c r="P142" s="18">
        <v>141</v>
      </c>
      <c r="Q142" s="50">
        <v>142.07660000000001</v>
      </c>
      <c r="R142" s="50">
        <v>42.076599999999999</v>
      </c>
      <c r="S142" s="50">
        <v>29.495899999999999</v>
      </c>
      <c r="T142" s="46">
        <v>-12.5806</v>
      </c>
    </row>
    <row r="143" spans="16:20" x14ac:dyDescent="0.25">
      <c r="P143" s="18">
        <v>142</v>
      </c>
      <c r="Q143" s="50">
        <v>157.80009999999999</v>
      </c>
      <c r="R143" s="50">
        <v>57.8</v>
      </c>
      <c r="S143" s="50">
        <v>42.953600000000002</v>
      </c>
      <c r="T143" s="46">
        <v>-14.846500000000001</v>
      </c>
    </row>
    <row r="144" spans="16:20" x14ac:dyDescent="0.25">
      <c r="P144" s="18">
        <v>143</v>
      </c>
      <c r="Q144" s="50">
        <v>60.1907</v>
      </c>
      <c r="R144" s="50">
        <v>0</v>
      </c>
      <c r="S144" s="50">
        <v>-15.0984</v>
      </c>
      <c r="T144" s="46">
        <v>-15.0984</v>
      </c>
    </row>
    <row r="145" spans="16:20" x14ac:dyDescent="0.25">
      <c r="P145" s="18">
        <v>144</v>
      </c>
      <c r="Q145" s="50">
        <v>98.515100000000004</v>
      </c>
      <c r="R145" s="50">
        <v>0</v>
      </c>
      <c r="S145" s="50">
        <v>-14.2218</v>
      </c>
      <c r="T145" s="46">
        <v>-14.2218</v>
      </c>
    </row>
    <row r="146" spans="16:20" x14ac:dyDescent="0.25">
      <c r="P146" s="18">
        <v>145</v>
      </c>
      <c r="Q146" s="50">
        <v>65.404399999999995</v>
      </c>
      <c r="R146" s="50">
        <v>0</v>
      </c>
      <c r="S146" s="50">
        <v>-18.255299999999998</v>
      </c>
      <c r="T146" s="46">
        <v>-18.255299999999998</v>
      </c>
    </row>
    <row r="147" spans="16:20" x14ac:dyDescent="0.25">
      <c r="P147" s="18">
        <v>146</v>
      </c>
      <c r="Q147" s="50">
        <v>111.7242</v>
      </c>
      <c r="R147" s="50">
        <v>11.7242</v>
      </c>
      <c r="S147" s="50">
        <v>-3.2134</v>
      </c>
      <c r="T147" s="46">
        <v>-14.9376</v>
      </c>
    </row>
    <row r="148" spans="16:20" x14ac:dyDescent="0.25">
      <c r="P148" s="18">
        <v>147</v>
      </c>
      <c r="Q148" s="50">
        <v>116.3419</v>
      </c>
      <c r="R148" s="50">
        <v>16.341899999999999</v>
      </c>
      <c r="S148" s="50">
        <v>-1.476</v>
      </c>
      <c r="T148" s="46">
        <v>-17.817900000000002</v>
      </c>
    </row>
    <row r="149" spans="16:20" x14ac:dyDescent="0.25">
      <c r="P149" s="18">
        <v>148</v>
      </c>
      <c r="Q149" s="50">
        <v>95.023300000000006</v>
      </c>
      <c r="R149" s="50">
        <v>0</v>
      </c>
      <c r="S149" s="50">
        <v>-9.0395000000000003</v>
      </c>
      <c r="T149" s="46">
        <v>-9.0395000000000003</v>
      </c>
    </row>
    <row r="150" spans="16:20" x14ac:dyDescent="0.25">
      <c r="P150" s="18">
        <v>149</v>
      </c>
      <c r="Q150" s="50">
        <v>75.728300000000004</v>
      </c>
      <c r="R150" s="50">
        <v>0</v>
      </c>
      <c r="S150" s="50">
        <v>-14.182399999999999</v>
      </c>
      <c r="T150" s="46">
        <v>-14.182399999999999</v>
      </c>
    </row>
    <row r="151" spans="16:20" x14ac:dyDescent="0.25">
      <c r="P151" s="18">
        <v>150</v>
      </c>
      <c r="Q151" s="50">
        <v>100.43259999999999</v>
      </c>
      <c r="R151" s="50">
        <v>0.43259999999999998</v>
      </c>
      <c r="S151" s="50">
        <v>-9.3352000000000004</v>
      </c>
      <c r="T151" s="46">
        <v>-9.7677999999999994</v>
      </c>
    </row>
    <row r="152" spans="16:20" x14ac:dyDescent="0.25">
      <c r="P152" s="18">
        <v>151</v>
      </c>
      <c r="Q152" s="50">
        <v>79.111900000000006</v>
      </c>
      <c r="R152" s="50">
        <v>0</v>
      </c>
      <c r="S152" s="50">
        <v>-14.9041</v>
      </c>
      <c r="T152" s="46">
        <v>-14.9041</v>
      </c>
    </row>
    <row r="153" spans="16:20" x14ac:dyDescent="0.25">
      <c r="P153" s="18">
        <v>152</v>
      </c>
      <c r="Q153" s="50">
        <v>73.988500000000002</v>
      </c>
      <c r="R153" s="50">
        <v>0</v>
      </c>
      <c r="S153" s="50">
        <v>-14.105700000000001</v>
      </c>
      <c r="T153" s="46">
        <v>-14.105700000000001</v>
      </c>
    </row>
    <row r="154" spans="16:20" x14ac:dyDescent="0.25">
      <c r="P154" s="18">
        <v>153</v>
      </c>
      <c r="Q154" s="50">
        <v>70.158900000000003</v>
      </c>
      <c r="R154" s="50">
        <v>0</v>
      </c>
      <c r="S154" s="50">
        <v>-15.5687</v>
      </c>
      <c r="T154" s="46">
        <v>-15.5687</v>
      </c>
    </row>
    <row r="155" spans="16:20" x14ac:dyDescent="0.25">
      <c r="P155" s="18">
        <v>154</v>
      </c>
      <c r="Q155" s="50">
        <v>108.1699</v>
      </c>
      <c r="R155" s="50">
        <v>8.1699000000000002</v>
      </c>
      <c r="S155" s="50">
        <v>-5.5632999999999999</v>
      </c>
      <c r="T155" s="46">
        <v>-13.7332</v>
      </c>
    </row>
    <row r="156" spans="16:20" x14ac:dyDescent="0.25">
      <c r="P156" s="18">
        <v>155</v>
      </c>
      <c r="Q156" s="50">
        <v>103.55240000000001</v>
      </c>
      <c r="R156" s="50">
        <v>3.5524</v>
      </c>
      <c r="S156" s="50">
        <v>-9.9947999999999997</v>
      </c>
      <c r="T156" s="46">
        <v>-13.5473</v>
      </c>
    </row>
    <row r="157" spans="16:20" x14ac:dyDescent="0.25">
      <c r="P157" s="18">
        <v>156</v>
      </c>
      <c r="Q157" s="50">
        <v>77.168800000000005</v>
      </c>
      <c r="R157" s="50">
        <v>0</v>
      </c>
      <c r="S157" s="50">
        <v>-14.432499999999999</v>
      </c>
      <c r="T157" s="46">
        <v>-14.432499999999999</v>
      </c>
    </row>
    <row r="158" spans="16:20" x14ac:dyDescent="0.25">
      <c r="P158" s="18">
        <v>157</v>
      </c>
      <c r="Q158" s="50">
        <v>111.2312</v>
      </c>
      <c r="R158" s="50">
        <v>11.231199999999999</v>
      </c>
      <c r="S158" s="50">
        <v>-3.8990999999999998</v>
      </c>
      <c r="T158" s="46">
        <v>-15.1303</v>
      </c>
    </row>
    <row r="159" spans="16:20" x14ac:dyDescent="0.25">
      <c r="P159" s="18">
        <v>158</v>
      </c>
      <c r="Q159" s="50">
        <v>132.65459999999999</v>
      </c>
      <c r="R159" s="50">
        <v>32.654600000000002</v>
      </c>
      <c r="S159" s="50">
        <v>15.244400000000001</v>
      </c>
      <c r="T159" s="46">
        <v>-17.4102</v>
      </c>
    </row>
    <row r="160" spans="16:20" x14ac:dyDescent="0.25">
      <c r="P160" s="18">
        <v>159</v>
      </c>
      <c r="Q160" s="50">
        <v>104.49850000000001</v>
      </c>
      <c r="R160" s="50">
        <v>4.4984999999999999</v>
      </c>
      <c r="S160" s="50">
        <v>-9.2637999999999998</v>
      </c>
      <c r="T160" s="46">
        <v>-13.7623</v>
      </c>
    </row>
    <row r="161" spans="16:20" x14ac:dyDescent="0.25">
      <c r="P161" s="18">
        <v>160</v>
      </c>
      <c r="Q161" s="50">
        <v>203.04310000000001</v>
      </c>
      <c r="R161" s="50">
        <v>103.0431</v>
      </c>
      <c r="S161" s="50">
        <v>85.844999999999999</v>
      </c>
      <c r="T161" s="46">
        <v>-17.1981</v>
      </c>
    </row>
    <row r="162" spans="16:20" x14ac:dyDescent="0.25">
      <c r="P162" s="18">
        <v>161</v>
      </c>
      <c r="Q162" s="50">
        <v>114.5885</v>
      </c>
      <c r="R162" s="50">
        <v>14.5885</v>
      </c>
      <c r="S162" s="50">
        <v>1.3527</v>
      </c>
      <c r="T162" s="46">
        <v>-13.235799999999999</v>
      </c>
    </row>
    <row r="163" spans="16:20" x14ac:dyDescent="0.25">
      <c r="P163" s="18">
        <v>162</v>
      </c>
      <c r="Q163" s="50">
        <v>73.527000000000001</v>
      </c>
      <c r="R163" s="50">
        <v>0</v>
      </c>
      <c r="S163" s="50">
        <v>-12.7395</v>
      </c>
      <c r="T163" s="46">
        <v>-12.7395</v>
      </c>
    </row>
    <row r="164" spans="16:20" x14ac:dyDescent="0.25">
      <c r="P164" s="18">
        <v>163</v>
      </c>
      <c r="Q164" s="50">
        <v>137.99119999999999</v>
      </c>
      <c r="R164" s="50">
        <v>37.991199999999999</v>
      </c>
      <c r="S164" s="50">
        <v>25.432200000000002</v>
      </c>
      <c r="T164" s="46">
        <v>-12.558999999999999</v>
      </c>
    </row>
    <row r="165" spans="16:20" x14ac:dyDescent="0.25">
      <c r="P165" s="18">
        <v>164</v>
      </c>
      <c r="Q165" s="50">
        <v>89.696399999999997</v>
      </c>
      <c r="R165" s="50">
        <v>0</v>
      </c>
      <c r="S165" s="50">
        <v>-15.3508</v>
      </c>
      <c r="T165" s="46">
        <v>-15.3508</v>
      </c>
    </row>
    <row r="166" spans="16:20" x14ac:dyDescent="0.25">
      <c r="P166" s="18">
        <v>165</v>
      </c>
      <c r="Q166" s="50">
        <v>92.159000000000006</v>
      </c>
      <c r="R166" s="50">
        <v>0</v>
      </c>
      <c r="S166" s="50">
        <v>-9.8421000000000003</v>
      </c>
      <c r="T166" s="46">
        <v>-9.8421000000000003</v>
      </c>
    </row>
    <row r="167" spans="16:20" x14ac:dyDescent="0.25">
      <c r="P167" s="18">
        <v>166</v>
      </c>
      <c r="Q167" s="50">
        <v>78.563999999999993</v>
      </c>
      <c r="R167" s="50">
        <v>0</v>
      </c>
      <c r="S167" s="50">
        <v>-11.709899999999999</v>
      </c>
      <c r="T167" s="46">
        <v>-11.709899999999999</v>
      </c>
    </row>
    <row r="168" spans="16:20" x14ac:dyDescent="0.25">
      <c r="P168" s="18">
        <v>167</v>
      </c>
      <c r="Q168" s="50">
        <v>127.8389</v>
      </c>
      <c r="R168" s="50">
        <v>27.838899999999999</v>
      </c>
      <c r="S168" s="50">
        <v>9.3747000000000007</v>
      </c>
      <c r="T168" s="46">
        <v>-18.464300000000001</v>
      </c>
    </row>
    <row r="169" spans="16:20" x14ac:dyDescent="0.25">
      <c r="P169" s="18">
        <v>168</v>
      </c>
      <c r="Q169" s="50">
        <v>139.07660000000001</v>
      </c>
      <c r="R169" s="50">
        <v>39.076599999999999</v>
      </c>
      <c r="S169" s="50">
        <v>27.171500000000002</v>
      </c>
      <c r="T169" s="46">
        <v>-11.905200000000001</v>
      </c>
    </row>
    <row r="170" spans="16:20" x14ac:dyDescent="0.25">
      <c r="P170" s="18">
        <v>169</v>
      </c>
      <c r="Q170" s="50">
        <v>64.952399999999997</v>
      </c>
      <c r="R170" s="50">
        <v>0</v>
      </c>
      <c r="S170" s="50">
        <v>-13.8146</v>
      </c>
      <c r="T170" s="46">
        <v>-13.8146</v>
      </c>
    </row>
    <row r="171" spans="16:20" x14ac:dyDescent="0.25">
      <c r="P171" s="18">
        <v>170</v>
      </c>
      <c r="Q171" s="50">
        <v>122.35339999999999</v>
      </c>
      <c r="R171" s="50">
        <v>22.353400000000001</v>
      </c>
      <c r="S171" s="50">
        <v>6.9419000000000004</v>
      </c>
      <c r="T171" s="46">
        <v>-15.4115</v>
      </c>
    </row>
    <row r="172" spans="16:20" x14ac:dyDescent="0.25">
      <c r="P172" s="18">
        <v>171</v>
      </c>
      <c r="Q172" s="50">
        <v>170.214</v>
      </c>
      <c r="R172" s="50">
        <v>70.213999999999999</v>
      </c>
      <c r="S172" s="50">
        <v>56.692799999999998</v>
      </c>
      <c r="T172" s="46">
        <v>-13.5212</v>
      </c>
    </row>
    <row r="173" spans="16:20" x14ac:dyDescent="0.25">
      <c r="P173" s="18">
        <v>172</v>
      </c>
      <c r="Q173" s="50">
        <v>84.122900000000001</v>
      </c>
      <c r="R173" s="50">
        <v>0</v>
      </c>
      <c r="S173" s="50">
        <v>-12.2242</v>
      </c>
      <c r="T173" s="46">
        <v>-12.2242</v>
      </c>
    </row>
    <row r="174" spans="16:20" x14ac:dyDescent="0.25">
      <c r="P174" s="18">
        <v>173</v>
      </c>
      <c r="Q174" s="50">
        <v>161.02510000000001</v>
      </c>
      <c r="R174" s="50">
        <v>61.025100000000002</v>
      </c>
      <c r="S174" s="50">
        <v>47.4681</v>
      </c>
      <c r="T174" s="46">
        <v>-13.556900000000001</v>
      </c>
    </row>
    <row r="175" spans="16:20" x14ac:dyDescent="0.25">
      <c r="P175" s="18">
        <v>174</v>
      </c>
      <c r="Q175" s="50">
        <v>104.2503</v>
      </c>
      <c r="R175" s="50">
        <v>4.2503000000000002</v>
      </c>
      <c r="S175" s="50">
        <v>-5.4789000000000003</v>
      </c>
      <c r="T175" s="46">
        <v>-9.7292000000000005</v>
      </c>
    </row>
    <row r="176" spans="16:20" x14ac:dyDescent="0.25">
      <c r="P176" s="18">
        <v>175</v>
      </c>
      <c r="Q176" s="50">
        <v>97.303100000000001</v>
      </c>
      <c r="R176" s="50">
        <v>0</v>
      </c>
      <c r="S176" s="50">
        <v>-11.2089</v>
      </c>
      <c r="T176" s="46">
        <v>-11.2089</v>
      </c>
    </row>
    <row r="177" spans="16:20" x14ac:dyDescent="0.25">
      <c r="P177" s="18">
        <v>176</v>
      </c>
      <c r="Q177" s="50">
        <v>156.3432</v>
      </c>
      <c r="R177" s="50">
        <v>56.343200000000003</v>
      </c>
      <c r="S177" s="50">
        <v>42.501600000000003</v>
      </c>
      <c r="T177" s="46">
        <v>-13.8416</v>
      </c>
    </row>
    <row r="178" spans="16:20" x14ac:dyDescent="0.25">
      <c r="P178" s="18">
        <v>177</v>
      </c>
      <c r="Q178" s="50">
        <v>99.543800000000005</v>
      </c>
      <c r="R178" s="50">
        <v>0</v>
      </c>
      <c r="S178" s="50">
        <v>-9.8773999999999997</v>
      </c>
      <c r="T178" s="46">
        <v>-9.8773999999999997</v>
      </c>
    </row>
    <row r="179" spans="16:20" x14ac:dyDescent="0.25">
      <c r="P179" s="18">
        <v>178</v>
      </c>
      <c r="Q179" s="50">
        <v>85.568100000000001</v>
      </c>
      <c r="R179" s="50">
        <v>0</v>
      </c>
      <c r="S179" s="50">
        <v>-10.838699999999999</v>
      </c>
      <c r="T179" s="46">
        <v>-10.838699999999999</v>
      </c>
    </row>
    <row r="180" spans="16:20" x14ac:dyDescent="0.25">
      <c r="P180" s="18">
        <v>179</v>
      </c>
      <c r="Q180" s="50">
        <v>133.5609</v>
      </c>
      <c r="R180" s="50">
        <v>33.560899999999997</v>
      </c>
      <c r="S180" s="50">
        <v>19.2164</v>
      </c>
      <c r="T180" s="46">
        <v>-14.3445</v>
      </c>
    </row>
    <row r="181" spans="16:20" x14ac:dyDescent="0.25">
      <c r="P181" s="18">
        <v>180</v>
      </c>
      <c r="Q181" s="50">
        <v>127.03870000000001</v>
      </c>
      <c r="R181" s="50">
        <v>27.038699999999999</v>
      </c>
      <c r="S181" s="50">
        <v>12.157500000000001</v>
      </c>
      <c r="T181" s="46">
        <v>-14.8812</v>
      </c>
    </row>
    <row r="182" spans="16:20" x14ac:dyDescent="0.25">
      <c r="P182" s="18">
        <v>181</v>
      </c>
      <c r="Q182" s="50">
        <v>131.11680000000001</v>
      </c>
      <c r="R182" s="50">
        <v>31.116800000000001</v>
      </c>
      <c r="S182" s="50">
        <v>18.0151</v>
      </c>
      <c r="T182" s="46">
        <v>-13.101800000000001</v>
      </c>
    </row>
    <row r="183" spans="16:20" x14ac:dyDescent="0.25">
      <c r="P183" s="18">
        <v>182</v>
      </c>
      <c r="Q183" s="50">
        <v>81.295299999999997</v>
      </c>
      <c r="R183" s="50">
        <v>0</v>
      </c>
      <c r="S183" s="50">
        <v>-14.6006</v>
      </c>
      <c r="T183" s="46">
        <v>-14.6006</v>
      </c>
    </row>
    <row r="184" spans="16:20" x14ac:dyDescent="0.25">
      <c r="P184" s="18">
        <v>183</v>
      </c>
      <c r="Q184" s="50">
        <v>193.38740000000001</v>
      </c>
      <c r="R184" s="50">
        <v>93.3874</v>
      </c>
      <c r="S184" s="50">
        <v>78.569800000000001</v>
      </c>
      <c r="T184" s="46">
        <v>-14.817500000000001</v>
      </c>
    </row>
    <row r="185" spans="16:20" x14ac:dyDescent="0.25">
      <c r="P185" s="18">
        <v>184</v>
      </c>
      <c r="Q185" s="50">
        <v>103.3837</v>
      </c>
      <c r="R185" s="50">
        <v>3.3837000000000002</v>
      </c>
      <c r="S185" s="50">
        <v>-6.5358999999999998</v>
      </c>
      <c r="T185" s="46">
        <v>-9.9196000000000009</v>
      </c>
    </row>
    <row r="186" spans="16:20" x14ac:dyDescent="0.25">
      <c r="P186" s="18">
        <v>185</v>
      </c>
      <c r="Q186" s="50">
        <v>75.068899999999999</v>
      </c>
      <c r="R186" s="50">
        <v>0</v>
      </c>
      <c r="S186" s="50">
        <v>-12.5885</v>
      </c>
      <c r="T186" s="46">
        <v>-12.5885</v>
      </c>
    </row>
    <row r="187" spans="16:20" x14ac:dyDescent="0.25">
      <c r="P187" s="18">
        <v>186</v>
      </c>
      <c r="Q187" s="50">
        <v>52.078200000000002</v>
      </c>
      <c r="R187" s="50">
        <v>0</v>
      </c>
      <c r="S187" s="50">
        <v>-14.635999999999999</v>
      </c>
      <c r="T187" s="46">
        <v>-14.635999999999999</v>
      </c>
    </row>
    <row r="188" spans="16:20" x14ac:dyDescent="0.25">
      <c r="P188" s="18">
        <v>187</v>
      </c>
      <c r="Q188" s="50">
        <v>109.434</v>
      </c>
      <c r="R188" s="50">
        <v>9.4339999999999993</v>
      </c>
      <c r="S188" s="50">
        <v>-3.0274000000000001</v>
      </c>
      <c r="T188" s="46">
        <v>-12.4613</v>
      </c>
    </row>
    <row r="189" spans="16:20" x14ac:dyDescent="0.25">
      <c r="P189" s="18">
        <v>188</v>
      </c>
      <c r="Q189" s="50">
        <v>102.6942</v>
      </c>
      <c r="R189" s="50">
        <v>2.6941999999999999</v>
      </c>
      <c r="S189" s="50">
        <v>-10.0307</v>
      </c>
      <c r="T189" s="46">
        <v>-12.7249</v>
      </c>
    </row>
    <row r="190" spans="16:20" x14ac:dyDescent="0.25">
      <c r="P190" s="18">
        <v>189</v>
      </c>
      <c r="Q190" s="50">
        <v>108.807</v>
      </c>
      <c r="R190" s="50">
        <v>8.8070000000000004</v>
      </c>
      <c r="S190" s="50">
        <v>-4.0472000000000001</v>
      </c>
      <c r="T190" s="46">
        <v>-12.854200000000001</v>
      </c>
    </row>
    <row r="191" spans="16:20" x14ac:dyDescent="0.25">
      <c r="P191" s="18">
        <v>190</v>
      </c>
      <c r="Q191" s="50">
        <v>85.391800000000003</v>
      </c>
      <c r="R191" s="50">
        <v>0</v>
      </c>
      <c r="S191" s="50">
        <v>-11.5238</v>
      </c>
      <c r="T191" s="46">
        <v>-11.5238</v>
      </c>
    </row>
    <row r="192" spans="16:20" x14ac:dyDescent="0.25">
      <c r="P192" s="18">
        <v>191</v>
      </c>
      <c r="Q192" s="50">
        <v>111.0856</v>
      </c>
      <c r="R192" s="50">
        <v>11.085599999999999</v>
      </c>
      <c r="S192" s="50">
        <v>-3.1000999999999999</v>
      </c>
      <c r="T192" s="46">
        <v>-14.185700000000001</v>
      </c>
    </row>
    <row r="193" spans="16:20" x14ac:dyDescent="0.25">
      <c r="P193" s="18">
        <v>192</v>
      </c>
      <c r="Q193" s="50">
        <v>111.17449999999999</v>
      </c>
      <c r="R193" s="50">
        <v>11.1745</v>
      </c>
      <c r="S193" s="50">
        <v>1.2632000000000001</v>
      </c>
      <c r="T193" s="46">
        <v>-9.9113000000000007</v>
      </c>
    </row>
    <row r="194" spans="16:20" x14ac:dyDescent="0.25">
      <c r="P194" s="18">
        <v>193</v>
      </c>
      <c r="Q194" s="50">
        <v>124.6782</v>
      </c>
      <c r="R194" s="50">
        <v>24.6782</v>
      </c>
      <c r="S194" s="50">
        <v>10.341900000000001</v>
      </c>
      <c r="T194" s="46">
        <v>-14.3363</v>
      </c>
    </row>
    <row r="195" spans="16:20" x14ac:dyDescent="0.25">
      <c r="P195" s="18">
        <v>194</v>
      </c>
      <c r="Q195" s="50">
        <v>78.808000000000007</v>
      </c>
      <c r="R195" s="50">
        <v>0</v>
      </c>
      <c r="S195" s="50">
        <v>-12.7075</v>
      </c>
      <c r="T195" s="46">
        <v>-12.7075</v>
      </c>
    </row>
    <row r="196" spans="16:20" x14ac:dyDescent="0.25">
      <c r="P196" s="18">
        <v>195</v>
      </c>
      <c r="Q196" s="50">
        <v>51.475900000000003</v>
      </c>
      <c r="R196" s="50">
        <v>0</v>
      </c>
      <c r="S196" s="50">
        <v>-14.151</v>
      </c>
      <c r="T196" s="46">
        <v>-14.151</v>
      </c>
    </row>
    <row r="197" spans="16:20" x14ac:dyDescent="0.25">
      <c r="P197" s="18">
        <v>196</v>
      </c>
      <c r="Q197" s="50">
        <v>68.768600000000006</v>
      </c>
      <c r="R197" s="50">
        <v>0</v>
      </c>
      <c r="S197" s="50">
        <v>-15.4407</v>
      </c>
      <c r="T197" s="46">
        <v>-15.4407</v>
      </c>
    </row>
    <row r="198" spans="16:20" x14ac:dyDescent="0.25">
      <c r="P198" s="18">
        <v>197</v>
      </c>
      <c r="Q198" s="50">
        <v>139.07550000000001</v>
      </c>
      <c r="R198" s="50">
        <v>39.075499999999998</v>
      </c>
      <c r="S198" s="50">
        <v>25.932600000000001</v>
      </c>
      <c r="T198" s="46">
        <v>-13.142899999999999</v>
      </c>
    </row>
    <row r="199" spans="16:20" x14ac:dyDescent="0.25">
      <c r="P199" s="18">
        <v>198</v>
      </c>
      <c r="Q199" s="50">
        <v>138.56909999999999</v>
      </c>
      <c r="R199" s="50">
        <v>38.569099999999999</v>
      </c>
      <c r="S199" s="50">
        <v>24.648</v>
      </c>
      <c r="T199" s="46">
        <v>-13.921099999999999</v>
      </c>
    </row>
    <row r="200" spans="16:20" x14ac:dyDescent="0.25">
      <c r="P200" s="18">
        <v>199</v>
      </c>
      <c r="Q200" s="50">
        <v>102.46550000000001</v>
      </c>
      <c r="R200" s="50">
        <v>2.4655</v>
      </c>
      <c r="S200" s="50">
        <v>-10.7072</v>
      </c>
      <c r="T200" s="46">
        <v>-13.172800000000001</v>
      </c>
    </row>
    <row r="201" spans="16:20" x14ac:dyDescent="0.25">
      <c r="P201" s="18">
        <v>200</v>
      </c>
      <c r="Q201" s="50">
        <v>108.6131</v>
      </c>
      <c r="R201" s="50">
        <v>8.6130999999999993</v>
      </c>
      <c r="S201" s="50">
        <v>-2.7492000000000001</v>
      </c>
      <c r="T201" s="46">
        <v>-11.362399999999999</v>
      </c>
    </row>
    <row r="202" spans="16:20" x14ac:dyDescent="0.25">
      <c r="P202" s="18">
        <v>201</v>
      </c>
      <c r="Q202" s="50">
        <v>126.34780000000001</v>
      </c>
      <c r="R202" s="50">
        <v>26.347799999999999</v>
      </c>
      <c r="S202" s="50">
        <v>12.585699999999999</v>
      </c>
      <c r="T202" s="46">
        <v>-13.7621</v>
      </c>
    </row>
    <row r="203" spans="16:20" x14ac:dyDescent="0.25">
      <c r="P203" s="18">
        <v>202</v>
      </c>
      <c r="Q203" s="50">
        <v>91.974400000000003</v>
      </c>
      <c r="R203" s="50">
        <v>0</v>
      </c>
      <c r="S203" s="50">
        <v>-14.0441</v>
      </c>
      <c r="T203" s="46">
        <v>-14.0441</v>
      </c>
    </row>
    <row r="204" spans="16:20" x14ac:dyDescent="0.25">
      <c r="P204" s="18">
        <v>203</v>
      </c>
      <c r="Q204" s="50">
        <v>194.904</v>
      </c>
      <c r="R204" s="50">
        <v>94.903999999999996</v>
      </c>
      <c r="S204" s="50">
        <v>78.505300000000005</v>
      </c>
      <c r="T204" s="46">
        <v>-16.398700000000002</v>
      </c>
    </row>
    <row r="205" spans="16:20" x14ac:dyDescent="0.25">
      <c r="P205" s="18">
        <v>204</v>
      </c>
      <c r="Q205" s="50">
        <v>71.448700000000002</v>
      </c>
      <c r="R205" s="50">
        <v>0</v>
      </c>
      <c r="S205" s="50">
        <v>-16.653300000000002</v>
      </c>
      <c r="T205" s="46">
        <v>-16.653300000000002</v>
      </c>
    </row>
    <row r="206" spans="16:20" x14ac:dyDescent="0.25">
      <c r="P206" s="18">
        <v>205</v>
      </c>
      <c r="Q206" s="50">
        <v>58.972099999999998</v>
      </c>
      <c r="R206" s="50">
        <v>0</v>
      </c>
      <c r="S206" s="50">
        <v>-14.0031</v>
      </c>
      <c r="T206" s="46">
        <v>-14.0031</v>
      </c>
    </row>
    <row r="207" spans="16:20" x14ac:dyDescent="0.25">
      <c r="P207" s="18">
        <v>206</v>
      </c>
      <c r="Q207" s="50">
        <v>92.134299999999996</v>
      </c>
      <c r="R207" s="50">
        <v>0</v>
      </c>
      <c r="S207" s="50">
        <v>-10.5863</v>
      </c>
      <c r="T207" s="46">
        <v>-10.5863</v>
      </c>
    </row>
    <row r="208" spans="16:20" x14ac:dyDescent="0.25">
      <c r="P208" s="18">
        <v>207</v>
      </c>
      <c r="Q208" s="50">
        <v>137.76140000000001</v>
      </c>
      <c r="R208" s="50">
        <v>37.761400000000002</v>
      </c>
      <c r="S208" s="50">
        <v>22.442699999999999</v>
      </c>
      <c r="T208" s="46">
        <v>-15.3186</v>
      </c>
    </row>
    <row r="209" spans="16:20" x14ac:dyDescent="0.25">
      <c r="P209" s="18">
        <v>208</v>
      </c>
      <c r="Q209" s="50">
        <v>60.580599999999997</v>
      </c>
      <c r="R209" s="50">
        <v>0</v>
      </c>
      <c r="S209" s="50">
        <v>-16.282599999999999</v>
      </c>
      <c r="T209" s="46">
        <v>-16.282599999999999</v>
      </c>
    </row>
    <row r="210" spans="16:20" x14ac:dyDescent="0.25">
      <c r="P210" s="18">
        <v>209</v>
      </c>
      <c r="Q210" s="50">
        <v>87.760999999999996</v>
      </c>
      <c r="R210" s="50">
        <v>0</v>
      </c>
      <c r="S210" s="50">
        <v>-9.9974000000000007</v>
      </c>
      <c r="T210" s="46">
        <v>-9.9974000000000007</v>
      </c>
    </row>
    <row r="211" spans="16:20" x14ac:dyDescent="0.25">
      <c r="P211" s="18">
        <v>210</v>
      </c>
      <c r="Q211" s="50">
        <v>96.780299999999997</v>
      </c>
      <c r="R211" s="50">
        <v>0</v>
      </c>
      <c r="S211" s="50">
        <v>-13.5893</v>
      </c>
      <c r="T211" s="46">
        <v>-13.5893</v>
      </c>
    </row>
    <row r="212" spans="16:20" x14ac:dyDescent="0.25">
      <c r="P212" s="18">
        <v>211</v>
      </c>
      <c r="Q212" s="50">
        <v>77.459299999999999</v>
      </c>
      <c r="R212" s="50">
        <v>0</v>
      </c>
      <c r="S212" s="50">
        <v>-16.467400000000001</v>
      </c>
      <c r="T212" s="46">
        <v>-16.467400000000001</v>
      </c>
    </row>
    <row r="213" spans="16:20" x14ac:dyDescent="0.25">
      <c r="P213" s="18">
        <v>212</v>
      </c>
      <c r="Q213" s="50">
        <v>115.7697</v>
      </c>
      <c r="R213" s="50">
        <v>15.7697</v>
      </c>
      <c r="S213" s="50">
        <v>-0.55600000000000005</v>
      </c>
      <c r="T213" s="46">
        <v>-16.325700000000001</v>
      </c>
    </row>
    <row r="214" spans="16:20" x14ac:dyDescent="0.25">
      <c r="P214" s="18">
        <v>213</v>
      </c>
      <c r="Q214" s="50">
        <v>74.376800000000003</v>
      </c>
      <c r="R214" s="50">
        <v>0</v>
      </c>
      <c r="S214" s="50">
        <v>-13.005000000000001</v>
      </c>
      <c r="T214" s="46">
        <v>-13.005000000000001</v>
      </c>
    </row>
    <row r="215" spans="16:20" x14ac:dyDescent="0.25">
      <c r="P215" s="18">
        <v>214</v>
      </c>
      <c r="Q215" s="50">
        <v>117.73</v>
      </c>
      <c r="R215" s="50">
        <v>17.73</v>
      </c>
      <c r="S215" s="50">
        <v>2.9426999999999999</v>
      </c>
      <c r="T215" s="46">
        <v>-14.7873</v>
      </c>
    </row>
    <row r="216" spans="16:20" x14ac:dyDescent="0.25">
      <c r="P216" s="18">
        <v>215</v>
      </c>
      <c r="Q216" s="50">
        <v>93.859200000000001</v>
      </c>
      <c r="R216" s="50">
        <v>0</v>
      </c>
      <c r="S216" s="50">
        <v>-10.3087</v>
      </c>
      <c r="T216" s="46">
        <v>-10.3087</v>
      </c>
    </row>
    <row r="217" spans="16:20" x14ac:dyDescent="0.25">
      <c r="P217" s="18">
        <v>216</v>
      </c>
      <c r="Q217" s="50">
        <v>105.9879</v>
      </c>
      <c r="R217" s="50">
        <v>5.9878999999999998</v>
      </c>
      <c r="S217" s="50">
        <v>-4.8878000000000004</v>
      </c>
      <c r="T217" s="46">
        <v>-10.8757</v>
      </c>
    </row>
    <row r="218" spans="16:20" x14ac:dyDescent="0.25">
      <c r="P218" s="18">
        <v>217</v>
      </c>
      <c r="Q218" s="50">
        <v>109.0604</v>
      </c>
      <c r="R218" s="50">
        <v>9.0603999999999996</v>
      </c>
      <c r="S218" s="50">
        <v>-1.5013000000000001</v>
      </c>
      <c r="T218" s="46">
        <v>-10.5618</v>
      </c>
    </row>
    <row r="219" spans="16:20" x14ac:dyDescent="0.25">
      <c r="P219" s="18">
        <v>218</v>
      </c>
      <c r="Q219" s="50">
        <v>119.4903</v>
      </c>
      <c r="R219" s="50">
        <v>19.490300000000001</v>
      </c>
      <c r="S219" s="50">
        <v>1.7593000000000001</v>
      </c>
      <c r="T219" s="46">
        <v>-17.731000000000002</v>
      </c>
    </row>
    <row r="220" spans="16:20" x14ac:dyDescent="0.25">
      <c r="P220" s="18">
        <v>219</v>
      </c>
      <c r="Q220" s="50">
        <v>119.16930000000001</v>
      </c>
      <c r="R220" s="50">
        <v>19.1693</v>
      </c>
      <c r="S220" s="50">
        <v>3.2141000000000002</v>
      </c>
      <c r="T220" s="46">
        <v>-15.9552</v>
      </c>
    </row>
    <row r="221" spans="16:20" x14ac:dyDescent="0.25">
      <c r="P221" s="18">
        <v>220</v>
      </c>
      <c r="Q221" s="50">
        <v>82.304699999999997</v>
      </c>
      <c r="R221" s="50">
        <v>0</v>
      </c>
      <c r="S221" s="50">
        <v>-13.635300000000001</v>
      </c>
      <c r="T221" s="46">
        <v>-13.635300000000001</v>
      </c>
    </row>
    <row r="222" spans="16:20" x14ac:dyDescent="0.25">
      <c r="P222" s="18">
        <v>221</v>
      </c>
      <c r="Q222" s="50">
        <v>63.418999999999997</v>
      </c>
      <c r="R222" s="50">
        <v>0</v>
      </c>
      <c r="S222" s="50">
        <v>-14.1965</v>
      </c>
      <c r="T222" s="46">
        <v>-14.1965</v>
      </c>
    </row>
    <row r="223" spans="16:20" x14ac:dyDescent="0.25">
      <c r="P223" s="18">
        <v>222</v>
      </c>
      <c r="Q223" s="50">
        <v>73.655799999999999</v>
      </c>
      <c r="R223" s="50">
        <v>0</v>
      </c>
      <c r="S223" s="50">
        <v>-11.5183</v>
      </c>
      <c r="T223" s="46">
        <v>-11.5183</v>
      </c>
    </row>
    <row r="224" spans="16:20" x14ac:dyDescent="0.25">
      <c r="P224" s="18">
        <v>223</v>
      </c>
      <c r="Q224" s="50">
        <v>94.203699999999998</v>
      </c>
      <c r="R224" s="50">
        <v>0</v>
      </c>
      <c r="S224" s="50">
        <v>-10.5565</v>
      </c>
      <c r="T224" s="46">
        <v>-10.5565</v>
      </c>
    </row>
    <row r="225" spans="16:20" x14ac:dyDescent="0.25">
      <c r="P225" s="18">
        <v>224</v>
      </c>
      <c r="Q225" s="50">
        <v>80.3279</v>
      </c>
      <c r="R225" s="50">
        <v>0</v>
      </c>
      <c r="S225" s="50">
        <v>-11.793900000000001</v>
      </c>
      <c r="T225" s="46">
        <v>-11.793900000000001</v>
      </c>
    </row>
    <row r="226" spans="16:20" x14ac:dyDescent="0.25">
      <c r="P226" s="18">
        <v>225</v>
      </c>
      <c r="Q226" s="50">
        <v>116.9554</v>
      </c>
      <c r="R226" s="50">
        <v>16.955300000000001</v>
      </c>
      <c r="S226" s="50">
        <v>0.58440000000000003</v>
      </c>
      <c r="T226" s="46">
        <v>-16.370899999999999</v>
      </c>
    </row>
    <row r="227" spans="16:20" x14ac:dyDescent="0.25">
      <c r="P227" s="18">
        <v>226</v>
      </c>
      <c r="Q227" s="50">
        <v>83.4191</v>
      </c>
      <c r="R227" s="50">
        <v>0</v>
      </c>
      <c r="S227" s="50">
        <v>-14.224399999999999</v>
      </c>
      <c r="T227" s="46">
        <v>-14.224399999999999</v>
      </c>
    </row>
    <row r="228" spans="16:20" x14ac:dyDescent="0.25">
      <c r="P228" s="18">
        <v>227</v>
      </c>
      <c r="Q228" s="50">
        <v>140.15700000000001</v>
      </c>
      <c r="R228" s="50">
        <v>40.156999999999996</v>
      </c>
      <c r="S228" s="50">
        <v>27.917000000000002</v>
      </c>
      <c r="T228" s="46">
        <v>-12.24</v>
      </c>
    </row>
    <row r="229" spans="16:20" x14ac:dyDescent="0.25">
      <c r="P229" s="18">
        <v>228</v>
      </c>
      <c r="Q229" s="50">
        <v>74.386200000000002</v>
      </c>
      <c r="R229" s="50">
        <v>0</v>
      </c>
      <c r="S229" s="50">
        <v>-14.634399999999999</v>
      </c>
      <c r="T229" s="46">
        <v>-14.634399999999999</v>
      </c>
    </row>
    <row r="230" spans="16:20" x14ac:dyDescent="0.25">
      <c r="P230" s="18">
        <v>229</v>
      </c>
      <c r="Q230" s="50">
        <v>105.239</v>
      </c>
      <c r="R230" s="50">
        <v>5.2389999999999999</v>
      </c>
      <c r="S230" s="50">
        <v>-5.1414999999999997</v>
      </c>
      <c r="T230" s="46">
        <v>-10.3805</v>
      </c>
    </row>
    <row r="231" spans="16:20" x14ac:dyDescent="0.25">
      <c r="P231" s="18">
        <v>230</v>
      </c>
      <c r="Q231" s="50">
        <v>131.13480000000001</v>
      </c>
      <c r="R231" s="50">
        <v>31.134799999999998</v>
      </c>
      <c r="S231" s="50">
        <v>19.505700000000001</v>
      </c>
      <c r="T231" s="46">
        <v>-11.629099999999999</v>
      </c>
    </row>
    <row r="232" spans="16:20" x14ac:dyDescent="0.25">
      <c r="P232" s="18">
        <v>231</v>
      </c>
      <c r="Q232" s="50">
        <v>82.123000000000005</v>
      </c>
      <c r="R232" s="50">
        <v>0</v>
      </c>
      <c r="S232" s="50">
        <v>-14.0709</v>
      </c>
      <c r="T232" s="46">
        <v>-14.0709</v>
      </c>
    </row>
    <row r="233" spans="16:20" x14ac:dyDescent="0.25">
      <c r="P233" s="18">
        <v>232</v>
      </c>
      <c r="Q233" s="50">
        <v>90.119500000000002</v>
      </c>
      <c r="R233" s="50">
        <v>0</v>
      </c>
      <c r="S233" s="50">
        <v>-12.8256</v>
      </c>
      <c r="T233" s="46">
        <v>-12.8256</v>
      </c>
    </row>
    <row r="234" spans="16:20" x14ac:dyDescent="0.25">
      <c r="P234" s="18">
        <v>233</v>
      </c>
      <c r="Q234" s="50">
        <v>106.0334</v>
      </c>
      <c r="R234" s="50">
        <v>6.0334000000000003</v>
      </c>
      <c r="S234" s="50">
        <v>-6.0172999999999996</v>
      </c>
      <c r="T234" s="46">
        <v>-12.050800000000001</v>
      </c>
    </row>
    <row r="235" spans="16:20" x14ac:dyDescent="0.25">
      <c r="P235" s="18">
        <v>234</v>
      </c>
      <c r="Q235" s="50">
        <v>88.245599999999996</v>
      </c>
      <c r="R235" s="50">
        <v>0</v>
      </c>
      <c r="S235" s="50">
        <v>-13.690899999999999</v>
      </c>
      <c r="T235" s="46">
        <v>-13.690899999999999</v>
      </c>
    </row>
    <row r="236" spans="16:20" x14ac:dyDescent="0.25">
      <c r="P236" s="18">
        <v>235</v>
      </c>
      <c r="Q236" s="50">
        <v>77.665300000000002</v>
      </c>
      <c r="R236" s="50">
        <v>0</v>
      </c>
      <c r="S236" s="50">
        <v>-14.563499999999999</v>
      </c>
      <c r="T236" s="46">
        <v>-14.563499999999999</v>
      </c>
    </row>
    <row r="237" spans="16:20" x14ac:dyDescent="0.25">
      <c r="P237" s="18">
        <v>236</v>
      </c>
      <c r="Q237" s="50">
        <v>142.96019999999999</v>
      </c>
      <c r="R237" s="50">
        <v>42.9602</v>
      </c>
      <c r="S237" s="50">
        <v>30.950800000000001</v>
      </c>
      <c r="T237" s="46">
        <v>-12.009399999999999</v>
      </c>
    </row>
    <row r="238" spans="16:20" x14ac:dyDescent="0.25">
      <c r="P238" s="18">
        <v>237</v>
      </c>
      <c r="Q238" s="50">
        <v>210.91650000000001</v>
      </c>
      <c r="R238" s="50">
        <v>110.9165</v>
      </c>
      <c r="S238" s="50">
        <v>94.983199999999997</v>
      </c>
      <c r="T238" s="46">
        <v>-15.933299999999999</v>
      </c>
    </row>
    <row r="239" spans="16:20" x14ac:dyDescent="0.25">
      <c r="P239" s="18">
        <v>238</v>
      </c>
      <c r="Q239" s="50">
        <v>109.83710000000001</v>
      </c>
      <c r="R239" s="50">
        <v>9.8370999999999995</v>
      </c>
      <c r="S239" s="50">
        <v>-2.6850000000000001</v>
      </c>
      <c r="T239" s="46">
        <v>-12.5221</v>
      </c>
    </row>
    <row r="240" spans="16:20" x14ac:dyDescent="0.25">
      <c r="P240" s="18">
        <v>239</v>
      </c>
      <c r="Q240" s="50">
        <v>121.325</v>
      </c>
      <c r="R240" s="50">
        <v>21.324999999999999</v>
      </c>
      <c r="S240" s="50">
        <v>5.2367999999999997</v>
      </c>
      <c r="T240" s="46">
        <v>-16.088200000000001</v>
      </c>
    </row>
    <row r="241" spans="16:20" x14ac:dyDescent="0.25">
      <c r="P241" s="18">
        <v>240</v>
      </c>
      <c r="Q241" s="50">
        <v>90.750200000000007</v>
      </c>
      <c r="R241" s="50">
        <v>0</v>
      </c>
      <c r="S241" s="50">
        <v>-11.2087</v>
      </c>
      <c r="T241" s="46">
        <v>-11.2087</v>
      </c>
    </row>
    <row r="242" spans="16:20" x14ac:dyDescent="0.25">
      <c r="P242" s="18">
        <v>241</v>
      </c>
      <c r="Q242" s="50">
        <v>59.087400000000002</v>
      </c>
      <c r="R242" s="50">
        <v>0</v>
      </c>
      <c r="S242" s="50">
        <v>-17.689900000000002</v>
      </c>
      <c r="T242" s="46">
        <v>-17.689900000000002</v>
      </c>
    </row>
    <row r="243" spans="16:20" x14ac:dyDescent="0.25">
      <c r="P243" s="18">
        <v>242</v>
      </c>
      <c r="Q243" s="50">
        <v>96.326599999999999</v>
      </c>
      <c r="R243" s="50">
        <v>0</v>
      </c>
      <c r="S243" s="50">
        <v>-10.988099999999999</v>
      </c>
      <c r="T243" s="46">
        <v>-10.988099999999999</v>
      </c>
    </row>
    <row r="244" spans="16:20" x14ac:dyDescent="0.25">
      <c r="P244" s="18">
        <v>243</v>
      </c>
      <c r="Q244" s="50">
        <v>102.2491</v>
      </c>
      <c r="R244" s="50">
        <v>2.2490999999999999</v>
      </c>
      <c r="S244" s="50">
        <v>-10.2593</v>
      </c>
      <c r="T244" s="46">
        <v>-12.5085</v>
      </c>
    </row>
    <row r="245" spans="16:20" x14ac:dyDescent="0.25">
      <c r="P245" s="18">
        <v>244</v>
      </c>
      <c r="Q245" s="50">
        <v>92.872900000000001</v>
      </c>
      <c r="R245" s="50">
        <v>0</v>
      </c>
      <c r="S245" s="50">
        <v>-13.0044</v>
      </c>
      <c r="T245" s="46">
        <v>-13.0044</v>
      </c>
    </row>
    <row r="246" spans="16:20" x14ac:dyDescent="0.25">
      <c r="P246" s="18">
        <v>245</v>
      </c>
      <c r="Q246" s="50">
        <v>119.64790000000001</v>
      </c>
      <c r="R246" s="50">
        <v>19.6479</v>
      </c>
      <c r="S246" s="50">
        <v>3.0453999999999999</v>
      </c>
      <c r="T246" s="46">
        <v>-16.602499999999999</v>
      </c>
    </row>
    <row r="247" spans="16:20" x14ac:dyDescent="0.25">
      <c r="P247" s="18">
        <v>246</v>
      </c>
      <c r="Q247" s="50">
        <v>100.84229999999999</v>
      </c>
      <c r="R247" s="50">
        <v>0.84230000000000005</v>
      </c>
      <c r="S247" s="50">
        <v>-8.1003000000000007</v>
      </c>
      <c r="T247" s="46">
        <v>-8.9426000000000005</v>
      </c>
    </row>
    <row r="248" spans="16:20" x14ac:dyDescent="0.25">
      <c r="P248" s="18">
        <v>247</v>
      </c>
      <c r="Q248" s="50">
        <v>160.94450000000001</v>
      </c>
      <c r="R248" s="50">
        <v>60.944499999999998</v>
      </c>
      <c r="S248" s="50">
        <v>47.106099999999998</v>
      </c>
      <c r="T248" s="46">
        <v>-13.8384</v>
      </c>
    </row>
    <row r="249" spans="16:20" x14ac:dyDescent="0.25">
      <c r="P249" s="18">
        <v>248</v>
      </c>
      <c r="Q249" s="50">
        <v>110.95869999999999</v>
      </c>
      <c r="R249" s="50">
        <v>10.9587</v>
      </c>
      <c r="S249" s="50">
        <v>-3.3376000000000001</v>
      </c>
      <c r="T249" s="46">
        <v>-14.2963</v>
      </c>
    </row>
    <row r="250" spans="16:20" x14ac:dyDescent="0.25">
      <c r="P250" s="18">
        <v>249</v>
      </c>
      <c r="Q250" s="50">
        <v>89.349599999999995</v>
      </c>
      <c r="R250" s="50">
        <v>0</v>
      </c>
      <c r="S250" s="50">
        <v>-18.636700000000001</v>
      </c>
      <c r="T250" s="46">
        <v>-18.636700000000001</v>
      </c>
    </row>
    <row r="251" spans="16:20" x14ac:dyDescent="0.25">
      <c r="P251" s="18">
        <v>250</v>
      </c>
      <c r="Q251" s="50">
        <v>83.181399999999996</v>
      </c>
      <c r="R251" s="50">
        <v>0</v>
      </c>
      <c r="S251" s="50">
        <v>-11.1797</v>
      </c>
      <c r="T251" s="46">
        <v>-11.1797</v>
      </c>
    </row>
    <row r="252" spans="16:20" x14ac:dyDescent="0.25">
      <c r="P252" s="18">
        <v>251</v>
      </c>
      <c r="Q252" s="50">
        <v>96.808400000000006</v>
      </c>
      <c r="R252" s="50">
        <v>0</v>
      </c>
      <c r="S252" s="50">
        <v>-10.885300000000001</v>
      </c>
      <c r="T252" s="46">
        <v>-10.885300000000001</v>
      </c>
    </row>
    <row r="253" spans="16:20" x14ac:dyDescent="0.25">
      <c r="P253" s="18">
        <v>252</v>
      </c>
      <c r="Q253" s="50">
        <v>89.380899999999997</v>
      </c>
      <c r="R253" s="50">
        <v>0</v>
      </c>
      <c r="S253" s="50">
        <v>-16.038499999999999</v>
      </c>
      <c r="T253" s="46">
        <v>-16.038499999999999</v>
      </c>
    </row>
    <row r="254" spans="16:20" x14ac:dyDescent="0.25">
      <c r="P254" s="18">
        <v>253</v>
      </c>
      <c r="Q254" s="50">
        <v>82.295599999999993</v>
      </c>
      <c r="R254" s="50">
        <v>0</v>
      </c>
      <c r="S254" s="50">
        <v>-15.390700000000001</v>
      </c>
      <c r="T254" s="46">
        <v>-15.390700000000001</v>
      </c>
    </row>
    <row r="255" spans="16:20" x14ac:dyDescent="0.25">
      <c r="P255" s="18">
        <v>254</v>
      </c>
      <c r="Q255" s="50">
        <v>130.06370000000001</v>
      </c>
      <c r="R255" s="50">
        <v>30.063700000000001</v>
      </c>
      <c r="S255" s="50">
        <v>16.523800000000001</v>
      </c>
      <c r="T255" s="46">
        <v>-13.539899999999999</v>
      </c>
    </row>
    <row r="256" spans="16:20" x14ac:dyDescent="0.25">
      <c r="P256" s="18">
        <v>255</v>
      </c>
      <c r="Q256" s="50">
        <v>84.410799999999995</v>
      </c>
      <c r="R256" s="50">
        <v>0</v>
      </c>
      <c r="S256" s="50">
        <v>-15.216799999999999</v>
      </c>
      <c r="T256" s="46">
        <v>-15.216799999999999</v>
      </c>
    </row>
    <row r="257" spans="16:20" x14ac:dyDescent="0.25">
      <c r="P257" s="18">
        <v>256</v>
      </c>
      <c r="Q257" s="50">
        <v>104.3934</v>
      </c>
      <c r="R257" s="50">
        <v>4.3933999999999997</v>
      </c>
      <c r="S257" s="50">
        <v>-8.5904000000000007</v>
      </c>
      <c r="T257" s="46">
        <v>-12.9838</v>
      </c>
    </row>
    <row r="258" spans="16:20" x14ac:dyDescent="0.25">
      <c r="P258" s="18">
        <v>257</v>
      </c>
      <c r="Q258" s="50">
        <v>106.53749999999999</v>
      </c>
      <c r="R258" s="50">
        <v>6.5374999999999996</v>
      </c>
      <c r="S258" s="50">
        <v>-10.442</v>
      </c>
      <c r="T258" s="46">
        <v>-16.979500000000002</v>
      </c>
    </row>
    <row r="259" spans="16:20" x14ac:dyDescent="0.25">
      <c r="P259" s="18">
        <v>258</v>
      </c>
      <c r="Q259" s="50">
        <v>134.51159999999999</v>
      </c>
      <c r="R259" s="50">
        <v>34.511600000000001</v>
      </c>
      <c r="S259" s="50">
        <v>22.009699999999999</v>
      </c>
      <c r="T259" s="46">
        <v>-12.501799999999999</v>
      </c>
    </row>
    <row r="260" spans="16:20" x14ac:dyDescent="0.25">
      <c r="P260" s="18">
        <v>259</v>
      </c>
      <c r="Q260" s="50">
        <v>66.101900000000001</v>
      </c>
      <c r="R260" s="50">
        <v>0</v>
      </c>
      <c r="S260" s="50">
        <v>-16.796399999999998</v>
      </c>
      <c r="T260" s="46">
        <v>-16.796399999999998</v>
      </c>
    </row>
    <row r="261" spans="16:20" x14ac:dyDescent="0.25">
      <c r="P261" s="18">
        <v>260</v>
      </c>
      <c r="Q261" s="50">
        <v>91.479299999999995</v>
      </c>
      <c r="R261" s="50">
        <v>0</v>
      </c>
      <c r="S261" s="50">
        <v>-16.745999999999999</v>
      </c>
      <c r="T261" s="46">
        <v>-16.745999999999999</v>
      </c>
    </row>
    <row r="262" spans="16:20" x14ac:dyDescent="0.25">
      <c r="P262" s="18">
        <v>261</v>
      </c>
      <c r="Q262" s="50">
        <v>103.7089</v>
      </c>
      <c r="R262" s="50">
        <v>3.7088999999999999</v>
      </c>
      <c r="S262" s="50">
        <v>-5.2839</v>
      </c>
      <c r="T262" s="46">
        <v>-8.9928000000000008</v>
      </c>
    </row>
    <row r="263" spans="16:20" x14ac:dyDescent="0.25">
      <c r="P263" s="18">
        <v>262</v>
      </c>
      <c r="Q263" s="50">
        <v>165.02850000000001</v>
      </c>
      <c r="R263" s="50">
        <v>65.028499999999994</v>
      </c>
      <c r="S263" s="50">
        <v>52.1327</v>
      </c>
      <c r="T263" s="46">
        <v>-12.895799999999999</v>
      </c>
    </row>
    <row r="264" spans="16:20" x14ac:dyDescent="0.25">
      <c r="P264" s="18">
        <v>263</v>
      </c>
      <c r="Q264" s="50">
        <v>51.879199999999997</v>
      </c>
      <c r="R264" s="50">
        <v>0</v>
      </c>
      <c r="S264" s="50">
        <v>-16.122499999999999</v>
      </c>
      <c r="T264" s="46">
        <v>-16.122499999999999</v>
      </c>
    </row>
    <row r="265" spans="16:20" x14ac:dyDescent="0.25">
      <c r="P265" s="18">
        <v>264</v>
      </c>
      <c r="Q265" s="50">
        <v>121.0759</v>
      </c>
      <c r="R265" s="50">
        <v>21.075900000000001</v>
      </c>
      <c r="S265" s="50">
        <v>9.3047000000000004</v>
      </c>
      <c r="T265" s="46">
        <v>-11.7712</v>
      </c>
    </row>
    <row r="266" spans="16:20" x14ac:dyDescent="0.25">
      <c r="P266" s="18">
        <v>265</v>
      </c>
      <c r="Q266" s="50">
        <v>73.4773</v>
      </c>
      <c r="R266" s="50">
        <v>0</v>
      </c>
      <c r="S266" s="50">
        <v>-15.1122</v>
      </c>
      <c r="T266" s="46">
        <v>-15.1122</v>
      </c>
    </row>
    <row r="267" spans="16:20" x14ac:dyDescent="0.25">
      <c r="P267" s="18">
        <v>266</v>
      </c>
      <c r="Q267" s="50">
        <v>140.22149999999999</v>
      </c>
      <c r="R267" s="50">
        <v>40.221499999999999</v>
      </c>
      <c r="S267" s="50">
        <v>21.814800000000002</v>
      </c>
      <c r="T267" s="46">
        <v>-18.4068</v>
      </c>
    </row>
    <row r="268" spans="16:20" x14ac:dyDescent="0.25">
      <c r="P268" s="18">
        <v>267</v>
      </c>
      <c r="Q268" s="50">
        <v>97.342100000000002</v>
      </c>
      <c r="R268" s="50">
        <v>0</v>
      </c>
      <c r="S268" s="50">
        <v>-13.4201</v>
      </c>
      <c r="T268" s="46">
        <v>-13.4201</v>
      </c>
    </row>
    <row r="269" spans="16:20" x14ac:dyDescent="0.25">
      <c r="P269" s="18">
        <v>268</v>
      </c>
      <c r="Q269" s="50">
        <v>80.761799999999994</v>
      </c>
      <c r="R269" s="50">
        <v>0</v>
      </c>
      <c r="S269" s="50">
        <v>-13.5756</v>
      </c>
      <c r="T269" s="46">
        <v>-13.5756</v>
      </c>
    </row>
    <row r="270" spans="16:20" x14ac:dyDescent="0.25">
      <c r="P270" s="18">
        <v>269</v>
      </c>
      <c r="Q270" s="50">
        <v>102.80889999999999</v>
      </c>
      <c r="R270" s="50">
        <v>2.8089</v>
      </c>
      <c r="S270" s="50">
        <v>-8.5401000000000007</v>
      </c>
      <c r="T270" s="46">
        <v>-11.3491</v>
      </c>
    </row>
    <row r="271" spans="16:20" x14ac:dyDescent="0.25">
      <c r="P271" s="18">
        <v>270</v>
      </c>
      <c r="Q271" s="50">
        <v>149.30940000000001</v>
      </c>
      <c r="R271" s="50">
        <v>49.309399999999997</v>
      </c>
      <c r="S271" s="50">
        <v>34.1584</v>
      </c>
      <c r="T271" s="46">
        <v>-15.151</v>
      </c>
    </row>
    <row r="272" spans="16:20" x14ac:dyDescent="0.25">
      <c r="P272" s="18">
        <v>271</v>
      </c>
      <c r="Q272" s="50">
        <v>113.3424</v>
      </c>
      <c r="R272" s="50">
        <v>13.3424</v>
      </c>
      <c r="S272" s="50">
        <v>2.4914000000000001</v>
      </c>
      <c r="T272" s="46">
        <v>-10.851100000000001</v>
      </c>
    </row>
    <row r="273" spans="16:20" x14ac:dyDescent="0.25">
      <c r="P273" s="18">
        <v>272</v>
      </c>
      <c r="Q273" s="50">
        <v>127.59520000000001</v>
      </c>
      <c r="R273" s="50">
        <v>27.595199999999998</v>
      </c>
      <c r="S273" s="50">
        <v>11.5129</v>
      </c>
      <c r="T273" s="46">
        <v>-16.0823</v>
      </c>
    </row>
    <row r="274" spans="16:20" x14ac:dyDescent="0.25">
      <c r="P274" s="18">
        <v>273</v>
      </c>
      <c r="Q274" s="50">
        <v>99.310400000000001</v>
      </c>
      <c r="R274" s="50">
        <v>0</v>
      </c>
      <c r="S274" s="50">
        <v>-11.293699999999999</v>
      </c>
      <c r="T274" s="46">
        <v>-11.293699999999999</v>
      </c>
    </row>
    <row r="275" spans="16:20" x14ac:dyDescent="0.25">
      <c r="P275" s="18">
        <v>274</v>
      </c>
      <c r="Q275" s="50">
        <v>167.93289999999999</v>
      </c>
      <c r="R275" s="50">
        <v>67.932900000000004</v>
      </c>
      <c r="S275" s="50">
        <v>51.8705</v>
      </c>
      <c r="T275" s="46">
        <v>-16.0625</v>
      </c>
    </row>
    <row r="276" spans="16:20" x14ac:dyDescent="0.25">
      <c r="P276" s="18">
        <v>275</v>
      </c>
      <c r="Q276" s="50">
        <v>94.100800000000007</v>
      </c>
      <c r="R276" s="50">
        <v>0</v>
      </c>
      <c r="S276" s="50">
        <v>-11.3604</v>
      </c>
      <c r="T276" s="46">
        <v>-11.3604</v>
      </c>
    </row>
    <row r="277" spans="16:20" x14ac:dyDescent="0.25">
      <c r="P277" s="18">
        <v>276</v>
      </c>
      <c r="Q277" s="50">
        <v>64.903400000000005</v>
      </c>
      <c r="R277" s="50">
        <v>0</v>
      </c>
      <c r="S277" s="50">
        <v>-14.8994</v>
      </c>
      <c r="T277" s="46">
        <v>-14.8994</v>
      </c>
    </row>
    <row r="278" spans="16:20" x14ac:dyDescent="0.25">
      <c r="P278" s="18">
        <v>277</v>
      </c>
      <c r="Q278" s="50">
        <v>124.581</v>
      </c>
      <c r="R278" s="50">
        <v>24.581</v>
      </c>
      <c r="S278" s="50">
        <v>11.955</v>
      </c>
      <c r="T278" s="46">
        <v>-12.625999999999999</v>
      </c>
    </row>
    <row r="279" spans="16:20" x14ac:dyDescent="0.25">
      <c r="P279" s="18">
        <v>278</v>
      </c>
      <c r="Q279" s="50">
        <v>105.98480000000001</v>
      </c>
      <c r="R279" s="50">
        <v>5.9847999999999999</v>
      </c>
      <c r="S279" s="50">
        <v>-6.4626999999999999</v>
      </c>
      <c r="T279" s="46">
        <v>-12.4475</v>
      </c>
    </row>
    <row r="280" spans="16:20" x14ac:dyDescent="0.25">
      <c r="P280" s="18">
        <v>279</v>
      </c>
      <c r="Q280" s="50">
        <v>110.0942</v>
      </c>
      <c r="R280" s="50">
        <v>10.094200000000001</v>
      </c>
      <c r="S280" s="50">
        <v>-0.64670000000000005</v>
      </c>
      <c r="T280" s="46">
        <v>-10.741</v>
      </c>
    </row>
    <row r="281" spans="16:20" x14ac:dyDescent="0.25">
      <c r="P281" s="18">
        <v>280</v>
      </c>
      <c r="Q281" s="50">
        <v>87.648300000000006</v>
      </c>
      <c r="R281" s="50">
        <v>0</v>
      </c>
      <c r="S281" s="50">
        <v>-11.691000000000001</v>
      </c>
      <c r="T281" s="46">
        <v>-11.691000000000001</v>
      </c>
    </row>
    <row r="282" spans="16:20" x14ac:dyDescent="0.25">
      <c r="P282" s="18">
        <v>281</v>
      </c>
      <c r="Q282" s="50">
        <v>93.835899999999995</v>
      </c>
      <c r="R282" s="50">
        <v>0</v>
      </c>
      <c r="S282" s="50">
        <v>-12.202500000000001</v>
      </c>
      <c r="T282" s="46">
        <v>-12.202500000000001</v>
      </c>
    </row>
    <row r="283" spans="16:20" x14ac:dyDescent="0.25">
      <c r="P283" s="18">
        <v>282</v>
      </c>
      <c r="Q283" s="50">
        <v>174.88810000000001</v>
      </c>
      <c r="R283" s="50">
        <v>74.888099999999994</v>
      </c>
      <c r="S283" s="50">
        <v>59.237200000000001</v>
      </c>
      <c r="T283" s="46">
        <v>-15.6509</v>
      </c>
    </row>
    <row r="284" spans="16:20" x14ac:dyDescent="0.25">
      <c r="P284" s="18">
        <v>283</v>
      </c>
      <c r="Q284" s="50">
        <v>165.5574</v>
      </c>
      <c r="R284" s="50">
        <v>65.557400000000001</v>
      </c>
      <c r="S284" s="50">
        <v>48.655099999999997</v>
      </c>
      <c r="T284" s="46">
        <v>-16.902200000000001</v>
      </c>
    </row>
    <row r="285" spans="16:20" x14ac:dyDescent="0.25">
      <c r="P285" s="18">
        <v>284</v>
      </c>
      <c r="Q285" s="50">
        <v>73.192300000000003</v>
      </c>
      <c r="R285" s="50">
        <v>0</v>
      </c>
      <c r="S285" s="50">
        <v>-15.6015</v>
      </c>
      <c r="T285" s="46">
        <v>-15.6015</v>
      </c>
    </row>
    <row r="286" spans="16:20" x14ac:dyDescent="0.25">
      <c r="P286" s="18">
        <v>285</v>
      </c>
      <c r="Q286" s="50">
        <v>100.99290000000001</v>
      </c>
      <c r="R286" s="50">
        <v>0.9929</v>
      </c>
      <c r="S286" s="50">
        <v>-8.9506999999999994</v>
      </c>
      <c r="T286" s="46">
        <v>-9.9436</v>
      </c>
    </row>
    <row r="287" spans="16:20" x14ac:dyDescent="0.25">
      <c r="P287" s="18">
        <v>286</v>
      </c>
      <c r="Q287" s="50">
        <v>113.4699</v>
      </c>
      <c r="R287" s="50">
        <v>13.469900000000001</v>
      </c>
      <c r="S287" s="50">
        <v>-2.7641</v>
      </c>
      <c r="T287" s="46">
        <v>-16.234100000000002</v>
      </c>
    </row>
    <row r="288" spans="16:20" x14ac:dyDescent="0.25">
      <c r="P288" s="18">
        <v>287</v>
      </c>
      <c r="Q288" s="50">
        <v>83.251000000000005</v>
      </c>
      <c r="R288" s="50">
        <v>0</v>
      </c>
      <c r="S288" s="50">
        <v>-20.727399999999999</v>
      </c>
      <c r="T288" s="46">
        <v>-20.727399999999999</v>
      </c>
    </row>
    <row r="289" spans="16:20" x14ac:dyDescent="0.25">
      <c r="P289" s="18">
        <v>288</v>
      </c>
      <c r="Q289" s="50">
        <v>107.6866</v>
      </c>
      <c r="R289" s="50">
        <v>7.6866000000000003</v>
      </c>
      <c r="S289" s="50">
        <v>-5.7103000000000002</v>
      </c>
      <c r="T289" s="46">
        <v>-13.3969</v>
      </c>
    </row>
    <row r="290" spans="16:20" x14ac:dyDescent="0.25">
      <c r="P290" s="18">
        <v>289</v>
      </c>
      <c r="Q290" s="50">
        <v>126.2577</v>
      </c>
      <c r="R290" s="50">
        <v>26.2577</v>
      </c>
      <c r="S290" s="50">
        <v>12.714499999999999</v>
      </c>
      <c r="T290" s="46">
        <v>-13.543200000000001</v>
      </c>
    </row>
    <row r="291" spans="16:20" x14ac:dyDescent="0.25">
      <c r="P291" s="18">
        <v>290</v>
      </c>
      <c r="Q291" s="50">
        <v>85.665099999999995</v>
      </c>
      <c r="R291" s="50">
        <v>0</v>
      </c>
      <c r="S291" s="50">
        <v>-11.725199999999999</v>
      </c>
      <c r="T291" s="46">
        <v>-11.725199999999999</v>
      </c>
    </row>
    <row r="292" spans="16:20" x14ac:dyDescent="0.25">
      <c r="P292" s="18">
        <v>291</v>
      </c>
      <c r="Q292" s="50">
        <v>100.1344</v>
      </c>
      <c r="R292" s="50">
        <v>0.13439999999999999</v>
      </c>
      <c r="S292" s="50">
        <v>-13.109500000000001</v>
      </c>
      <c r="T292" s="46">
        <v>-13.2439</v>
      </c>
    </row>
    <row r="293" spans="16:20" x14ac:dyDescent="0.25">
      <c r="P293" s="18">
        <v>292</v>
      </c>
      <c r="Q293" s="50">
        <v>80.534400000000005</v>
      </c>
      <c r="R293" s="50">
        <v>0</v>
      </c>
      <c r="S293" s="50">
        <v>-14.088800000000001</v>
      </c>
      <c r="T293" s="46">
        <v>-14.088800000000001</v>
      </c>
    </row>
    <row r="294" spans="16:20" x14ac:dyDescent="0.25">
      <c r="P294" s="18">
        <v>293</v>
      </c>
      <c r="Q294" s="50">
        <v>97.045400000000001</v>
      </c>
      <c r="R294" s="50">
        <v>0</v>
      </c>
      <c r="S294" s="50">
        <v>-9.3262</v>
      </c>
      <c r="T294" s="46">
        <v>-9.3262</v>
      </c>
    </row>
    <row r="295" spans="16:20" x14ac:dyDescent="0.25">
      <c r="P295" s="18">
        <v>294</v>
      </c>
      <c r="Q295" s="50">
        <v>142.30600000000001</v>
      </c>
      <c r="R295" s="50">
        <v>42.305999999999997</v>
      </c>
      <c r="S295" s="50">
        <v>26.534300000000002</v>
      </c>
      <c r="T295" s="46">
        <v>-15.771699999999999</v>
      </c>
    </row>
    <row r="296" spans="16:20" x14ac:dyDescent="0.25">
      <c r="P296" s="18">
        <v>295</v>
      </c>
      <c r="Q296" s="50">
        <v>77.087400000000002</v>
      </c>
      <c r="R296" s="50">
        <v>0</v>
      </c>
      <c r="S296" s="50">
        <v>-14.634499999999999</v>
      </c>
      <c r="T296" s="46">
        <v>-14.634499999999999</v>
      </c>
    </row>
    <row r="297" spans="16:20" x14ac:dyDescent="0.25">
      <c r="P297" s="18">
        <v>296</v>
      </c>
      <c r="Q297" s="50">
        <v>107.35639999999999</v>
      </c>
      <c r="R297" s="50">
        <v>7.3563999999999998</v>
      </c>
      <c r="S297" s="50">
        <v>-8.7467000000000006</v>
      </c>
      <c r="T297" s="46">
        <v>-16.103200000000001</v>
      </c>
    </row>
    <row r="298" spans="16:20" x14ac:dyDescent="0.25">
      <c r="P298" s="18">
        <v>297</v>
      </c>
      <c r="Q298" s="50">
        <v>117.5402</v>
      </c>
      <c r="R298" s="50">
        <v>17.540199999999999</v>
      </c>
      <c r="S298" s="50">
        <v>3.8243999999999998</v>
      </c>
      <c r="T298" s="46">
        <v>-13.7158</v>
      </c>
    </row>
    <row r="299" spans="16:20" x14ac:dyDescent="0.25">
      <c r="P299" s="18">
        <v>298</v>
      </c>
      <c r="Q299" s="50">
        <v>98.608900000000006</v>
      </c>
      <c r="R299" s="50">
        <v>0</v>
      </c>
      <c r="S299" s="50">
        <v>-11.750299999999999</v>
      </c>
      <c r="T299" s="46">
        <v>-11.750299999999999</v>
      </c>
    </row>
    <row r="300" spans="16:20" x14ac:dyDescent="0.25">
      <c r="P300" s="18">
        <v>299</v>
      </c>
      <c r="Q300" s="50">
        <v>82.524799999999999</v>
      </c>
      <c r="R300" s="50">
        <v>0</v>
      </c>
      <c r="S300" s="50">
        <v>-13.7043</v>
      </c>
      <c r="T300" s="46">
        <v>-13.7043</v>
      </c>
    </row>
    <row r="301" spans="16:20" x14ac:dyDescent="0.25">
      <c r="P301" s="18">
        <v>300</v>
      </c>
      <c r="Q301" s="50">
        <v>131.53809999999999</v>
      </c>
      <c r="R301" s="50">
        <v>31.5381</v>
      </c>
      <c r="S301" s="50">
        <v>18.8201</v>
      </c>
      <c r="T301" s="46">
        <v>-12.718</v>
      </c>
    </row>
    <row r="302" spans="16:20" x14ac:dyDescent="0.25">
      <c r="P302" s="18">
        <v>301</v>
      </c>
      <c r="Q302" s="50">
        <v>141.34639999999999</v>
      </c>
      <c r="R302" s="50">
        <v>41.346400000000003</v>
      </c>
      <c r="S302" s="50">
        <v>28.0107</v>
      </c>
      <c r="T302" s="46">
        <v>-13.335699999999999</v>
      </c>
    </row>
    <row r="303" spans="16:20" x14ac:dyDescent="0.25">
      <c r="P303" s="18">
        <v>302</v>
      </c>
      <c r="Q303" s="50">
        <v>158.12</v>
      </c>
      <c r="R303" s="50">
        <v>58.12</v>
      </c>
      <c r="S303" s="50">
        <v>43.101599999999998</v>
      </c>
      <c r="T303" s="46">
        <v>-15.0184</v>
      </c>
    </row>
    <row r="304" spans="16:20" x14ac:dyDescent="0.25">
      <c r="P304" s="18">
        <v>303</v>
      </c>
      <c r="Q304" s="50">
        <v>159.6311</v>
      </c>
      <c r="R304" s="50">
        <v>59.631100000000004</v>
      </c>
      <c r="S304" s="50">
        <v>46.288800000000002</v>
      </c>
      <c r="T304" s="46">
        <v>-13.3424</v>
      </c>
    </row>
    <row r="305" spans="16:20" x14ac:dyDescent="0.25">
      <c r="P305" s="18">
        <v>304</v>
      </c>
      <c r="Q305" s="50">
        <v>167.34620000000001</v>
      </c>
      <c r="R305" s="50">
        <v>67.346199999999996</v>
      </c>
      <c r="S305" s="50">
        <v>51.8977</v>
      </c>
      <c r="T305" s="46">
        <v>-15.448499999999999</v>
      </c>
    </row>
    <row r="306" spans="16:20" x14ac:dyDescent="0.25">
      <c r="P306" s="18">
        <v>305</v>
      </c>
      <c r="Q306" s="50">
        <v>141.0642</v>
      </c>
      <c r="R306" s="50">
        <v>41.0642</v>
      </c>
      <c r="S306" s="50">
        <v>27.351500000000001</v>
      </c>
      <c r="T306" s="46">
        <v>-13.7127</v>
      </c>
    </row>
    <row r="307" spans="16:20" x14ac:dyDescent="0.25">
      <c r="P307" s="18">
        <v>306</v>
      </c>
      <c r="Q307" s="50">
        <v>117.2183</v>
      </c>
      <c r="R307" s="50">
        <v>17.218299999999999</v>
      </c>
      <c r="S307" s="50">
        <v>3.6002000000000001</v>
      </c>
      <c r="T307" s="46">
        <v>-13.6181</v>
      </c>
    </row>
    <row r="308" spans="16:20" x14ac:dyDescent="0.25">
      <c r="P308" s="18">
        <v>307</v>
      </c>
      <c r="Q308" s="50">
        <v>94.975700000000003</v>
      </c>
      <c r="R308" s="50">
        <v>0</v>
      </c>
      <c r="S308" s="50">
        <v>-9.9825999999999997</v>
      </c>
      <c r="T308" s="46">
        <v>-9.9825999999999997</v>
      </c>
    </row>
    <row r="309" spans="16:20" x14ac:dyDescent="0.25">
      <c r="P309" s="18">
        <v>308</v>
      </c>
      <c r="Q309" s="50">
        <v>104.7028</v>
      </c>
      <c r="R309" s="50">
        <v>4.7027999999999999</v>
      </c>
      <c r="S309" s="50">
        <v>-13.0914</v>
      </c>
      <c r="T309" s="46">
        <v>-17.7942</v>
      </c>
    </row>
    <row r="310" spans="16:20" x14ac:dyDescent="0.25">
      <c r="P310" s="18">
        <v>309</v>
      </c>
      <c r="Q310" s="50">
        <v>123.5997</v>
      </c>
      <c r="R310" s="50">
        <v>23.599699999999999</v>
      </c>
      <c r="S310" s="50">
        <v>8.0311000000000003</v>
      </c>
      <c r="T310" s="46">
        <v>-15.5687</v>
      </c>
    </row>
    <row r="311" spans="16:20" x14ac:dyDescent="0.25">
      <c r="P311" s="18">
        <v>310</v>
      </c>
      <c r="Q311" s="50">
        <v>126.6251</v>
      </c>
      <c r="R311" s="50">
        <v>26.6251</v>
      </c>
      <c r="S311" s="50">
        <v>12.267300000000001</v>
      </c>
      <c r="T311" s="46">
        <v>-14.357799999999999</v>
      </c>
    </row>
    <row r="312" spans="16:20" x14ac:dyDescent="0.25">
      <c r="P312" s="18">
        <v>311</v>
      </c>
      <c r="Q312" s="50">
        <v>89.536900000000003</v>
      </c>
      <c r="R312" s="50">
        <v>0</v>
      </c>
      <c r="S312" s="50">
        <v>-14.9038</v>
      </c>
      <c r="T312" s="46">
        <v>-14.9038</v>
      </c>
    </row>
    <row r="313" spans="16:20" x14ac:dyDescent="0.25">
      <c r="P313" s="18">
        <v>312</v>
      </c>
      <c r="Q313" s="50">
        <v>67.293199999999999</v>
      </c>
      <c r="R313" s="50">
        <v>0</v>
      </c>
      <c r="S313" s="50">
        <v>-15.8353</v>
      </c>
      <c r="T313" s="46">
        <v>-15.8353</v>
      </c>
    </row>
    <row r="314" spans="16:20" x14ac:dyDescent="0.25">
      <c r="P314" s="18">
        <v>313</v>
      </c>
      <c r="Q314" s="50">
        <v>111.4365</v>
      </c>
      <c r="R314" s="50">
        <v>11.436500000000001</v>
      </c>
      <c r="S314" s="50">
        <v>-4.0865999999999998</v>
      </c>
      <c r="T314" s="46">
        <v>-15.523099999999999</v>
      </c>
    </row>
    <row r="315" spans="16:20" x14ac:dyDescent="0.25">
      <c r="P315" s="18">
        <v>314</v>
      </c>
      <c r="Q315" s="50">
        <v>85.771299999999997</v>
      </c>
      <c r="R315" s="50">
        <v>0</v>
      </c>
      <c r="S315" s="50">
        <v>-12.6737</v>
      </c>
      <c r="T315" s="46">
        <v>-12.6737</v>
      </c>
    </row>
    <row r="316" spans="16:20" x14ac:dyDescent="0.25">
      <c r="P316" s="18">
        <v>315</v>
      </c>
      <c r="Q316" s="50">
        <v>85.4696</v>
      </c>
      <c r="R316" s="50">
        <v>0</v>
      </c>
      <c r="S316" s="50">
        <v>-14.5099</v>
      </c>
      <c r="T316" s="46">
        <v>-14.5099</v>
      </c>
    </row>
    <row r="317" spans="16:20" x14ac:dyDescent="0.25">
      <c r="P317" s="18">
        <v>316</v>
      </c>
      <c r="Q317" s="50">
        <v>143.71010000000001</v>
      </c>
      <c r="R317" s="50">
        <v>43.710099999999997</v>
      </c>
      <c r="S317" s="50">
        <v>28.4087</v>
      </c>
      <c r="T317" s="46">
        <v>-15.301399999999999</v>
      </c>
    </row>
    <row r="318" spans="16:20" x14ac:dyDescent="0.25">
      <c r="P318" s="18">
        <v>317</v>
      </c>
      <c r="Q318" s="50">
        <v>105.9474</v>
      </c>
      <c r="R318" s="50">
        <v>5.9474</v>
      </c>
      <c r="S318" s="50">
        <v>-3.8946000000000001</v>
      </c>
      <c r="T318" s="46">
        <v>-9.8420000000000005</v>
      </c>
    </row>
    <row r="319" spans="16:20" x14ac:dyDescent="0.25">
      <c r="P319" s="18">
        <v>318</v>
      </c>
      <c r="Q319" s="50">
        <v>59.717799999999997</v>
      </c>
      <c r="R319" s="50">
        <v>0</v>
      </c>
      <c r="S319" s="50">
        <v>-16.234000000000002</v>
      </c>
      <c r="T319" s="46">
        <v>-16.234000000000002</v>
      </c>
    </row>
    <row r="320" spans="16:20" x14ac:dyDescent="0.25">
      <c r="P320" s="18">
        <v>319</v>
      </c>
      <c r="Q320" s="50">
        <v>145.23220000000001</v>
      </c>
      <c r="R320" s="50">
        <v>45.232199999999999</v>
      </c>
      <c r="S320" s="50">
        <v>29.2209</v>
      </c>
      <c r="T320" s="46">
        <v>-16.011299999999999</v>
      </c>
    </row>
    <row r="321" spans="16:20" x14ac:dyDescent="0.25">
      <c r="P321" s="18">
        <v>320</v>
      </c>
      <c r="Q321" s="50">
        <v>104.0117</v>
      </c>
      <c r="R321" s="50">
        <v>4.0117000000000003</v>
      </c>
      <c r="S321" s="50">
        <v>-6.6673</v>
      </c>
      <c r="T321" s="46">
        <v>-10.679</v>
      </c>
    </row>
    <row r="322" spans="16:20" x14ac:dyDescent="0.25">
      <c r="P322" s="18">
        <v>321</v>
      </c>
      <c r="Q322" s="50">
        <v>119.44629999999999</v>
      </c>
      <c r="R322" s="50">
        <v>19.446300000000001</v>
      </c>
      <c r="S322" s="50">
        <v>5.2081999999999997</v>
      </c>
      <c r="T322" s="46">
        <v>-14.238099999999999</v>
      </c>
    </row>
    <row r="323" spans="16:20" x14ac:dyDescent="0.25">
      <c r="P323" s="18">
        <v>322</v>
      </c>
      <c r="Q323" s="50">
        <v>121.545</v>
      </c>
      <c r="R323" s="50">
        <v>21.545000000000002</v>
      </c>
      <c r="S323" s="50">
        <v>9.2345000000000006</v>
      </c>
      <c r="T323" s="46">
        <v>-12.310499999999999</v>
      </c>
    </row>
    <row r="324" spans="16:20" x14ac:dyDescent="0.25">
      <c r="P324" s="18">
        <v>323</v>
      </c>
      <c r="Q324" s="50">
        <v>107.5829</v>
      </c>
      <c r="R324" s="50">
        <v>7.5829000000000004</v>
      </c>
      <c r="S324" s="50">
        <v>-3.0070999999999999</v>
      </c>
      <c r="T324" s="46">
        <v>-10.59</v>
      </c>
    </row>
    <row r="325" spans="16:20" x14ac:dyDescent="0.25">
      <c r="P325" s="18">
        <v>324</v>
      </c>
      <c r="Q325" s="50">
        <v>84.578999999999994</v>
      </c>
      <c r="R325" s="50">
        <v>0</v>
      </c>
      <c r="S325" s="50">
        <v>-13.2303</v>
      </c>
      <c r="T325" s="46">
        <v>-13.2303</v>
      </c>
    </row>
    <row r="326" spans="16:20" x14ac:dyDescent="0.25">
      <c r="P326" s="18">
        <v>325</v>
      </c>
      <c r="Q326" s="50">
        <v>105.7754</v>
      </c>
      <c r="R326" s="50">
        <v>5.7754000000000003</v>
      </c>
      <c r="S326" s="50">
        <v>-8.5516000000000005</v>
      </c>
      <c r="T326" s="46">
        <v>-14.327</v>
      </c>
    </row>
    <row r="327" spans="16:20" x14ac:dyDescent="0.25">
      <c r="P327" s="18">
        <v>326</v>
      </c>
      <c r="Q327" s="50">
        <v>67.771500000000003</v>
      </c>
      <c r="R327" s="50">
        <v>0</v>
      </c>
      <c r="S327" s="50">
        <v>-19.385899999999999</v>
      </c>
      <c r="T327" s="46">
        <v>-19.385899999999999</v>
      </c>
    </row>
    <row r="328" spans="16:20" x14ac:dyDescent="0.25">
      <c r="P328" s="18">
        <v>327</v>
      </c>
      <c r="Q328" s="50">
        <v>92.323400000000007</v>
      </c>
      <c r="R328" s="50">
        <v>0</v>
      </c>
      <c r="S328" s="50">
        <v>-11.203200000000001</v>
      </c>
      <c r="T328" s="46">
        <v>-11.203200000000001</v>
      </c>
    </row>
    <row r="329" spans="16:20" x14ac:dyDescent="0.25">
      <c r="P329" s="18">
        <v>328</v>
      </c>
      <c r="Q329" s="50">
        <v>91.281700000000001</v>
      </c>
      <c r="R329" s="50">
        <v>0</v>
      </c>
      <c r="S329" s="50">
        <v>-14.3866</v>
      </c>
      <c r="T329" s="46">
        <v>-14.3866</v>
      </c>
    </row>
    <row r="330" spans="16:20" x14ac:dyDescent="0.25">
      <c r="P330" s="18">
        <v>329</v>
      </c>
      <c r="Q330" s="50">
        <v>92.558899999999994</v>
      </c>
      <c r="R330" s="50">
        <v>0</v>
      </c>
      <c r="S330" s="50">
        <v>-12.9193</v>
      </c>
      <c r="T330" s="46">
        <v>-12.9193</v>
      </c>
    </row>
    <row r="331" spans="16:20" x14ac:dyDescent="0.25">
      <c r="P331" s="18">
        <v>330</v>
      </c>
      <c r="Q331" s="50">
        <v>106.3486</v>
      </c>
      <c r="R331" s="50">
        <v>6.3486000000000002</v>
      </c>
      <c r="S331" s="50">
        <v>-7.4120999999999997</v>
      </c>
      <c r="T331" s="46">
        <v>-13.7608</v>
      </c>
    </row>
    <row r="332" spans="16:20" x14ac:dyDescent="0.25">
      <c r="P332" s="18">
        <v>331</v>
      </c>
      <c r="Q332" s="50">
        <v>163.28870000000001</v>
      </c>
      <c r="R332" s="50">
        <v>63.288699999999999</v>
      </c>
      <c r="S332" s="50">
        <v>47.962000000000003</v>
      </c>
      <c r="T332" s="46">
        <v>-15.326700000000001</v>
      </c>
    </row>
    <row r="333" spans="16:20" x14ac:dyDescent="0.25">
      <c r="P333" s="18">
        <v>332</v>
      </c>
      <c r="Q333" s="50">
        <v>67.290199999999999</v>
      </c>
      <c r="R333" s="50">
        <v>0</v>
      </c>
      <c r="S333" s="50">
        <v>-14.541700000000001</v>
      </c>
      <c r="T333" s="46">
        <v>-14.541700000000001</v>
      </c>
    </row>
    <row r="334" spans="16:20" x14ac:dyDescent="0.25">
      <c r="P334" s="18">
        <v>333</v>
      </c>
      <c r="Q334" s="50">
        <v>121.32510000000001</v>
      </c>
      <c r="R334" s="50">
        <v>21.325099999999999</v>
      </c>
      <c r="S334" s="50">
        <v>10.158899999999999</v>
      </c>
      <c r="T334" s="46">
        <v>-11.1662</v>
      </c>
    </row>
    <row r="335" spans="16:20" x14ac:dyDescent="0.25">
      <c r="P335" s="18">
        <v>334</v>
      </c>
      <c r="Q335" s="50">
        <v>92.2149</v>
      </c>
      <c r="R335" s="50">
        <v>0</v>
      </c>
      <c r="S335" s="50">
        <v>-14.971399999999999</v>
      </c>
      <c r="T335" s="46">
        <v>-14.971399999999999</v>
      </c>
    </row>
    <row r="336" spans="16:20" x14ac:dyDescent="0.25">
      <c r="P336" s="18">
        <v>335</v>
      </c>
      <c r="Q336" s="50">
        <v>107.5896</v>
      </c>
      <c r="R336" s="50">
        <v>7.5895999999999999</v>
      </c>
      <c r="S336" s="50">
        <v>-10.254099999999999</v>
      </c>
      <c r="T336" s="46">
        <v>-17.843699999999998</v>
      </c>
    </row>
    <row r="337" spans="16:20" x14ac:dyDescent="0.25">
      <c r="P337" s="18">
        <v>336</v>
      </c>
      <c r="Q337" s="50">
        <v>72.857900000000001</v>
      </c>
      <c r="R337" s="50">
        <v>0</v>
      </c>
      <c r="S337" s="50">
        <v>-14.4138</v>
      </c>
      <c r="T337" s="46">
        <v>-14.4138</v>
      </c>
    </row>
    <row r="338" spans="16:20" x14ac:dyDescent="0.25">
      <c r="P338" s="18">
        <v>337</v>
      </c>
      <c r="Q338" s="50">
        <v>69.496200000000002</v>
      </c>
      <c r="R338" s="50">
        <v>0</v>
      </c>
      <c r="S338" s="50">
        <v>-14.7159</v>
      </c>
      <c r="T338" s="46">
        <v>-14.7159</v>
      </c>
    </row>
    <row r="339" spans="16:20" x14ac:dyDescent="0.25">
      <c r="P339" s="18">
        <v>338</v>
      </c>
      <c r="Q339" s="50">
        <v>100.6985</v>
      </c>
      <c r="R339" s="50">
        <v>0.69850000000000001</v>
      </c>
      <c r="S339" s="50">
        <v>-6.3825000000000003</v>
      </c>
      <c r="T339" s="46">
        <v>-7.0811000000000002</v>
      </c>
    </row>
    <row r="340" spans="16:20" x14ac:dyDescent="0.25">
      <c r="P340" s="18">
        <v>339</v>
      </c>
      <c r="Q340" s="50">
        <v>104.4943</v>
      </c>
      <c r="R340" s="50">
        <v>4.4943</v>
      </c>
      <c r="S340" s="50">
        <v>-12.9063</v>
      </c>
      <c r="T340" s="46">
        <v>-17.400600000000001</v>
      </c>
    </row>
    <row r="341" spans="16:20" x14ac:dyDescent="0.25">
      <c r="P341" s="18">
        <v>340</v>
      </c>
      <c r="Q341" s="50">
        <v>179.9957</v>
      </c>
      <c r="R341" s="50">
        <v>79.995699999999999</v>
      </c>
      <c r="S341" s="50">
        <v>64.739000000000004</v>
      </c>
      <c r="T341" s="46">
        <v>-15.256600000000001</v>
      </c>
    </row>
    <row r="342" spans="16:20" x14ac:dyDescent="0.25">
      <c r="P342" s="18">
        <v>341</v>
      </c>
      <c r="Q342" s="50">
        <v>122.8245</v>
      </c>
      <c r="R342" s="50">
        <v>22.8245</v>
      </c>
      <c r="S342" s="50">
        <v>1.7895000000000001</v>
      </c>
      <c r="T342" s="46">
        <v>-21.035</v>
      </c>
    </row>
    <row r="343" spans="16:20" x14ac:dyDescent="0.25">
      <c r="P343" s="18">
        <v>342</v>
      </c>
      <c r="Q343" s="50">
        <v>154.22579999999999</v>
      </c>
      <c r="R343" s="50">
        <v>54.2258</v>
      </c>
      <c r="S343" s="50">
        <v>40.124899999999997</v>
      </c>
      <c r="T343" s="46">
        <v>-14.100899999999999</v>
      </c>
    </row>
    <row r="344" spans="16:20" x14ac:dyDescent="0.25">
      <c r="P344" s="18">
        <v>343</v>
      </c>
      <c r="Q344" s="50">
        <v>77.460999999999999</v>
      </c>
      <c r="R344" s="50">
        <v>0</v>
      </c>
      <c r="S344" s="50">
        <v>-18.5655</v>
      </c>
      <c r="T344" s="46">
        <v>-18.5655</v>
      </c>
    </row>
    <row r="345" spans="16:20" x14ac:dyDescent="0.25">
      <c r="P345" s="18">
        <v>344</v>
      </c>
      <c r="Q345" s="50">
        <v>79.753799999999998</v>
      </c>
      <c r="R345" s="50">
        <v>0</v>
      </c>
      <c r="S345" s="50">
        <v>-13.1927</v>
      </c>
      <c r="T345" s="46">
        <v>-13.1927</v>
      </c>
    </row>
    <row r="346" spans="16:20" x14ac:dyDescent="0.25">
      <c r="P346" s="18">
        <v>345</v>
      </c>
      <c r="Q346" s="50">
        <v>138.43049999999999</v>
      </c>
      <c r="R346" s="50">
        <v>38.430500000000002</v>
      </c>
      <c r="S346" s="50">
        <v>17.305800000000001</v>
      </c>
      <c r="T346" s="46">
        <v>-21.124700000000001</v>
      </c>
    </row>
    <row r="347" spans="16:20" x14ac:dyDescent="0.25">
      <c r="P347" s="18">
        <v>346</v>
      </c>
      <c r="Q347" s="50">
        <v>74.874099999999999</v>
      </c>
      <c r="R347" s="50">
        <v>0</v>
      </c>
      <c r="S347" s="50">
        <v>-11.8004</v>
      </c>
      <c r="T347" s="46">
        <v>-11.8004</v>
      </c>
    </row>
    <row r="348" spans="16:20" x14ac:dyDescent="0.25">
      <c r="P348" s="18">
        <v>347</v>
      </c>
      <c r="Q348" s="50">
        <v>98.537899999999993</v>
      </c>
      <c r="R348" s="50">
        <v>0</v>
      </c>
      <c r="S348" s="50">
        <v>-12.0717</v>
      </c>
      <c r="T348" s="46">
        <v>-12.0717</v>
      </c>
    </row>
    <row r="349" spans="16:20" x14ac:dyDescent="0.25">
      <c r="P349" s="18">
        <v>348</v>
      </c>
      <c r="Q349" s="50">
        <v>128.79259999999999</v>
      </c>
      <c r="R349" s="50">
        <v>28.7926</v>
      </c>
      <c r="S349" s="50">
        <v>18.453399999999998</v>
      </c>
      <c r="T349" s="46">
        <v>-10.3393</v>
      </c>
    </row>
    <row r="350" spans="16:20" x14ac:dyDescent="0.25">
      <c r="P350" s="18">
        <v>349</v>
      </c>
      <c r="Q350" s="50">
        <v>92.190600000000003</v>
      </c>
      <c r="R350" s="50">
        <v>0</v>
      </c>
      <c r="S350" s="50">
        <v>-12.826000000000001</v>
      </c>
      <c r="T350" s="46">
        <v>-12.826000000000001</v>
      </c>
    </row>
    <row r="351" spans="16:20" x14ac:dyDescent="0.25">
      <c r="P351" s="18">
        <v>350</v>
      </c>
      <c r="Q351" s="50">
        <v>108.87520000000001</v>
      </c>
      <c r="R351" s="50">
        <v>8.8751999999999995</v>
      </c>
      <c r="S351" s="50">
        <v>-8.1213999999999995</v>
      </c>
      <c r="T351" s="46">
        <v>-16.996600000000001</v>
      </c>
    </row>
    <row r="352" spans="16:20" x14ac:dyDescent="0.25">
      <c r="P352" s="18">
        <v>351</v>
      </c>
      <c r="Q352" s="50">
        <v>74.971400000000003</v>
      </c>
      <c r="R352" s="50">
        <v>0</v>
      </c>
      <c r="S352" s="50">
        <v>-16.269500000000001</v>
      </c>
      <c r="T352" s="46">
        <v>-16.269500000000001</v>
      </c>
    </row>
    <row r="353" spans="16:20" x14ac:dyDescent="0.25">
      <c r="P353" s="18">
        <v>352</v>
      </c>
      <c r="Q353" s="50">
        <v>104.1129</v>
      </c>
      <c r="R353" s="50">
        <v>4.1128999999999998</v>
      </c>
      <c r="S353" s="50">
        <v>-5.7145000000000001</v>
      </c>
      <c r="T353" s="46">
        <v>-9.8274000000000008</v>
      </c>
    </row>
    <row r="354" spans="16:20" x14ac:dyDescent="0.25">
      <c r="P354" s="18">
        <v>353</v>
      </c>
      <c r="Q354" s="50">
        <v>84.8005</v>
      </c>
      <c r="R354" s="50">
        <v>0</v>
      </c>
      <c r="S354" s="50">
        <v>-15.7247</v>
      </c>
      <c r="T354" s="46">
        <v>-15.7247</v>
      </c>
    </row>
    <row r="355" spans="16:20" x14ac:dyDescent="0.25">
      <c r="P355" s="18">
        <v>354</v>
      </c>
      <c r="Q355" s="50">
        <v>124.569</v>
      </c>
      <c r="R355" s="50">
        <v>24.568999999999999</v>
      </c>
      <c r="S355" s="50">
        <v>9.8955000000000002</v>
      </c>
      <c r="T355" s="46">
        <v>-14.673500000000001</v>
      </c>
    </row>
    <row r="356" spans="16:20" x14ac:dyDescent="0.25">
      <c r="P356" s="18">
        <v>355</v>
      </c>
      <c r="Q356" s="50">
        <v>68.194299999999998</v>
      </c>
      <c r="R356" s="50">
        <v>0</v>
      </c>
      <c r="S356" s="50">
        <v>-13.6684</v>
      </c>
      <c r="T356" s="46">
        <v>-13.6684</v>
      </c>
    </row>
    <row r="357" spans="16:20" x14ac:dyDescent="0.25">
      <c r="P357" s="18">
        <v>356</v>
      </c>
      <c r="Q357" s="50">
        <v>110.5326</v>
      </c>
      <c r="R357" s="50">
        <v>10.5326</v>
      </c>
      <c r="S357" s="50">
        <v>1.0194000000000001</v>
      </c>
      <c r="T357" s="46">
        <v>-9.5131999999999994</v>
      </c>
    </row>
    <row r="358" spans="16:20" x14ac:dyDescent="0.25">
      <c r="P358" s="18">
        <v>357</v>
      </c>
      <c r="Q358" s="50">
        <v>142.23779999999999</v>
      </c>
      <c r="R358" s="50">
        <v>42.2378</v>
      </c>
      <c r="S358" s="50">
        <v>27.931999999999999</v>
      </c>
      <c r="T358" s="46">
        <v>-14.3058</v>
      </c>
    </row>
    <row r="359" spans="16:20" x14ac:dyDescent="0.25">
      <c r="P359" s="18">
        <v>358</v>
      </c>
      <c r="Q359" s="50">
        <v>89.740300000000005</v>
      </c>
      <c r="R359" s="50">
        <v>0</v>
      </c>
      <c r="S359" s="50">
        <v>-13.344099999999999</v>
      </c>
      <c r="T359" s="46">
        <v>-13.344099999999999</v>
      </c>
    </row>
    <row r="360" spans="16:20" x14ac:dyDescent="0.25">
      <c r="P360" s="18">
        <v>359</v>
      </c>
      <c r="Q360" s="50">
        <v>66.211500000000001</v>
      </c>
      <c r="R360" s="50">
        <v>0</v>
      </c>
      <c r="S360" s="50">
        <v>-14.201000000000001</v>
      </c>
      <c r="T360" s="46">
        <v>-14.201000000000001</v>
      </c>
    </row>
    <row r="361" spans="16:20" x14ac:dyDescent="0.25">
      <c r="P361" s="18">
        <v>360</v>
      </c>
      <c r="Q361" s="50">
        <v>122.4134</v>
      </c>
      <c r="R361" s="50">
        <v>22.413399999999999</v>
      </c>
      <c r="S361" s="50">
        <v>6.7335000000000003</v>
      </c>
      <c r="T361" s="46">
        <v>-15.6798</v>
      </c>
    </row>
    <row r="362" spans="16:20" x14ac:dyDescent="0.25">
      <c r="P362" s="18">
        <v>361</v>
      </c>
      <c r="Q362" s="50">
        <v>101.6228</v>
      </c>
      <c r="R362" s="50">
        <v>1.6228</v>
      </c>
      <c r="S362" s="50">
        <v>-5.8811</v>
      </c>
      <c r="T362" s="46">
        <v>-7.5038999999999998</v>
      </c>
    </row>
    <row r="363" spans="16:20" x14ac:dyDescent="0.25">
      <c r="P363" s="18">
        <v>362</v>
      </c>
      <c r="Q363" s="50">
        <v>125.8176</v>
      </c>
      <c r="R363" s="50">
        <v>25.817599999999999</v>
      </c>
      <c r="S363" s="50">
        <v>14.2536</v>
      </c>
      <c r="T363" s="46">
        <v>-11.564</v>
      </c>
    </row>
    <row r="364" spans="16:20" x14ac:dyDescent="0.25">
      <c r="P364" s="18">
        <v>363</v>
      </c>
      <c r="Q364" s="50">
        <v>69.909499999999994</v>
      </c>
      <c r="R364" s="50">
        <v>0</v>
      </c>
      <c r="S364" s="50">
        <v>-14.781700000000001</v>
      </c>
      <c r="T364" s="46">
        <v>-14.781700000000001</v>
      </c>
    </row>
    <row r="365" spans="16:20" x14ac:dyDescent="0.25">
      <c r="P365" s="18">
        <v>364</v>
      </c>
      <c r="Q365" s="50">
        <v>154.9941</v>
      </c>
      <c r="R365" s="50">
        <v>54.994</v>
      </c>
      <c r="S365" s="50">
        <v>42.487099999999998</v>
      </c>
      <c r="T365" s="46">
        <v>-12.5069</v>
      </c>
    </row>
    <row r="366" spans="16:20" x14ac:dyDescent="0.25">
      <c r="P366" s="18">
        <v>365</v>
      </c>
      <c r="Q366" s="50">
        <v>111.6041</v>
      </c>
      <c r="R366" s="50">
        <v>11.604100000000001</v>
      </c>
      <c r="S366" s="50">
        <v>-1.5385</v>
      </c>
      <c r="T366" s="46">
        <v>-13.1426</v>
      </c>
    </row>
    <row r="367" spans="16:20" x14ac:dyDescent="0.25">
      <c r="P367" s="18">
        <v>366</v>
      </c>
      <c r="Q367" s="50">
        <v>118.339</v>
      </c>
      <c r="R367" s="50">
        <v>18.338999999999999</v>
      </c>
      <c r="S367" s="50">
        <v>4.2770999999999999</v>
      </c>
      <c r="T367" s="46">
        <v>-14.0619</v>
      </c>
    </row>
    <row r="368" spans="16:20" x14ac:dyDescent="0.25">
      <c r="P368" s="18">
        <v>367</v>
      </c>
      <c r="Q368" s="50">
        <v>89.710300000000004</v>
      </c>
      <c r="R368" s="50">
        <v>0</v>
      </c>
      <c r="S368" s="50">
        <v>-13.710699999999999</v>
      </c>
      <c r="T368" s="46">
        <v>-13.710699999999999</v>
      </c>
    </row>
    <row r="369" spans="16:20" x14ac:dyDescent="0.25">
      <c r="P369" s="18">
        <v>368</v>
      </c>
      <c r="Q369" s="50">
        <v>108.0399</v>
      </c>
      <c r="R369" s="50">
        <v>8.0398999999999994</v>
      </c>
      <c r="S369" s="50">
        <v>-5.9105999999999996</v>
      </c>
      <c r="T369" s="46">
        <v>-13.9505</v>
      </c>
    </row>
    <row r="370" spans="16:20" x14ac:dyDescent="0.25">
      <c r="P370" s="18">
        <v>369</v>
      </c>
      <c r="Q370" s="50">
        <v>69.666399999999996</v>
      </c>
      <c r="R370" s="50">
        <v>0</v>
      </c>
      <c r="S370" s="50">
        <v>-13.5138</v>
      </c>
      <c r="T370" s="46">
        <v>-13.5138</v>
      </c>
    </row>
    <row r="371" spans="16:20" x14ac:dyDescent="0.25">
      <c r="P371" s="18">
        <v>370</v>
      </c>
      <c r="Q371" s="50">
        <v>87.653700000000001</v>
      </c>
      <c r="R371" s="50">
        <v>0</v>
      </c>
      <c r="S371" s="50">
        <v>-13.545999999999999</v>
      </c>
      <c r="T371" s="46">
        <v>-13.545999999999999</v>
      </c>
    </row>
    <row r="372" spans="16:20" x14ac:dyDescent="0.25">
      <c r="P372" s="18">
        <v>371</v>
      </c>
      <c r="Q372" s="50">
        <v>181.17769999999999</v>
      </c>
      <c r="R372" s="50">
        <v>81.177599999999998</v>
      </c>
      <c r="S372" s="50">
        <v>67.086600000000004</v>
      </c>
      <c r="T372" s="46">
        <v>-14.090999999999999</v>
      </c>
    </row>
    <row r="373" spans="16:20" x14ac:dyDescent="0.25">
      <c r="P373" s="18">
        <v>372</v>
      </c>
      <c r="Q373" s="50">
        <v>56.478700000000003</v>
      </c>
      <c r="R373" s="50">
        <v>0</v>
      </c>
      <c r="S373" s="50">
        <v>-14.39</v>
      </c>
      <c r="T373" s="46">
        <v>-14.39</v>
      </c>
    </row>
    <row r="374" spans="16:20" x14ac:dyDescent="0.25">
      <c r="P374" s="18">
        <v>373</v>
      </c>
      <c r="Q374" s="50">
        <v>103.29600000000001</v>
      </c>
      <c r="R374" s="50">
        <v>3.2959999999999998</v>
      </c>
      <c r="S374" s="50">
        <v>-9.2849000000000004</v>
      </c>
      <c r="T374" s="46">
        <v>-12.5809</v>
      </c>
    </row>
    <row r="375" spans="16:20" x14ac:dyDescent="0.25">
      <c r="P375" s="18">
        <v>374</v>
      </c>
      <c r="Q375" s="50">
        <v>62.179499999999997</v>
      </c>
      <c r="R375" s="50">
        <v>0</v>
      </c>
      <c r="S375" s="50">
        <v>-14.848599999999999</v>
      </c>
      <c r="T375" s="46">
        <v>-14.848599999999999</v>
      </c>
    </row>
    <row r="376" spans="16:20" x14ac:dyDescent="0.25">
      <c r="P376" s="18">
        <v>375</v>
      </c>
      <c r="Q376" s="50">
        <v>99.078000000000003</v>
      </c>
      <c r="R376" s="50">
        <v>0</v>
      </c>
      <c r="S376" s="50">
        <v>-9.2782</v>
      </c>
      <c r="T376" s="46">
        <v>-9.2782</v>
      </c>
    </row>
    <row r="377" spans="16:20" x14ac:dyDescent="0.25">
      <c r="P377" s="18">
        <v>376</v>
      </c>
      <c r="Q377" s="50">
        <v>66.717500000000001</v>
      </c>
      <c r="R377" s="50">
        <v>0</v>
      </c>
      <c r="S377" s="50">
        <v>-15.356</v>
      </c>
      <c r="T377" s="46">
        <v>-15.356</v>
      </c>
    </row>
    <row r="378" spans="16:20" x14ac:dyDescent="0.25">
      <c r="P378" s="18">
        <v>377</v>
      </c>
      <c r="Q378" s="50">
        <v>123.2957</v>
      </c>
      <c r="R378" s="50">
        <v>23.2957</v>
      </c>
      <c r="S378" s="50">
        <v>8.3161000000000005</v>
      </c>
      <c r="T378" s="46">
        <v>-14.9796</v>
      </c>
    </row>
    <row r="379" spans="16:20" x14ac:dyDescent="0.25">
      <c r="P379" s="18">
        <v>378</v>
      </c>
      <c r="Q379" s="50">
        <v>106.3853</v>
      </c>
      <c r="R379" s="50">
        <v>6.3853</v>
      </c>
      <c r="S379" s="50">
        <v>-7.6368</v>
      </c>
      <c r="T379" s="46">
        <v>-14.0221</v>
      </c>
    </row>
    <row r="380" spans="16:20" x14ac:dyDescent="0.25">
      <c r="P380" s="18">
        <v>379</v>
      </c>
      <c r="Q380" s="50">
        <v>103.6602</v>
      </c>
      <c r="R380" s="50">
        <v>3.6602000000000001</v>
      </c>
      <c r="S380" s="50">
        <v>-10.7462</v>
      </c>
      <c r="T380" s="46">
        <v>-14.4064</v>
      </c>
    </row>
    <row r="381" spans="16:20" x14ac:dyDescent="0.25">
      <c r="P381" s="18">
        <v>380</v>
      </c>
      <c r="Q381" s="50">
        <v>102.76600000000001</v>
      </c>
      <c r="R381" s="50">
        <v>2.766</v>
      </c>
      <c r="S381" s="50">
        <v>-3.7534999999999998</v>
      </c>
      <c r="T381" s="46">
        <v>-6.5195999999999996</v>
      </c>
    </row>
    <row r="382" spans="16:20" x14ac:dyDescent="0.25">
      <c r="P382" s="18">
        <v>381</v>
      </c>
      <c r="Q382" s="50">
        <v>71.724299999999999</v>
      </c>
      <c r="R382" s="50">
        <v>0</v>
      </c>
      <c r="S382" s="50">
        <v>-13.8432</v>
      </c>
      <c r="T382" s="46">
        <v>-13.8432</v>
      </c>
    </row>
    <row r="383" spans="16:20" x14ac:dyDescent="0.25">
      <c r="P383" s="18">
        <v>382</v>
      </c>
      <c r="Q383" s="50">
        <v>88.866</v>
      </c>
      <c r="R383" s="50">
        <v>0</v>
      </c>
      <c r="S383" s="50">
        <v>-12.013999999999999</v>
      </c>
      <c r="T383" s="46">
        <v>-12.013999999999999</v>
      </c>
    </row>
    <row r="384" spans="16:20" x14ac:dyDescent="0.25">
      <c r="P384" s="18">
        <v>383</v>
      </c>
      <c r="Q384" s="50">
        <v>80.610900000000001</v>
      </c>
      <c r="R384" s="50">
        <v>0</v>
      </c>
      <c r="S384" s="50">
        <v>-14.5677</v>
      </c>
      <c r="T384" s="46">
        <v>-14.5677</v>
      </c>
    </row>
    <row r="385" spans="16:20" x14ac:dyDescent="0.25">
      <c r="P385" s="18">
        <v>384</v>
      </c>
      <c r="Q385" s="50">
        <v>123.7116</v>
      </c>
      <c r="R385" s="50">
        <v>23.711600000000001</v>
      </c>
      <c r="S385" s="50">
        <v>12.4809</v>
      </c>
      <c r="T385" s="46">
        <v>-11.230700000000001</v>
      </c>
    </row>
    <row r="386" spans="16:20" x14ac:dyDescent="0.25">
      <c r="P386" s="18">
        <v>385</v>
      </c>
      <c r="Q386" s="50">
        <v>107.98950000000001</v>
      </c>
      <c r="R386" s="50">
        <v>7.9894999999999996</v>
      </c>
      <c r="S386" s="50">
        <v>-3.7966000000000002</v>
      </c>
      <c r="T386" s="46">
        <v>-11.786099999999999</v>
      </c>
    </row>
    <row r="387" spans="16:20" x14ac:dyDescent="0.25">
      <c r="P387" s="18">
        <v>386</v>
      </c>
      <c r="Q387" s="50">
        <v>108.4849</v>
      </c>
      <c r="R387" s="50">
        <v>8.4848999999999997</v>
      </c>
      <c r="S387" s="50">
        <v>-1.9593</v>
      </c>
      <c r="T387" s="46">
        <v>-10.4442</v>
      </c>
    </row>
    <row r="388" spans="16:20" x14ac:dyDescent="0.25">
      <c r="P388" s="18">
        <v>387</v>
      </c>
      <c r="Q388" s="50">
        <v>96.173000000000002</v>
      </c>
      <c r="R388" s="50">
        <v>0</v>
      </c>
      <c r="S388" s="50">
        <v>-12.6622</v>
      </c>
      <c r="T388" s="46">
        <v>-12.6622</v>
      </c>
    </row>
    <row r="389" spans="16:20" x14ac:dyDescent="0.25">
      <c r="P389" s="18">
        <v>388</v>
      </c>
      <c r="Q389" s="50">
        <v>110.0467</v>
      </c>
      <c r="R389" s="50">
        <v>10.0467</v>
      </c>
      <c r="S389" s="50">
        <v>-2.5552999999999999</v>
      </c>
      <c r="T389" s="46">
        <v>-12.6021</v>
      </c>
    </row>
    <row r="390" spans="16:20" x14ac:dyDescent="0.25">
      <c r="P390" s="18">
        <v>389</v>
      </c>
      <c r="Q390" s="50">
        <v>81.110399999999998</v>
      </c>
      <c r="R390" s="50">
        <v>0</v>
      </c>
      <c r="S390" s="50">
        <v>-12.956099999999999</v>
      </c>
      <c r="T390" s="46">
        <v>-12.956099999999999</v>
      </c>
    </row>
    <row r="391" spans="16:20" x14ac:dyDescent="0.25">
      <c r="P391" s="18">
        <v>390</v>
      </c>
      <c r="Q391" s="50">
        <v>94.171199999999999</v>
      </c>
      <c r="R391" s="50">
        <v>0</v>
      </c>
      <c r="S391" s="50">
        <v>-16.3611</v>
      </c>
      <c r="T391" s="46">
        <v>-16.3611</v>
      </c>
    </row>
    <row r="392" spans="16:20" x14ac:dyDescent="0.25">
      <c r="P392" s="18">
        <v>391</v>
      </c>
      <c r="Q392" s="50">
        <v>126.4487</v>
      </c>
      <c r="R392" s="50">
        <v>26.448699999999999</v>
      </c>
      <c r="S392" s="50">
        <v>13.6287</v>
      </c>
      <c r="T392" s="46">
        <v>-12.82</v>
      </c>
    </row>
    <row r="393" spans="16:20" x14ac:dyDescent="0.25">
      <c r="P393" s="18">
        <v>392</v>
      </c>
      <c r="Q393" s="50">
        <v>126.9567</v>
      </c>
      <c r="R393" s="50">
        <v>26.956700000000001</v>
      </c>
      <c r="S393" s="50">
        <v>12.3285</v>
      </c>
      <c r="T393" s="46">
        <v>-14.6282</v>
      </c>
    </row>
    <row r="394" spans="16:20" x14ac:dyDescent="0.25">
      <c r="P394" s="18">
        <v>393</v>
      </c>
      <c r="Q394" s="50">
        <v>128.12860000000001</v>
      </c>
      <c r="R394" s="50">
        <v>28.128599999999999</v>
      </c>
      <c r="S394" s="50">
        <v>14.5411</v>
      </c>
      <c r="T394" s="46">
        <v>-13.5875</v>
      </c>
    </row>
    <row r="395" spans="16:20" x14ac:dyDescent="0.25">
      <c r="P395" s="18">
        <v>394</v>
      </c>
      <c r="Q395" s="50">
        <v>127.4521</v>
      </c>
      <c r="R395" s="50">
        <v>27.452100000000002</v>
      </c>
      <c r="S395" s="50">
        <v>15.6571</v>
      </c>
      <c r="T395" s="46">
        <v>-11.7951</v>
      </c>
    </row>
    <row r="396" spans="16:20" x14ac:dyDescent="0.25">
      <c r="P396" s="18">
        <v>395</v>
      </c>
      <c r="Q396" s="50">
        <v>114.68680000000001</v>
      </c>
      <c r="R396" s="50">
        <v>14.6868</v>
      </c>
      <c r="S396" s="50">
        <v>0.33329999999999999</v>
      </c>
      <c r="T396" s="46">
        <v>-14.3535</v>
      </c>
    </row>
    <row r="397" spans="16:20" x14ac:dyDescent="0.25">
      <c r="P397" s="18">
        <v>396</v>
      </c>
      <c r="Q397" s="50">
        <v>145.81630000000001</v>
      </c>
      <c r="R397" s="50">
        <v>45.816299999999998</v>
      </c>
      <c r="S397" s="50">
        <v>28.587</v>
      </c>
      <c r="T397" s="46">
        <v>-17.229299999999999</v>
      </c>
    </row>
    <row r="398" spans="16:20" x14ac:dyDescent="0.25">
      <c r="P398" s="18">
        <v>397</v>
      </c>
      <c r="Q398" s="50">
        <v>146.96180000000001</v>
      </c>
      <c r="R398" s="50">
        <v>46.961799999999997</v>
      </c>
      <c r="S398" s="50">
        <v>33.390900000000002</v>
      </c>
      <c r="T398" s="46">
        <v>-13.5709</v>
      </c>
    </row>
    <row r="399" spans="16:20" x14ac:dyDescent="0.25">
      <c r="P399" s="18">
        <v>398</v>
      </c>
      <c r="Q399" s="50">
        <v>90.582499999999996</v>
      </c>
      <c r="R399" s="50">
        <v>0</v>
      </c>
      <c r="S399" s="50">
        <v>-14.4459</v>
      </c>
      <c r="T399" s="46">
        <v>-14.4459</v>
      </c>
    </row>
    <row r="400" spans="16:20" x14ac:dyDescent="0.25">
      <c r="P400" s="18">
        <v>399</v>
      </c>
      <c r="Q400" s="50">
        <v>86.333100000000002</v>
      </c>
      <c r="R400" s="50">
        <v>0</v>
      </c>
      <c r="S400" s="50">
        <v>-14.604900000000001</v>
      </c>
      <c r="T400" s="46">
        <v>-14.604900000000001</v>
      </c>
    </row>
    <row r="401" spans="16:20" x14ac:dyDescent="0.25">
      <c r="P401" s="18">
        <v>400</v>
      </c>
      <c r="Q401" s="50">
        <v>83.865700000000004</v>
      </c>
      <c r="R401" s="50">
        <v>0</v>
      </c>
      <c r="S401" s="50">
        <v>-14.375999999999999</v>
      </c>
      <c r="T401" s="46">
        <v>-14.375999999999999</v>
      </c>
    </row>
    <row r="402" spans="16:20" x14ac:dyDescent="0.25">
      <c r="P402" s="18">
        <v>401</v>
      </c>
      <c r="Q402" s="50">
        <v>175.76220000000001</v>
      </c>
      <c r="R402" s="50">
        <v>75.762200000000007</v>
      </c>
      <c r="S402" s="50">
        <v>60.686199999999999</v>
      </c>
      <c r="T402" s="46">
        <v>-15.076000000000001</v>
      </c>
    </row>
    <row r="403" spans="16:20" x14ac:dyDescent="0.25">
      <c r="P403" s="18">
        <v>402</v>
      </c>
      <c r="Q403" s="50">
        <v>100.7818</v>
      </c>
      <c r="R403" s="50">
        <v>0.78180000000000005</v>
      </c>
      <c r="S403" s="50">
        <v>-11.683</v>
      </c>
      <c r="T403" s="46">
        <v>-12.4648</v>
      </c>
    </row>
    <row r="404" spans="16:20" x14ac:dyDescent="0.25">
      <c r="P404" s="18">
        <v>403</v>
      </c>
      <c r="Q404" s="50">
        <v>67.727000000000004</v>
      </c>
      <c r="R404" s="50">
        <v>0</v>
      </c>
      <c r="S404" s="50">
        <v>-12.2973</v>
      </c>
      <c r="T404" s="46">
        <v>-12.2973</v>
      </c>
    </row>
    <row r="405" spans="16:20" x14ac:dyDescent="0.25">
      <c r="P405" s="18">
        <v>404</v>
      </c>
      <c r="Q405" s="50">
        <v>77.984700000000004</v>
      </c>
      <c r="R405" s="50">
        <v>0</v>
      </c>
      <c r="S405" s="50">
        <v>-13.8142</v>
      </c>
      <c r="T405" s="46">
        <v>-13.8142</v>
      </c>
    </row>
    <row r="406" spans="16:20" x14ac:dyDescent="0.25">
      <c r="P406" s="18">
        <v>405</v>
      </c>
      <c r="Q406" s="50">
        <v>142.66139999999999</v>
      </c>
      <c r="R406" s="50">
        <v>42.6614</v>
      </c>
      <c r="S406" s="50">
        <v>27.5261</v>
      </c>
      <c r="T406" s="46">
        <v>-15.135400000000001</v>
      </c>
    </row>
    <row r="407" spans="16:20" x14ac:dyDescent="0.25">
      <c r="P407" s="18">
        <v>406</v>
      </c>
      <c r="Q407" s="50">
        <v>117.4515</v>
      </c>
      <c r="R407" s="50">
        <v>17.451499999999999</v>
      </c>
      <c r="S407" s="50">
        <v>5.0910000000000002</v>
      </c>
      <c r="T407" s="46">
        <v>-12.3605</v>
      </c>
    </row>
    <row r="408" spans="16:20" x14ac:dyDescent="0.25">
      <c r="P408" s="18">
        <v>407</v>
      </c>
      <c r="Q408" s="50">
        <v>104.6035</v>
      </c>
      <c r="R408" s="50">
        <v>4.6035000000000004</v>
      </c>
      <c r="S408" s="50">
        <v>-6.4587000000000003</v>
      </c>
      <c r="T408" s="46">
        <v>-11.062200000000001</v>
      </c>
    </row>
    <row r="409" spans="16:20" x14ac:dyDescent="0.25">
      <c r="P409" s="18">
        <v>408</v>
      </c>
      <c r="Q409" s="50">
        <v>112.7997</v>
      </c>
      <c r="R409" s="50">
        <v>12.7997</v>
      </c>
      <c r="S409" s="50">
        <v>-5.4371999999999998</v>
      </c>
      <c r="T409" s="46">
        <v>-18.236999999999998</v>
      </c>
    </row>
    <row r="410" spans="16:20" x14ac:dyDescent="0.25">
      <c r="P410" s="18">
        <v>409</v>
      </c>
      <c r="Q410" s="50">
        <v>59.991100000000003</v>
      </c>
      <c r="R410" s="50">
        <v>0</v>
      </c>
      <c r="S410" s="50">
        <v>-13.206300000000001</v>
      </c>
      <c r="T410" s="46">
        <v>-13.206300000000001</v>
      </c>
    </row>
    <row r="411" spans="16:20" x14ac:dyDescent="0.25">
      <c r="P411" s="18">
        <v>410</v>
      </c>
      <c r="Q411" s="50">
        <v>93.960700000000003</v>
      </c>
      <c r="R411" s="50">
        <v>0</v>
      </c>
      <c r="S411" s="50">
        <v>-11.007400000000001</v>
      </c>
      <c r="T411" s="46">
        <v>-11.007400000000001</v>
      </c>
    </row>
    <row r="412" spans="16:20" x14ac:dyDescent="0.25">
      <c r="P412" s="18">
        <v>411</v>
      </c>
      <c r="Q412" s="50">
        <v>111.65130000000001</v>
      </c>
      <c r="R412" s="50">
        <v>11.651300000000001</v>
      </c>
      <c r="S412" s="50">
        <v>-1.73</v>
      </c>
      <c r="T412" s="46">
        <v>-13.3813</v>
      </c>
    </row>
    <row r="413" spans="16:20" x14ac:dyDescent="0.25">
      <c r="P413" s="18">
        <v>412</v>
      </c>
      <c r="Q413" s="50">
        <v>115.5484</v>
      </c>
      <c r="R413" s="50">
        <v>15.548400000000001</v>
      </c>
      <c r="S413" s="50">
        <v>-2.2479</v>
      </c>
      <c r="T413" s="46">
        <v>-17.796299999999999</v>
      </c>
    </row>
    <row r="414" spans="16:20" x14ac:dyDescent="0.25">
      <c r="P414" s="18">
        <v>413</v>
      </c>
      <c r="Q414" s="50">
        <v>64.505899999999997</v>
      </c>
      <c r="R414" s="50">
        <v>0</v>
      </c>
      <c r="S414" s="50">
        <v>-16.087</v>
      </c>
      <c r="T414" s="46">
        <v>-16.087</v>
      </c>
    </row>
    <row r="415" spans="16:20" x14ac:dyDescent="0.25">
      <c r="P415" s="18">
        <v>414</v>
      </c>
      <c r="Q415" s="50">
        <v>78.864099999999993</v>
      </c>
      <c r="R415" s="50">
        <v>0</v>
      </c>
      <c r="S415" s="50">
        <v>-15.8203</v>
      </c>
      <c r="T415" s="46">
        <v>-15.8203</v>
      </c>
    </row>
    <row r="416" spans="16:20" x14ac:dyDescent="0.25">
      <c r="P416" s="18">
        <v>415</v>
      </c>
      <c r="Q416" s="50">
        <v>80.3142</v>
      </c>
      <c r="R416" s="50">
        <v>0</v>
      </c>
      <c r="S416" s="50">
        <v>-22.721900000000002</v>
      </c>
      <c r="T416" s="46">
        <v>-22.721900000000002</v>
      </c>
    </row>
    <row r="417" spans="16:20" x14ac:dyDescent="0.25">
      <c r="P417" s="18">
        <v>416</v>
      </c>
      <c r="Q417" s="50">
        <v>97.111599999999996</v>
      </c>
      <c r="R417" s="50">
        <v>0</v>
      </c>
      <c r="S417" s="50">
        <v>-12.009399999999999</v>
      </c>
      <c r="T417" s="46">
        <v>-12.009399999999999</v>
      </c>
    </row>
    <row r="418" spans="16:20" x14ac:dyDescent="0.25">
      <c r="P418" s="18">
        <v>417</v>
      </c>
      <c r="Q418" s="50">
        <v>93.964100000000002</v>
      </c>
      <c r="R418" s="50">
        <v>0</v>
      </c>
      <c r="S418" s="50">
        <v>-9.1997</v>
      </c>
      <c r="T418" s="46">
        <v>-9.1997</v>
      </c>
    </row>
    <row r="419" spans="16:20" x14ac:dyDescent="0.25">
      <c r="P419" s="18">
        <v>418</v>
      </c>
      <c r="Q419" s="50">
        <v>122.0886</v>
      </c>
      <c r="R419" s="50">
        <v>22.0886</v>
      </c>
      <c r="S419" s="50">
        <v>6.7041000000000004</v>
      </c>
      <c r="T419" s="46">
        <v>-15.384499999999999</v>
      </c>
    </row>
    <row r="420" spans="16:20" x14ac:dyDescent="0.25">
      <c r="P420" s="18">
        <v>419</v>
      </c>
      <c r="Q420" s="50">
        <v>137.31890000000001</v>
      </c>
      <c r="R420" s="50">
        <v>37.318899999999999</v>
      </c>
      <c r="S420" s="50">
        <v>23.366900000000001</v>
      </c>
      <c r="T420" s="46">
        <v>-13.9519</v>
      </c>
    </row>
    <row r="421" spans="16:20" x14ac:dyDescent="0.25">
      <c r="P421" s="18">
        <v>420</v>
      </c>
      <c r="Q421" s="50">
        <v>60.229900000000001</v>
      </c>
      <c r="R421" s="50">
        <v>0</v>
      </c>
      <c r="S421" s="50">
        <v>-15.3249</v>
      </c>
      <c r="T421" s="46">
        <v>-15.3249</v>
      </c>
    </row>
    <row r="422" spans="16:20" x14ac:dyDescent="0.25">
      <c r="P422" s="18">
        <v>421</v>
      </c>
      <c r="Q422" s="50">
        <v>82.587999999999994</v>
      </c>
      <c r="R422" s="50">
        <v>0</v>
      </c>
      <c r="S422" s="50">
        <v>-17.108899999999998</v>
      </c>
      <c r="T422" s="46">
        <v>-17.108899999999998</v>
      </c>
    </row>
    <row r="423" spans="16:20" x14ac:dyDescent="0.25">
      <c r="P423" s="18">
        <v>422</v>
      </c>
      <c r="Q423" s="50">
        <v>96.416499999999999</v>
      </c>
      <c r="R423" s="50">
        <v>0</v>
      </c>
      <c r="S423" s="50">
        <v>-12.5479</v>
      </c>
      <c r="T423" s="46">
        <v>-12.5479</v>
      </c>
    </row>
    <row r="424" spans="16:20" x14ac:dyDescent="0.25">
      <c r="P424" s="18">
        <v>423</v>
      </c>
      <c r="Q424" s="50">
        <v>114.65779999999999</v>
      </c>
      <c r="R424" s="50">
        <v>14.6578</v>
      </c>
      <c r="S424" s="50">
        <v>1.0959000000000001</v>
      </c>
      <c r="T424" s="46">
        <v>-13.5619</v>
      </c>
    </row>
    <row r="425" spans="16:20" x14ac:dyDescent="0.25">
      <c r="P425" s="18">
        <v>424</v>
      </c>
      <c r="Q425" s="50">
        <v>78.027299999999997</v>
      </c>
      <c r="R425" s="50">
        <v>0</v>
      </c>
      <c r="S425" s="50">
        <v>-15.997299999999999</v>
      </c>
      <c r="T425" s="46">
        <v>-15.997299999999999</v>
      </c>
    </row>
    <row r="426" spans="16:20" x14ac:dyDescent="0.25">
      <c r="P426" s="18">
        <v>425</v>
      </c>
      <c r="Q426" s="50">
        <v>113.52809999999999</v>
      </c>
      <c r="R426" s="50">
        <v>13.5281</v>
      </c>
      <c r="S426" s="50">
        <v>-0.12670000000000001</v>
      </c>
      <c r="T426" s="46">
        <v>-13.6548</v>
      </c>
    </row>
    <row r="427" spans="16:20" x14ac:dyDescent="0.25">
      <c r="P427" s="18">
        <v>426</v>
      </c>
      <c r="Q427" s="50">
        <v>141.12860000000001</v>
      </c>
      <c r="R427" s="50">
        <v>41.128599999999999</v>
      </c>
      <c r="S427" s="50">
        <v>24.472899999999999</v>
      </c>
      <c r="T427" s="46">
        <v>-16.6557</v>
      </c>
    </row>
    <row r="428" spans="16:20" x14ac:dyDescent="0.25">
      <c r="P428" s="18">
        <v>427</v>
      </c>
      <c r="Q428" s="50">
        <v>121.8762</v>
      </c>
      <c r="R428" s="50">
        <v>21.876200000000001</v>
      </c>
      <c r="S428" s="50">
        <v>4.3213999999999997</v>
      </c>
      <c r="T428" s="46">
        <v>-17.5548</v>
      </c>
    </row>
    <row r="429" spans="16:20" x14ac:dyDescent="0.25">
      <c r="P429" s="18">
        <v>428</v>
      </c>
      <c r="Q429" s="50">
        <v>105.22320000000001</v>
      </c>
      <c r="R429" s="50">
        <v>5.2232000000000003</v>
      </c>
      <c r="S429" s="50">
        <v>-6.6173000000000002</v>
      </c>
      <c r="T429" s="46">
        <v>-11.8405</v>
      </c>
    </row>
    <row r="430" spans="16:20" x14ac:dyDescent="0.25">
      <c r="P430" s="18">
        <v>429</v>
      </c>
      <c r="Q430" s="50">
        <v>105.3784</v>
      </c>
      <c r="R430" s="50">
        <v>5.3784000000000001</v>
      </c>
      <c r="S430" s="50">
        <v>-3.258</v>
      </c>
      <c r="T430" s="46">
        <v>-8.6364999999999998</v>
      </c>
    </row>
    <row r="431" spans="16:20" x14ac:dyDescent="0.25">
      <c r="P431" s="18">
        <v>430</v>
      </c>
      <c r="Q431" s="50">
        <v>122.9956</v>
      </c>
      <c r="R431" s="50">
        <v>22.9956</v>
      </c>
      <c r="S431" s="50">
        <v>9.4326000000000008</v>
      </c>
      <c r="T431" s="46">
        <v>-13.563000000000001</v>
      </c>
    </row>
    <row r="432" spans="16:20" x14ac:dyDescent="0.25">
      <c r="P432" s="18">
        <v>431</v>
      </c>
      <c r="Q432" s="50">
        <v>100.6324</v>
      </c>
      <c r="R432" s="50">
        <v>0.63239999999999996</v>
      </c>
      <c r="S432" s="50">
        <v>-9.9047999999999998</v>
      </c>
      <c r="T432" s="46">
        <v>-10.5372</v>
      </c>
    </row>
    <row r="433" spans="16:20" x14ac:dyDescent="0.25">
      <c r="P433" s="18">
        <v>432</v>
      </c>
      <c r="Q433" s="50">
        <v>86.001099999999994</v>
      </c>
      <c r="R433" s="50">
        <v>0</v>
      </c>
      <c r="S433" s="50">
        <v>-16.7986</v>
      </c>
      <c r="T433" s="46">
        <v>-16.7986</v>
      </c>
    </row>
    <row r="434" spans="16:20" x14ac:dyDescent="0.25">
      <c r="P434" s="18">
        <v>433</v>
      </c>
      <c r="Q434" s="50">
        <v>103.67700000000001</v>
      </c>
      <c r="R434" s="50">
        <v>3.677</v>
      </c>
      <c r="S434" s="50">
        <v>-7.4884000000000004</v>
      </c>
      <c r="T434" s="46">
        <v>-11.1654</v>
      </c>
    </row>
    <row r="435" spans="16:20" x14ac:dyDescent="0.25">
      <c r="P435" s="18">
        <v>434</v>
      </c>
      <c r="Q435" s="50">
        <v>84.448999999999998</v>
      </c>
      <c r="R435" s="50">
        <v>0</v>
      </c>
      <c r="S435" s="50">
        <v>-11.1792</v>
      </c>
      <c r="T435" s="46">
        <v>-11.1792</v>
      </c>
    </row>
    <row r="436" spans="16:20" x14ac:dyDescent="0.25">
      <c r="P436" s="18">
        <v>435</v>
      </c>
      <c r="Q436" s="50">
        <v>74.795100000000005</v>
      </c>
      <c r="R436" s="50">
        <v>0</v>
      </c>
      <c r="S436" s="50">
        <v>-16.096800000000002</v>
      </c>
      <c r="T436" s="46">
        <v>-16.096800000000002</v>
      </c>
    </row>
    <row r="437" spans="16:20" x14ac:dyDescent="0.25">
      <c r="P437" s="18">
        <v>436</v>
      </c>
      <c r="Q437" s="50">
        <v>146.8477</v>
      </c>
      <c r="R437" s="50">
        <v>46.847700000000003</v>
      </c>
      <c r="S437" s="50">
        <v>30.647600000000001</v>
      </c>
      <c r="T437" s="46">
        <v>-16.200199999999999</v>
      </c>
    </row>
    <row r="438" spans="16:20" x14ac:dyDescent="0.25">
      <c r="P438" s="18">
        <v>437</v>
      </c>
      <c r="Q438" s="50">
        <v>94.899600000000007</v>
      </c>
      <c r="R438" s="50">
        <v>0</v>
      </c>
      <c r="S438" s="50">
        <v>-11.900399999999999</v>
      </c>
      <c r="T438" s="46">
        <v>-11.900399999999999</v>
      </c>
    </row>
    <row r="439" spans="16:20" x14ac:dyDescent="0.25">
      <c r="P439" s="18">
        <v>438</v>
      </c>
      <c r="Q439" s="50">
        <v>112.116</v>
      </c>
      <c r="R439" s="50">
        <v>12.116</v>
      </c>
      <c r="S439" s="50">
        <v>-0.5988</v>
      </c>
      <c r="T439" s="46">
        <v>-12.7148</v>
      </c>
    </row>
    <row r="440" spans="16:20" x14ac:dyDescent="0.25">
      <c r="P440" s="18">
        <v>439</v>
      </c>
      <c r="Q440" s="50">
        <v>71.853700000000003</v>
      </c>
      <c r="R440" s="50">
        <v>0</v>
      </c>
      <c r="S440" s="50">
        <v>-13.308299999999999</v>
      </c>
      <c r="T440" s="46">
        <v>-13.308299999999999</v>
      </c>
    </row>
    <row r="441" spans="16:20" x14ac:dyDescent="0.25">
      <c r="P441" s="18">
        <v>440</v>
      </c>
      <c r="Q441" s="50">
        <v>74.479299999999995</v>
      </c>
      <c r="R441" s="50">
        <v>0</v>
      </c>
      <c r="S441" s="50">
        <v>-17.3109</v>
      </c>
      <c r="T441" s="46">
        <v>-17.3109</v>
      </c>
    </row>
    <row r="442" spans="16:20" x14ac:dyDescent="0.25">
      <c r="P442" s="18">
        <v>441</v>
      </c>
      <c r="Q442" s="50">
        <v>126.0052</v>
      </c>
      <c r="R442" s="50">
        <v>26.005199999999999</v>
      </c>
      <c r="S442" s="50">
        <v>11.5059</v>
      </c>
      <c r="T442" s="46">
        <v>-14.4992</v>
      </c>
    </row>
    <row r="443" spans="16:20" x14ac:dyDescent="0.25">
      <c r="P443" s="18">
        <v>442</v>
      </c>
      <c r="Q443" s="50">
        <v>55.4236</v>
      </c>
      <c r="R443" s="50">
        <v>0</v>
      </c>
      <c r="S443" s="50">
        <v>-13.198600000000001</v>
      </c>
      <c r="T443" s="46">
        <v>-13.198600000000001</v>
      </c>
    </row>
    <row r="444" spans="16:20" x14ac:dyDescent="0.25">
      <c r="P444" s="18">
        <v>443</v>
      </c>
      <c r="Q444" s="50">
        <v>168.7407</v>
      </c>
      <c r="R444" s="50">
        <v>68.740700000000004</v>
      </c>
      <c r="S444" s="50">
        <v>52.195900000000002</v>
      </c>
      <c r="T444" s="46">
        <v>-16.544799999999999</v>
      </c>
    </row>
    <row r="445" spans="16:20" x14ac:dyDescent="0.25">
      <c r="P445" s="18">
        <v>444</v>
      </c>
      <c r="Q445" s="50">
        <v>108.6088</v>
      </c>
      <c r="R445" s="50">
        <v>8.6088000000000005</v>
      </c>
      <c r="S445" s="50">
        <v>-3.5097999999999998</v>
      </c>
      <c r="T445" s="46">
        <v>-12.118600000000001</v>
      </c>
    </row>
    <row r="446" spans="16:20" x14ac:dyDescent="0.25">
      <c r="P446" s="18">
        <v>445</v>
      </c>
      <c r="Q446" s="50">
        <v>81.807299999999998</v>
      </c>
      <c r="R446" s="50">
        <v>0</v>
      </c>
      <c r="S446" s="50">
        <v>-14.8391</v>
      </c>
      <c r="T446" s="46">
        <v>-14.8391</v>
      </c>
    </row>
    <row r="447" spans="16:20" x14ac:dyDescent="0.25">
      <c r="P447" s="18">
        <v>446</v>
      </c>
      <c r="Q447" s="50">
        <v>93.590599999999995</v>
      </c>
      <c r="R447" s="50">
        <v>0</v>
      </c>
      <c r="S447" s="50">
        <v>-18.192900000000002</v>
      </c>
      <c r="T447" s="46">
        <v>-18.192900000000002</v>
      </c>
    </row>
    <row r="448" spans="16:20" x14ac:dyDescent="0.25">
      <c r="P448" s="18">
        <v>447</v>
      </c>
      <c r="Q448" s="50">
        <v>130.15889999999999</v>
      </c>
      <c r="R448" s="50">
        <v>30.158899999999999</v>
      </c>
      <c r="S448" s="50">
        <v>17.732399999999998</v>
      </c>
      <c r="T448" s="46">
        <v>-12.426399999999999</v>
      </c>
    </row>
    <row r="449" spans="16:20" x14ac:dyDescent="0.25">
      <c r="P449" s="18">
        <v>448</v>
      </c>
      <c r="Q449" s="50">
        <v>163.52780000000001</v>
      </c>
      <c r="R449" s="50">
        <v>63.527799999999999</v>
      </c>
      <c r="S449" s="50">
        <v>48.058100000000003</v>
      </c>
      <c r="T449" s="46">
        <v>-15.4697</v>
      </c>
    </row>
    <row r="450" spans="16:20" x14ac:dyDescent="0.25">
      <c r="P450" s="18">
        <v>449</v>
      </c>
      <c r="Q450" s="50">
        <v>109.26609999999999</v>
      </c>
      <c r="R450" s="50">
        <v>9.2660999999999998</v>
      </c>
      <c r="S450" s="50">
        <v>-5.0953999999999997</v>
      </c>
      <c r="T450" s="46">
        <v>-14.361599999999999</v>
      </c>
    </row>
    <row r="451" spans="16:20" x14ac:dyDescent="0.25">
      <c r="P451" s="18">
        <v>450</v>
      </c>
      <c r="Q451" s="50">
        <v>114.8279</v>
      </c>
      <c r="R451" s="50">
        <v>14.8279</v>
      </c>
      <c r="S451" s="50">
        <v>0.57169999999999999</v>
      </c>
      <c r="T451" s="46">
        <v>-14.2563</v>
      </c>
    </row>
    <row r="452" spans="16:20" x14ac:dyDescent="0.25">
      <c r="P452" s="18">
        <v>451</v>
      </c>
      <c r="Q452" s="50">
        <v>96.806899999999999</v>
      </c>
      <c r="R452" s="50">
        <v>0</v>
      </c>
      <c r="S452" s="50">
        <v>-14.782299999999999</v>
      </c>
      <c r="T452" s="46">
        <v>-14.782299999999999</v>
      </c>
    </row>
    <row r="453" spans="16:20" x14ac:dyDescent="0.25">
      <c r="P453" s="18">
        <v>452</v>
      </c>
      <c r="Q453" s="50">
        <v>82.529899999999998</v>
      </c>
      <c r="R453" s="50">
        <v>0</v>
      </c>
      <c r="S453" s="50">
        <v>-13.227600000000001</v>
      </c>
      <c r="T453" s="46">
        <v>-13.227600000000001</v>
      </c>
    </row>
    <row r="454" spans="16:20" x14ac:dyDescent="0.25">
      <c r="P454" s="18">
        <v>453</v>
      </c>
      <c r="Q454" s="50">
        <v>81.147900000000007</v>
      </c>
      <c r="R454" s="50">
        <v>0</v>
      </c>
      <c r="S454" s="50">
        <v>-17.572700000000001</v>
      </c>
      <c r="T454" s="46">
        <v>-17.572700000000001</v>
      </c>
    </row>
    <row r="455" spans="16:20" x14ac:dyDescent="0.25">
      <c r="P455" s="18">
        <v>454</v>
      </c>
      <c r="Q455" s="50">
        <v>142.3201</v>
      </c>
      <c r="R455" s="50">
        <v>42.320099999999996</v>
      </c>
      <c r="S455" s="50">
        <v>29.353899999999999</v>
      </c>
      <c r="T455" s="46">
        <v>-12.966200000000001</v>
      </c>
    </row>
    <row r="456" spans="16:20" x14ac:dyDescent="0.25">
      <c r="P456" s="18">
        <v>455</v>
      </c>
      <c r="Q456" s="50">
        <v>70.882999999999996</v>
      </c>
      <c r="R456" s="50">
        <v>0</v>
      </c>
      <c r="S456" s="50">
        <v>-15.444100000000001</v>
      </c>
      <c r="T456" s="46">
        <v>-15.444100000000001</v>
      </c>
    </row>
    <row r="457" spans="16:20" x14ac:dyDescent="0.25">
      <c r="P457" s="18">
        <v>456</v>
      </c>
      <c r="Q457" s="50">
        <v>105.9307</v>
      </c>
      <c r="R457" s="50">
        <v>5.9306999999999999</v>
      </c>
      <c r="S457" s="50">
        <v>-9.31</v>
      </c>
      <c r="T457" s="46">
        <v>-15.2408</v>
      </c>
    </row>
    <row r="458" spans="16:20" x14ac:dyDescent="0.25">
      <c r="P458" s="18">
        <v>457</v>
      </c>
      <c r="Q458" s="50">
        <v>67.551900000000003</v>
      </c>
      <c r="R458" s="50">
        <v>0</v>
      </c>
      <c r="S458" s="50">
        <v>-12.9497</v>
      </c>
      <c r="T458" s="46">
        <v>-12.9497</v>
      </c>
    </row>
    <row r="459" spans="16:20" x14ac:dyDescent="0.25">
      <c r="P459" s="18">
        <v>458</v>
      </c>
      <c r="Q459" s="50">
        <v>92.550700000000006</v>
      </c>
      <c r="R459" s="50">
        <v>0</v>
      </c>
      <c r="S459" s="50">
        <v>-15.264799999999999</v>
      </c>
      <c r="T459" s="46">
        <v>-15.264799999999999</v>
      </c>
    </row>
    <row r="460" spans="16:20" x14ac:dyDescent="0.25">
      <c r="P460" s="18">
        <v>459</v>
      </c>
      <c r="Q460" s="50">
        <v>73.659199999999998</v>
      </c>
      <c r="R460" s="50">
        <v>0</v>
      </c>
      <c r="S460" s="50">
        <v>-13.732699999999999</v>
      </c>
      <c r="T460" s="46">
        <v>-13.732699999999999</v>
      </c>
    </row>
    <row r="461" spans="16:20" x14ac:dyDescent="0.25">
      <c r="P461" s="18">
        <v>460</v>
      </c>
      <c r="Q461" s="50">
        <v>139.85910000000001</v>
      </c>
      <c r="R461" s="50">
        <v>39.859099999999998</v>
      </c>
      <c r="S461" s="50">
        <v>25.0441</v>
      </c>
      <c r="T461" s="46">
        <v>-14.815</v>
      </c>
    </row>
    <row r="462" spans="16:20" x14ac:dyDescent="0.25">
      <c r="P462" s="18">
        <v>461</v>
      </c>
      <c r="Q462" s="50">
        <v>61.722099999999998</v>
      </c>
      <c r="R462" s="50">
        <v>0</v>
      </c>
      <c r="S462" s="50">
        <v>-15.037100000000001</v>
      </c>
      <c r="T462" s="46">
        <v>-15.037100000000001</v>
      </c>
    </row>
    <row r="463" spans="16:20" x14ac:dyDescent="0.25">
      <c r="P463" s="18">
        <v>462</v>
      </c>
      <c r="Q463" s="50">
        <v>51.741700000000002</v>
      </c>
      <c r="R463" s="50">
        <v>0</v>
      </c>
      <c r="S463" s="50">
        <v>-15.482799999999999</v>
      </c>
      <c r="T463" s="46">
        <v>-15.482799999999999</v>
      </c>
    </row>
    <row r="464" spans="16:20" x14ac:dyDescent="0.25">
      <c r="P464" s="18">
        <v>463</v>
      </c>
      <c r="Q464" s="50">
        <v>96.836799999999997</v>
      </c>
      <c r="R464" s="50">
        <v>0</v>
      </c>
      <c r="S464" s="50">
        <v>-15.585800000000001</v>
      </c>
      <c r="T464" s="46">
        <v>-15.585800000000001</v>
      </c>
    </row>
    <row r="465" spans="16:20" x14ac:dyDescent="0.25">
      <c r="P465" s="18">
        <v>464</v>
      </c>
      <c r="Q465" s="50">
        <v>103.9436</v>
      </c>
      <c r="R465" s="50">
        <v>3.9436</v>
      </c>
      <c r="S465" s="50">
        <v>-8.6982999999999997</v>
      </c>
      <c r="T465" s="46">
        <v>-12.6419</v>
      </c>
    </row>
    <row r="466" spans="16:20" x14ac:dyDescent="0.25">
      <c r="P466" s="18">
        <v>465</v>
      </c>
      <c r="Q466" s="50">
        <v>86.691699999999997</v>
      </c>
      <c r="R466" s="50">
        <v>0</v>
      </c>
      <c r="S466" s="50">
        <v>-11.895300000000001</v>
      </c>
      <c r="T466" s="46">
        <v>-11.895300000000001</v>
      </c>
    </row>
    <row r="467" spans="16:20" x14ac:dyDescent="0.25">
      <c r="P467" s="18">
        <v>466</v>
      </c>
      <c r="Q467" s="50">
        <v>145.53749999999999</v>
      </c>
      <c r="R467" s="50">
        <v>45.537500000000001</v>
      </c>
      <c r="S467" s="50">
        <v>32.341299999999997</v>
      </c>
      <c r="T467" s="46">
        <v>-13.196099999999999</v>
      </c>
    </row>
    <row r="468" spans="16:20" x14ac:dyDescent="0.25">
      <c r="P468" s="18">
        <v>467</v>
      </c>
      <c r="Q468" s="50">
        <v>125.7054</v>
      </c>
      <c r="R468" s="50">
        <v>25.705400000000001</v>
      </c>
      <c r="S468" s="50">
        <v>12.151899999999999</v>
      </c>
      <c r="T468" s="46">
        <v>-13.5535</v>
      </c>
    </row>
    <row r="469" spans="16:20" x14ac:dyDescent="0.25">
      <c r="P469" s="18">
        <v>468</v>
      </c>
      <c r="Q469" s="50">
        <v>124.5329</v>
      </c>
      <c r="R469" s="50">
        <v>24.532900000000001</v>
      </c>
      <c r="S469" s="50">
        <v>11.026</v>
      </c>
      <c r="T469" s="46">
        <v>-13.5068</v>
      </c>
    </row>
    <row r="470" spans="16:20" x14ac:dyDescent="0.25">
      <c r="P470" s="18">
        <v>469</v>
      </c>
      <c r="Q470" s="50">
        <v>90.915300000000002</v>
      </c>
      <c r="R470" s="50">
        <v>0</v>
      </c>
      <c r="S470" s="50">
        <v>-15.7897</v>
      </c>
      <c r="T470" s="46">
        <v>-15.7897</v>
      </c>
    </row>
    <row r="471" spans="16:20" x14ac:dyDescent="0.25">
      <c r="P471" s="18">
        <v>470</v>
      </c>
      <c r="Q471" s="50">
        <v>114.5591</v>
      </c>
      <c r="R471" s="50">
        <v>14.559100000000001</v>
      </c>
      <c r="S471" s="50">
        <v>3.0034999999999998</v>
      </c>
      <c r="T471" s="46">
        <v>-11.5555</v>
      </c>
    </row>
    <row r="472" spans="16:20" x14ac:dyDescent="0.25">
      <c r="P472" s="18">
        <v>471</v>
      </c>
      <c r="Q472" s="50">
        <v>134.11199999999999</v>
      </c>
      <c r="R472" s="50">
        <v>34.112000000000002</v>
      </c>
      <c r="S472" s="50">
        <v>18.8688</v>
      </c>
      <c r="T472" s="46">
        <v>-15.2432</v>
      </c>
    </row>
    <row r="473" spans="16:20" x14ac:dyDescent="0.25">
      <c r="P473" s="18">
        <v>472</v>
      </c>
      <c r="Q473" s="50">
        <v>145.78450000000001</v>
      </c>
      <c r="R473" s="50">
        <v>45.784500000000001</v>
      </c>
      <c r="S473" s="50">
        <v>33.294899999999998</v>
      </c>
      <c r="T473" s="46">
        <v>-12.489699999999999</v>
      </c>
    </row>
    <row r="474" spans="16:20" x14ac:dyDescent="0.25">
      <c r="P474" s="18">
        <v>473</v>
      </c>
      <c r="Q474" s="50">
        <v>114.1605</v>
      </c>
      <c r="R474" s="50">
        <v>14.160500000000001</v>
      </c>
      <c r="S474" s="50">
        <v>-0.218</v>
      </c>
      <c r="T474" s="46">
        <v>-14.378500000000001</v>
      </c>
    </row>
    <row r="475" spans="16:20" x14ac:dyDescent="0.25">
      <c r="P475" s="18">
        <v>474</v>
      </c>
      <c r="Q475" s="50">
        <v>76.790999999999997</v>
      </c>
      <c r="R475" s="50">
        <v>0</v>
      </c>
      <c r="S475" s="50">
        <v>-13.3706</v>
      </c>
      <c r="T475" s="46">
        <v>-13.3706</v>
      </c>
    </row>
    <row r="476" spans="16:20" x14ac:dyDescent="0.25">
      <c r="P476" s="18">
        <v>475</v>
      </c>
      <c r="Q476" s="50">
        <v>102.63460000000001</v>
      </c>
      <c r="R476" s="50">
        <v>2.6345999999999998</v>
      </c>
      <c r="S476" s="50">
        <v>-5.8044000000000002</v>
      </c>
      <c r="T476" s="46">
        <v>-8.4390000000000001</v>
      </c>
    </row>
    <row r="477" spans="16:20" x14ac:dyDescent="0.25">
      <c r="P477" s="18">
        <v>476</v>
      </c>
      <c r="Q477" s="50">
        <v>71.357600000000005</v>
      </c>
      <c r="R477" s="50">
        <v>0</v>
      </c>
      <c r="S477" s="50">
        <v>-14.3805</v>
      </c>
      <c r="T477" s="46">
        <v>-14.3805</v>
      </c>
    </row>
    <row r="478" spans="16:20" x14ac:dyDescent="0.25">
      <c r="P478" s="18">
        <v>477</v>
      </c>
      <c r="Q478" s="50">
        <v>145.12139999999999</v>
      </c>
      <c r="R478" s="50">
        <v>45.121400000000001</v>
      </c>
      <c r="S478" s="50">
        <v>26.999099999999999</v>
      </c>
      <c r="T478" s="46">
        <v>-18.122299999999999</v>
      </c>
    </row>
    <row r="479" spans="16:20" x14ac:dyDescent="0.25">
      <c r="P479" s="18">
        <v>478</v>
      </c>
      <c r="Q479" s="50">
        <v>143.12430000000001</v>
      </c>
      <c r="R479" s="50">
        <v>43.124299999999998</v>
      </c>
      <c r="S479" s="50">
        <v>28.460599999999999</v>
      </c>
      <c r="T479" s="46">
        <v>-14.663600000000001</v>
      </c>
    </row>
    <row r="480" spans="16:20" x14ac:dyDescent="0.25">
      <c r="P480" s="18">
        <v>479</v>
      </c>
      <c r="Q480" s="50">
        <v>89.185900000000004</v>
      </c>
      <c r="R480" s="50">
        <v>0</v>
      </c>
      <c r="S480" s="50">
        <v>-13.277900000000001</v>
      </c>
      <c r="T480" s="46">
        <v>-13.277900000000001</v>
      </c>
    </row>
    <row r="481" spans="16:20" x14ac:dyDescent="0.25">
      <c r="P481" s="18">
        <v>480</v>
      </c>
      <c r="Q481" s="50">
        <v>93.056799999999996</v>
      </c>
      <c r="R481" s="50">
        <v>0</v>
      </c>
      <c r="S481" s="50">
        <v>-10.5901</v>
      </c>
      <c r="T481" s="46">
        <v>-10.5901</v>
      </c>
    </row>
    <row r="482" spans="16:20" x14ac:dyDescent="0.25">
      <c r="P482" s="18">
        <v>481</v>
      </c>
      <c r="Q482" s="50">
        <v>155.58539999999999</v>
      </c>
      <c r="R482" s="50">
        <v>55.5854</v>
      </c>
      <c r="S482" s="50">
        <v>42.305</v>
      </c>
      <c r="T482" s="46">
        <v>-13.2804</v>
      </c>
    </row>
    <row r="483" spans="16:20" x14ac:dyDescent="0.25">
      <c r="P483" s="18">
        <v>482</v>
      </c>
      <c r="Q483" s="50">
        <v>124.6956</v>
      </c>
      <c r="R483" s="50">
        <v>24.695599999999999</v>
      </c>
      <c r="S483" s="50">
        <v>8.7352000000000007</v>
      </c>
      <c r="T483" s="46">
        <v>-15.9605</v>
      </c>
    </row>
    <row r="484" spans="16:20" x14ac:dyDescent="0.25">
      <c r="P484" s="18">
        <v>483</v>
      </c>
      <c r="Q484" s="50">
        <v>76.912300000000002</v>
      </c>
      <c r="R484" s="50">
        <v>0</v>
      </c>
      <c r="S484" s="50">
        <v>-13.0152</v>
      </c>
      <c r="T484" s="46">
        <v>-13.0152</v>
      </c>
    </row>
    <row r="485" spans="16:20" x14ac:dyDescent="0.25">
      <c r="P485" s="18">
        <v>484</v>
      </c>
      <c r="Q485" s="50">
        <v>119.8891</v>
      </c>
      <c r="R485" s="50">
        <v>19.889099999999999</v>
      </c>
      <c r="S485" s="50">
        <v>10.0009</v>
      </c>
      <c r="T485" s="46">
        <v>-9.8881999999999994</v>
      </c>
    </row>
    <row r="486" spans="16:20" x14ac:dyDescent="0.25">
      <c r="P486" s="18">
        <v>485</v>
      </c>
      <c r="Q486" s="50">
        <v>88.032399999999996</v>
      </c>
      <c r="R486" s="50">
        <v>0</v>
      </c>
      <c r="S486" s="50">
        <v>-13.287699999999999</v>
      </c>
      <c r="T486" s="46">
        <v>-13.287699999999999</v>
      </c>
    </row>
    <row r="487" spans="16:20" x14ac:dyDescent="0.25">
      <c r="P487" s="18">
        <v>486</v>
      </c>
      <c r="Q487" s="50">
        <v>135.55000000000001</v>
      </c>
      <c r="R487" s="50">
        <v>35.549999999999997</v>
      </c>
      <c r="S487" s="50">
        <v>21.981400000000001</v>
      </c>
      <c r="T487" s="46">
        <v>-13.5685</v>
      </c>
    </row>
    <row r="488" spans="16:20" x14ac:dyDescent="0.25">
      <c r="P488" s="18">
        <v>487</v>
      </c>
      <c r="Q488" s="50">
        <v>127.6537</v>
      </c>
      <c r="R488" s="50">
        <v>27.653700000000001</v>
      </c>
      <c r="S488" s="50">
        <v>5.9477000000000002</v>
      </c>
      <c r="T488" s="46">
        <v>-21.7059</v>
      </c>
    </row>
    <row r="489" spans="16:20" x14ac:dyDescent="0.25">
      <c r="P489" s="18">
        <v>488</v>
      </c>
      <c r="Q489" s="50">
        <v>125.1675</v>
      </c>
      <c r="R489" s="50">
        <v>25.1675</v>
      </c>
      <c r="S489" s="50">
        <v>9.5578000000000003</v>
      </c>
      <c r="T489" s="46">
        <v>-15.6097</v>
      </c>
    </row>
    <row r="490" spans="16:20" x14ac:dyDescent="0.25">
      <c r="P490" s="18">
        <v>489</v>
      </c>
      <c r="Q490" s="50">
        <v>103.2765</v>
      </c>
      <c r="R490" s="50">
        <v>3.2765</v>
      </c>
      <c r="S490" s="50">
        <v>-8.4344000000000001</v>
      </c>
      <c r="T490" s="46">
        <v>-11.710900000000001</v>
      </c>
    </row>
    <row r="491" spans="16:20" x14ac:dyDescent="0.25">
      <c r="P491" s="18">
        <v>490</v>
      </c>
      <c r="Q491" s="50">
        <v>84.834699999999998</v>
      </c>
      <c r="R491" s="50">
        <v>0</v>
      </c>
      <c r="S491" s="50">
        <v>-12.6564</v>
      </c>
      <c r="T491" s="46">
        <v>-12.6564</v>
      </c>
    </row>
    <row r="492" spans="16:20" x14ac:dyDescent="0.25">
      <c r="P492" s="18">
        <v>491</v>
      </c>
      <c r="Q492" s="50">
        <v>141.52449999999999</v>
      </c>
      <c r="R492" s="50">
        <v>41.524500000000003</v>
      </c>
      <c r="S492" s="50">
        <v>26.6372</v>
      </c>
      <c r="T492" s="46">
        <v>-14.8873</v>
      </c>
    </row>
    <row r="493" spans="16:20" x14ac:dyDescent="0.25">
      <c r="P493" s="18">
        <v>492</v>
      </c>
      <c r="Q493" s="50">
        <v>108.5942</v>
      </c>
      <c r="R493" s="50">
        <v>8.5942000000000007</v>
      </c>
      <c r="S493" s="50">
        <v>-5.4470999999999998</v>
      </c>
      <c r="T493" s="46">
        <v>-14.0413</v>
      </c>
    </row>
    <row r="494" spans="16:20" x14ac:dyDescent="0.25">
      <c r="P494" s="18">
        <v>493</v>
      </c>
      <c r="Q494" s="50">
        <v>76.477500000000006</v>
      </c>
      <c r="R494" s="50">
        <v>0</v>
      </c>
      <c r="S494" s="50">
        <v>-14.0671</v>
      </c>
      <c r="T494" s="46">
        <v>-14.0671</v>
      </c>
    </row>
    <row r="495" spans="16:20" x14ac:dyDescent="0.25">
      <c r="P495" s="18">
        <v>494</v>
      </c>
      <c r="Q495" s="50">
        <v>152.64609999999999</v>
      </c>
      <c r="R495" s="50">
        <v>52.646099999999997</v>
      </c>
      <c r="S495" s="50">
        <v>36.199399999999997</v>
      </c>
      <c r="T495" s="46">
        <v>-16.4467</v>
      </c>
    </row>
    <row r="496" spans="16:20" x14ac:dyDescent="0.25">
      <c r="P496" s="18">
        <v>495</v>
      </c>
      <c r="Q496" s="50">
        <v>63.7791</v>
      </c>
      <c r="R496" s="50">
        <v>0</v>
      </c>
      <c r="S496" s="50">
        <v>-14.9739</v>
      </c>
      <c r="T496" s="46">
        <v>-14.9739</v>
      </c>
    </row>
    <row r="497" spans="16:20" x14ac:dyDescent="0.25">
      <c r="P497" s="18">
        <v>496</v>
      </c>
      <c r="Q497" s="50">
        <v>64.318100000000001</v>
      </c>
      <c r="R497" s="50">
        <v>0</v>
      </c>
      <c r="S497" s="50">
        <v>-14.192</v>
      </c>
      <c r="T497" s="46">
        <v>-14.192</v>
      </c>
    </row>
    <row r="498" spans="16:20" x14ac:dyDescent="0.25">
      <c r="P498" s="18">
        <v>497</v>
      </c>
      <c r="Q498" s="50">
        <v>79.949600000000004</v>
      </c>
      <c r="R498" s="50">
        <v>0</v>
      </c>
      <c r="S498" s="50">
        <v>-14.768599999999999</v>
      </c>
      <c r="T498" s="46">
        <v>-14.768599999999999</v>
      </c>
    </row>
    <row r="499" spans="16:20" x14ac:dyDescent="0.25">
      <c r="P499" s="18">
        <v>498</v>
      </c>
      <c r="Q499" s="50">
        <v>94.557500000000005</v>
      </c>
      <c r="R499" s="50">
        <v>0</v>
      </c>
      <c r="S499" s="50">
        <v>-12.326599999999999</v>
      </c>
      <c r="T499" s="46">
        <v>-12.326599999999999</v>
      </c>
    </row>
    <row r="500" spans="16:20" x14ac:dyDescent="0.25">
      <c r="P500" s="18">
        <v>499</v>
      </c>
      <c r="Q500" s="50">
        <v>118.6845</v>
      </c>
      <c r="R500" s="50">
        <v>18.6845</v>
      </c>
      <c r="S500" s="50">
        <v>-0.97950000000000004</v>
      </c>
      <c r="T500" s="46">
        <v>-19.664000000000001</v>
      </c>
    </row>
    <row r="501" spans="16:20" x14ac:dyDescent="0.25">
      <c r="P501" s="18">
        <v>500</v>
      </c>
      <c r="Q501" s="50">
        <v>99.478099999999998</v>
      </c>
      <c r="R501" s="50">
        <v>0</v>
      </c>
      <c r="S501" s="50">
        <v>-15.6457</v>
      </c>
      <c r="T501" s="46">
        <v>-15.6457</v>
      </c>
    </row>
    <row r="502" spans="16:20" x14ac:dyDescent="0.25">
      <c r="P502" s="18">
        <v>501</v>
      </c>
      <c r="Q502" s="50">
        <v>85.048599999999993</v>
      </c>
      <c r="R502" s="50">
        <v>0</v>
      </c>
      <c r="S502" s="50">
        <v>-11.7318</v>
      </c>
      <c r="T502" s="46">
        <v>-11.7318</v>
      </c>
    </row>
    <row r="503" spans="16:20" x14ac:dyDescent="0.25">
      <c r="P503" s="18">
        <v>502</v>
      </c>
      <c r="Q503" s="50">
        <v>120.6695</v>
      </c>
      <c r="R503" s="50">
        <v>20.669499999999999</v>
      </c>
      <c r="S503" s="50">
        <v>9.0816999999999997</v>
      </c>
      <c r="T503" s="46">
        <v>-11.5877</v>
      </c>
    </row>
    <row r="504" spans="16:20" x14ac:dyDescent="0.25">
      <c r="P504" s="18">
        <v>503</v>
      </c>
      <c r="Q504" s="50">
        <v>86.238500000000002</v>
      </c>
      <c r="R504" s="50">
        <v>0</v>
      </c>
      <c r="S504" s="50">
        <v>-11.386900000000001</v>
      </c>
      <c r="T504" s="46">
        <v>-11.386900000000001</v>
      </c>
    </row>
    <row r="505" spans="16:20" x14ac:dyDescent="0.25">
      <c r="P505" s="18">
        <v>504</v>
      </c>
      <c r="Q505" s="50">
        <v>83.249899999999997</v>
      </c>
      <c r="R505" s="50">
        <v>0</v>
      </c>
      <c r="S505" s="50">
        <v>-12.6556</v>
      </c>
      <c r="T505" s="46">
        <v>-12.6556</v>
      </c>
    </row>
    <row r="506" spans="16:20" x14ac:dyDescent="0.25">
      <c r="P506" s="18">
        <v>505</v>
      </c>
      <c r="Q506" s="50">
        <v>89.078599999999994</v>
      </c>
      <c r="R506" s="50">
        <v>0</v>
      </c>
      <c r="S506" s="50">
        <v>-13.557600000000001</v>
      </c>
      <c r="T506" s="46">
        <v>-13.557600000000001</v>
      </c>
    </row>
    <row r="507" spans="16:20" x14ac:dyDescent="0.25">
      <c r="P507" s="18">
        <v>506</v>
      </c>
      <c r="Q507" s="50">
        <v>155.28739999999999</v>
      </c>
      <c r="R507" s="50">
        <v>55.287399999999998</v>
      </c>
      <c r="S507" s="50">
        <v>42.047699999999999</v>
      </c>
      <c r="T507" s="46">
        <v>-13.239800000000001</v>
      </c>
    </row>
    <row r="508" spans="16:20" x14ac:dyDescent="0.25">
      <c r="P508" s="18">
        <v>507</v>
      </c>
      <c r="Q508" s="50">
        <v>99.544700000000006</v>
      </c>
      <c r="R508" s="50">
        <v>0</v>
      </c>
      <c r="S508" s="50">
        <v>-12.453099999999999</v>
      </c>
      <c r="T508" s="46">
        <v>-12.453099999999999</v>
      </c>
    </row>
    <row r="509" spans="16:20" x14ac:dyDescent="0.25">
      <c r="P509" s="18">
        <v>508</v>
      </c>
      <c r="Q509" s="50">
        <v>86.289199999999994</v>
      </c>
      <c r="R509" s="50">
        <v>0</v>
      </c>
      <c r="S509" s="50">
        <v>-13.5244</v>
      </c>
      <c r="T509" s="46">
        <v>-13.5244</v>
      </c>
    </row>
    <row r="510" spans="16:20" x14ac:dyDescent="0.25">
      <c r="P510" s="18">
        <v>509</v>
      </c>
      <c r="Q510" s="50">
        <v>76.781300000000002</v>
      </c>
      <c r="R510" s="50">
        <v>0</v>
      </c>
      <c r="S510" s="50">
        <v>-12.7768</v>
      </c>
      <c r="T510" s="46">
        <v>-12.7768</v>
      </c>
    </row>
    <row r="511" spans="16:20" x14ac:dyDescent="0.25">
      <c r="P511" s="18">
        <v>510</v>
      </c>
      <c r="Q511" s="50">
        <v>135.33359999999999</v>
      </c>
      <c r="R511" s="50">
        <v>35.333599999999997</v>
      </c>
      <c r="S511" s="50">
        <v>17.583300000000001</v>
      </c>
      <c r="T511" s="46">
        <v>-17.750299999999999</v>
      </c>
    </row>
    <row r="512" spans="16:20" x14ac:dyDescent="0.25">
      <c r="P512" s="18">
        <v>511</v>
      </c>
      <c r="Q512" s="50">
        <v>80.550799999999995</v>
      </c>
      <c r="R512" s="50">
        <v>0</v>
      </c>
      <c r="S512" s="50">
        <v>-14.5716</v>
      </c>
      <c r="T512" s="46">
        <v>-14.5716</v>
      </c>
    </row>
    <row r="513" spans="16:20" x14ac:dyDescent="0.25">
      <c r="P513" s="18">
        <v>512</v>
      </c>
      <c r="Q513" s="50">
        <v>134.74760000000001</v>
      </c>
      <c r="R513" s="50">
        <v>34.747599999999998</v>
      </c>
      <c r="S513" s="50">
        <v>17.265499999999999</v>
      </c>
      <c r="T513" s="46">
        <v>-17.482099999999999</v>
      </c>
    </row>
    <row r="514" spans="16:20" x14ac:dyDescent="0.25">
      <c r="P514" s="18">
        <v>513</v>
      </c>
      <c r="Q514" s="50">
        <v>90.365899999999996</v>
      </c>
      <c r="R514" s="50">
        <v>0</v>
      </c>
      <c r="S514" s="50">
        <v>-11.4488</v>
      </c>
      <c r="T514" s="46">
        <v>-11.4488</v>
      </c>
    </row>
    <row r="515" spans="16:20" x14ac:dyDescent="0.25">
      <c r="P515" s="18">
        <v>514</v>
      </c>
      <c r="Q515" s="50">
        <v>80.272400000000005</v>
      </c>
      <c r="R515" s="50">
        <v>0</v>
      </c>
      <c r="S515" s="50">
        <v>-14.8134</v>
      </c>
      <c r="T515" s="46">
        <v>-14.8134</v>
      </c>
    </row>
    <row r="516" spans="16:20" x14ac:dyDescent="0.25">
      <c r="P516" s="18">
        <v>515</v>
      </c>
      <c r="Q516" s="50">
        <v>59.859299999999998</v>
      </c>
      <c r="R516" s="50">
        <v>0</v>
      </c>
      <c r="S516" s="50">
        <v>-15.6534</v>
      </c>
      <c r="T516" s="46">
        <v>-15.6534</v>
      </c>
    </row>
    <row r="517" spans="16:20" x14ac:dyDescent="0.25">
      <c r="P517" s="18">
        <v>516</v>
      </c>
      <c r="Q517" s="50">
        <v>104.4059</v>
      </c>
      <c r="R517" s="50">
        <v>4.4058999999999999</v>
      </c>
      <c r="S517" s="50">
        <v>-7.3555999999999999</v>
      </c>
      <c r="T517" s="46">
        <v>-11.7616</v>
      </c>
    </row>
    <row r="518" spans="16:20" x14ac:dyDescent="0.25">
      <c r="P518" s="18">
        <v>517</v>
      </c>
      <c r="Q518" s="50">
        <v>111.0012</v>
      </c>
      <c r="R518" s="50">
        <v>11.001200000000001</v>
      </c>
      <c r="S518" s="50">
        <v>-0.7429</v>
      </c>
      <c r="T518" s="46">
        <v>-11.7441</v>
      </c>
    </row>
    <row r="519" spans="16:20" x14ac:dyDescent="0.25">
      <c r="P519" s="18">
        <v>518</v>
      </c>
      <c r="Q519" s="50">
        <v>97.4148</v>
      </c>
      <c r="R519" s="50">
        <v>0</v>
      </c>
      <c r="S519" s="50">
        <v>-10.0014</v>
      </c>
      <c r="T519" s="46">
        <v>-10.0014</v>
      </c>
    </row>
    <row r="520" spans="16:20" x14ac:dyDescent="0.25">
      <c r="P520" s="18">
        <v>519</v>
      </c>
      <c r="Q520" s="50">
        <v>128.90539999999999</v>
      </c>
      <c r="R520" s="50">
        <v>28.9054</v>
      </c>
      <c r="S520" s="50">
        <v>11.0403</v>
      </c>
      <c r="T520" s="46">
        <v>-17.865200000000002</v>
      </c>
    </row>
    <row r="521" spans="16:20" x14ac:dyDescent="0.25">
      <c r="P521" s="18">
        <v>520</v>
      </c>
      <c r="Q521" s="50">
        <v>61.532499999999999</v>
      </c>
      <c r="R521" s="50">
        <v>0</v>
      </c>
      <c r="S521" s="50">
        <v>-17.3292</v>
      </c>
      <c r="T521" s="46">
        <v>-17.3292</v>
      </c>
    </row>
    <row r="522" spans="16:20" x14ac:dyDescent="0.25">
      <c r="P522" s="18">
        <v>521</v>
      </c>
      <c r="Q522" s="50">
        <v>107.5822</v>
      </c>
      <c r="R522" s="50">
        <v>7.5822000000000003</v>
      </c>
      <c r="S522" s="50">
        <v>-7.0025000000000004</v>
      </c>
      <c r="T522" s="46">
        <v>-14.5847</v>
      </c>
    </row>
    <row r="523" spans="16:20" x14ac:dyDescent="0.25">
      <c r="P523" s="18">
        <v>522</v>
      </c>
      <c r="Q523" s="50">
        <v>111.6084</v>
      </c>
      <c r="R523" s="50">
        <v>11.6084</v>
      </c>
      <c r="S523" s="50">
        <v>2.0160999999999998</v>
      </c>
      <c r="T523" s="46">
        <v>-9.5922999999999998</v>
      </c>
    </row>
    <row r="524" spans="16:20" x14ac:dyDescent="0.25">
      <c r="P524" s="18">
        <v>523</v>
      </c>
      <c r="Q524" s="50">
        <v>100.7732</v>
      </c>
      <c r="R524" s="50">
        <v>0.7732</v>
      </c>
      <c r="S524" s="50">
        <v>-10.732900000000001</v>
      </c>
      <c r="T524" s="46">
        <v>-11.506</v>
      </c>
    </row>
    <row r="525" spans="16:20" x14ac:dyDescent="0.25">
      <c r="P525" s="18">
        <v>524</v>
      </c>
      <c r="Q525" s="50">
        <v>92.325900000000004</v>
      </c>
      <c r="R525" s="50">
        <v>0</v>
      </c>
      <c r="S525" s="50">
        <v>-10.6509</v>
      </c>
      <c r="T525" s="46">
        <v>-10.6509</v>
      </c>
    </row>
    <row r="526" spans="16:20" x14ac:dyDescent="0.25">
      <c r="P526" s="18">
        <v>525</v>
      </c>
      <c r="Q526" s="50">
        <v>59.908799999999999</v>
      </c>
      <c r="R526" s="50">
        <v>0</v>
      </c>
      <c r="S526" s="50">
        <v>-13.985300000000001</v>
      </c>
      <c r="T526" s="46">
        <v>-13.985300000000001</v>
      </c>
    </row>
    <row r="527" spans="16:20" x14ac:dyDescent="0.25">
      <c r="P527" s="18">
        <v>526</v>
      </c>
      <c r="Q527" s="50">
        <v>129.91990000000001</v>
      </c>
      <c r="R527" s="50">
        <v>29.919899999999998</v>
      </c>
      <c r="S527" s="50">
        <v>16.447199999999999</v>
      </c>
      <c r="T527" s="46">
        <v>-13.4727</v>
      </c>
    </row>
    <row r="528" spans="16:20" x14ac:dyDescent="0.25">
      <c r="P528" s="18">
        <v>527</v>
      </c>
      <c r="Q528" s="50">
        <v>77.485699999999994</v>
      </c>
      <c r="R528" s="50">
        <v>0</v>
      </c>
      <c r="S528" s="50">
        <v>-14.8896</v>
      </c>
      <c r="T528" s="46">
        <v>-14.8896</v>
      </c>
    </row>
    <row r="529" spans="16:20" x14ac:dyDescent="0.25">
      <c r="P529" s="18">
        <v>528</v>
      </c>
      <c r="Q529" s="50">
        <v>84.322199999999995</v>
      </c>
      <c r="R529" s="50">
        <v>0</v>
      </c>
      <c r="S529" s="50">
        <v>-13.2378</v>
      </c>
      <c r="T529" s="46">
        <v>-13.2378</v>
      </c>
    </row>
    <row r="530" spans="16:20" x14ac:dyDescent="0.25">
      <c r="P530" s="18">
        <v>529</v>
      </c>
      <c r="Q530" s="50">
        <v>106.92319999999999</v>
      </c>
      <c r="R530" s="50">
        <v>6.9231999999999996</v>
      </c>
      <c r="S530" s="50">
        <v>-4.7613000000000003</v>
      </c>
      <c r="T530" s="46">
        <v>-11.6845</v>
      </c>
    </row>
    <row r="531" spans="16:20" x14ac:dyDescent="0.25">
      <c r="P531" s="18">
        <v>530</v>
      </c>
      <c r="Q531" s="50">
        <v>101.50320000000001</v>
      </c>
      <c r="R531" s="50">
        <v>1.5032000000000001</v>
      </c>
      <c r="S531" s="50">
        <v>-9.5066000000000006</v>
      </c>
      <c r="T531" s="46">
        <v>-11.0098</v>
      </c>
    </row>
    <row r="532" spans="16:20" x14ac:dyDescent="0.25">
      <c r="P532" s="18">
        <v>531</v>
      </c>
      <c r="Q532" s="50">
        <v>66.804100000000005</v>
      </c>
      <c r="R532" s="50">
        <v>0</v>
      </c>
      <c r="S532" s="50">
        <v>-16.811</v>
      </c>
      <c r="T532" s="46">
        <v>-16.811</v>
      </c>
    </row>
    <row r="533" spans="16:20" x14ac:dyDescent="0.25">
      <c r="P533" s="18">
        <v>532</v>
      </c>
      <c r="Q533" s="50">
        <v>55.606999999999999</v>
      </c>
      <c r="R533" s="50">
        <v>0</v>
      </c>
      <c r="S533" s="50">
        <v>-15.2667</v>
      </c>
      <c r="T533" s="46">
        <v>-15.2667</v>
      </c>
    </row>
    <row r="534" spans="16:20" x14ac:dyDescent="0.25">
      <c r="P534" s="18">
        <v>533</v>
      </c>
      <c r="Q534" s="50">
        <v>91.195300000000003</v>
      </c>
      <c r="R534" s="50">
        <v>0</v>
      </c>
      <c r="S534" s="50">
        <v>-11.3104</v>
      </c>
      <c r="T534" s="46">
        <v>-11.3104</v>
      </c>
    </row>
    <row r="535" spans="16:20" x14ac:dyDescent="0.25">
      <c r="P535" s="18">
        <v>534</v>
      </c>
      <c r="Q535" s="50">
        <v>144.26419999999999</v>
      </c>
      <c r="R535" s="50">
        <v>44.264200000000002</v>
      </c>
      <c r="S535" s="50">
        <v>28.484400000000001</v>
      </c>
      <c r="T535" s="46">
        <v>-15.7798</v>
      </c>
    </row>
    <row r="536" spans="16:20" x14ac:dyDescent="0.25">
      <c r="P536" s="18">
        <v>535</v>
      </c>
      <c r="Q536" s="50">
        <v>95.461299999999994</v>
      </c>
      <c r="R536" s="50">
        <v>0</v>
      </c>
      <c r="S536" s="50">
        <v>-15.078200000000001</v>
      </c>
      <c r="T536" s="46">
        <v>-15.078200000000001</v>
      </c>
    </row>
    <row r="537" spans="16:20" x14ac:dyDescent="0.25">
      <c r="P537" s="18">
        <v>536</v>
      </c>
      <c r="Q537" s="50">
        <v>132.0026</v>
      </c>
      <c r="R537" s="50">
        <v>32.002600000000001</v>
      </c>
      <c r="S537" s="50">
        <v>18.120200000000001</v>
      </c>
      <c r="T537" s="46">
        <v>-13.882400000000001</v>
      </c>
    </row>
    <row r="538" spans="16:20" x14ac:dyDescent="0.25">
      <c r="P538" s="18">
        <v>537</v>
      </c>
      <c r="Q538" s="50">
        <v>153.48570000000001</v>
      </c>
      <c r="R538" s="50">
        <v>53.485700000000001</v>
      </c>
      <c r="S538" s="50">
        <v>35.356499999999997</v>
      </c>
      <c r="T538" s="46">
        <v>-18.129300000000001</v>
      </c>
    </row>
    <row r="539" spans="16:20" x14ac:dyDescent="0.25">
      <c r="P539" s="18">
        <v>538</v>
      </c>
      <c r="Q539" s="50">
        <v>115.9864</v>
      </c>
      <c r="R539" s="50">
        <v>15.9864</v>
      </c>
      <c r="S539" s="50">
        <v>3.0358999999999998</v>
      </c>
      <c r="T539" s="46">
        <v>-12.9505</v>
      </c>
    </row>
    <row r="540" spans="16:20" x14ac:dyDescent="0.25">
      <c r="P540" s="18">
        <v>539</v>
      </c>
      <c r="Q540" s="50">
        <v>156.416</v>
      </c>
      <c r="R540" s="50">
        <v>56.415999999999997</v>
      </c>
      <c r="S540" s="50">
        <v>44.163600000000002</v>
      </c>
      <c r="T540" s="46">
        <v>-12.2525</v>
      </c>
    </row>
    <row r="541" spans="16:20" x14ac:dyDescent="0.25">
      <c r="P541" s="18">
        <v>540</v>
      </c>
      <c r="Q541" s="50">
        <v>89.092500000000001</v>
      </c>
      <c r="R541" s="50">
        <v>0</v>
      </c>
      <c r="S541" s="50">
        <v>-12.957100000000001</v>
      </c>
      <c r="T541" s="46">
        <v>-12.957100000000001</v>
      </c>
    </row>
    <row r="542" spans="16:20" x14ac:dyDescent="0.25">
      <c r="P542" s="18">
        <v>541</v>
      </c>
      <c r="Q542" s="50">
        <v>117.61660000000001</v>
      </c>
      <c r="R542" s="50">
        <v>17.616599999999998</v>
      </c>
      <c r="S542" s="50">
        <v>6.5072000000000001</v>
      </c>
      <c r="T542" s="46">
        <v>-11.109400000000001</v>
      </c>
    </row>
    <row r="543" spans="16:20" x14ac:dyDescent="0.25">
      <c r="P543" s="18">
        <v>542</v>
      </c>
      <c r="Q543" s="50">
        <v>163.0342</v>
      </c>
      <c r="R543" s="50">
        <v>63.034199999999998</v>
      </c>
      <c r="S543" s="50">
        <v>50.771700000000003</v>
      </c>
      <c r="T543" s="46">
        <v>-12.262499999999999</v>
      </c>
    </row>
    <row r="544" spans="16:20" x14ac:dyDescent="0.25">
      <c r="P544" s="18">
        <v>543</v>
      </c>
      <c r="Q544" s="50">
        <v>115.89790000000001</v>
      </c>
      <c r="R544" s="50">
        <v>15.8979</v>
      </c>
      <c r="S544" s="50">
        <v>-2.7416999999999998</v>
      </c>
      <c r="T544" s="46">
        <v>-18.639600000000002</v>
      </c>
    </row>
    <row r="545" spans="16:20" x14ac:dyDescent="0.25">
      <c r="P545" s="18">
        <v>544</v>
      </c>
      <c r="Q545" s="50">
        <v>83.5869</v>
      </c>
      <c r="R545" s="50">
        <v>0</v>
      </c>
      <c r="S545" s="50">
        <v>-14.008900000000001</v>
      </c>
      <c r="T545" s="46">
        <v>-14.008900000000001</v>
      </c>
    </row>
    <row r="546" spans="16:20" x14ac:dyDescent="0.25">
      <c r="P546" s="18">
        <v>545</v>
      </c>
      <c r="Q546" s="50">
        <v>89.664199999999994</v>
      </c>
      <c r="R546" s="50">
        <v>0</v>
      </c>
      <c r="S546" s="50">
        <v>-15.543200000000001</v>
      </c>
      <c r="T546" s="46">
        <v>-15.543200000000001</v>
      </c>
    </row>
    <row r="547" spans="16:20" x14ac:dyDescent="0.25">
      <c r="P547" s="18">
        <v>546</v>
      </c>
      <c r="Q547" s="50">
        <v>112.0612</v>
      </c>
      <c r="R547" s="50">
        <v>12.061199999999999</v>
      </c>
      <c r="S547" s="50">
        <v>-0.77600000000000002</v>
      </c>
      <c r="T547" s="46">
        <v>-12.837199999999999</v>
      </c>
    </row>
    <row r="548" spans="16:20" x14ac:dyDescent="0.25">
      <c r="P548" s="18">
        <v>547</v>
      </c>
      <c r="Q548" s="50">
        <v>63.475000000000001</v>
      </c>
      <c r="R548" s="50">
        <v>0</v>
      </c>
      <c r="S548" s="50">
        <v>-14.1905</v>
      </c>
      <c r="T548" s="46">
        <v>-14.1905</v>
      </c>
    </row>
    <row r="549" spans="16:20" x14ac:dyDescent="0.25">
      <c r="P549" s="18">
        <v>548</v>
      </c>
      <c r="Q549" s="50">
        <v>127.524</v>
      </c>
      <c r="R549" s="50">
        <v>27.524000000000001</v>
      </c>
      <c r="S549" s="50">
        <v>12.5358</v>
      </c>
      <c r="T549" s="46">
        <v>-14.988099999999999</v>
      </c>
    </row>
    <row r="550" spans="16:20" x14ac:dyDescent="0.25">
      <c r="P550" s="18">
        <v>549</v>
      </c>
      <c r="Q550" s="50">
        <v>75.292100000000005</v>
      </c>
      <c r="R550" s="50">
        <v>0</v>
      </c>
      <c r="S550" s="50">
        <v>-16.146000000000001</v>
      </c>
      <c r="T550" s="46">
        <v>-16.146000000000001</v>
      </c>
    </row>
    <row r="551" spans="16:20" x14ac:dyDescent="0.25">
      <c r="P551" s="18">
        <v>550</v>
      </c>
      <c r="Q551" s="50">
        <v>105.64749999999999</v>
      </c>
      <c r="R551" s="50">
        <v>5.6475</v>
      </c>
      <c r="S551" s="50">
        <v>-8.6159999999999997</v>
      </c>
      <c r="T551" s="46">
        <v>-14.263500000000001</v>
      </c>
    </row>
    <row r="552" spans="16:20" x14ac:dyDescent="0.25">
      <c r="P552" s="18">
        <v>551</v>
      </c>
      <c r="Q552" s="50">
        <v>83.419799999999995</v>
      </c>
      <c r="R552" s="50">
        <v>0</v>
      </c>
      <c r="S552" s="50">
        <v>-14.742900000000001</v>
      </c>
      <c r="T552" s="46">
        <v>-14.742900000000001</v>
      </c>
    </row>
    <row r="553" spans="16:20" x14ac:dyDescent="0.25">
      <c r="P553" s="18">
        <v>552</v>
      </c>
      <c r="Q553" s="50">
        <v>112.512</v>
      </c>
      <c r="R553" s="50">
        <v>12.512</v>
      </c>
      <c r="S553" s="50">
        <v>-2.0478999999999998</v>
      </c>
      <c r="T553" s="46">
        <v>-14.559900000000001</v>
      </c>
    </row>
    <row r="554" spans="16:20" x14ac:dyDescent="0.25">
      <c r="P554" s="18">
        <v>553</v>
      </c>
      <c r="Q554" s="50">
        <v>92.089600000000004</v>
      </c>
      <c r="R554" s="50">
        <v>0</v>
      </c>
      <c r="S554" s="50">
        <v>-20.029299999999999</v>
      </c>
      <c r="T554" s="46">
        <v>-20.029299999999999</v>
      </c>
    </row>
    <row r="555" spans="16:20" x14ac:dyDescent="0.25">
      <c r="P555" s="18">
        <v>554</v>
      </c>
      <c r="Q555" s="50">
        <v>141.6849</v>
      </c>
      <c r="R555" s="50">
        <v>41.684899999999999</v>
      </c>
      <c r="S555" s="50">
        <v>26.563099999999999</v>
      </c>
      <c r="T555" s="46">
        <v>-15.1218</v>
      </c>
    </row>
    <row r="556" spans="16:20" x14ac:dyDescent="0.25">
      <c r="P556" s="18">
        <v>555</v>
      </c>
      <c r="Q556" s="50">
        <v>74.605800000000002</v>
      </c>
      <c r="R556" s="50">
        <v>0</v>
      </c>
      <c r="S556" s="50">
        <v>-14.6181</v>
      </c>
      <c r="T556" s="46">
        <v>-14.6181</v>
      </c>
    </row>
    <row r="557" spans="16:20" x14ac:dyDescent="0.25">
      <c r="P557" s="18">
        <v>556</v>
      </c>
      <c r="Q557" s="50">
        <v>133.40969999999999</v>
      </c>
      <c r="R557" s="50">
        <v>33.409700000000001</v>
      </c>
      <c r="S557" s="50">
        <v>17.8248</v>
      </c>
      <c r="T557" s="46">
        <v>-15.585000000000001</v>
      </c>
    </row>
    <row r="558" spans="16:20" x14ac:dyDescent="0.25">
      <c r="P558" s="18">
        <v>557</v>
      </c>
      <c r="Q558" s="50">
        <v>123.0916</v>
      </c>
      <c r="R558" s="50">
        <v>23.0916</v>
      </c>
      <c r="S558" s="50">
        <v>8.3031000000000006</v>
      </c>
      <c r="T558" s="46">
        <v>-14.788399999999999</v>
      </c>
    </row>
    <row r="559" spans="16:20" x14ac:dyDescent="0.25">
      <c r="P559" s="18">
        <v>558</v>
      </c>
      <c r="Q559" s="50">
        <v>67.572199999999995</v>
      </c>
      <c r="R559" s="50">
        <v>0</v>
      </c>
      <c r="S559" s="50">
        <v>-13.600099999999999</v>
      </c>
      <c r="T559" s="46">
        <v>-13.600099999999999</v>
      </c>
    </row>
    <row r="560" spans="16:20" x14ac:dyDescent="0.25">
      <c r="P560" s="18">
        <v>559</v>
      </c>
      <c r="Q560" s="50">
        <v>99.440600000000003</v>
      </c>
      <c r="R560" s="50">
        <v>0</v>
      </c>
      <c r="S560" s="50">
        <v>-8.2388999999999992</v>
      </c>
      <c r="T560" s="46">
        <v>-8.2388999999999992</v>
      </c>
    </row>
    <row r="561" spans="16:20" x14ac:dyDescent="0.25">
      <c r="P561" s="18">
        <v>560</v>
      </c>
      <c r="Q561" s="50">
        <v>182.5668</v>
      </c>
      <c r="R561" s="50">
        <v>82.566800000000001</v>
      </c>
      <c r="S561" s="50">
        <v>67.294799999999995</v>
      </c>
      <c r="T561" s="46">
        <v>-15.272</v>
      </c>
    </row>
    <row r="562" spans="16:20" x14ac:dyDescent="0.25">
      <c r="P562" s="18">
        <v>561</v>
      </c>
      <c r="Q562" s="50">
        <v>102.3644</v>
      </c>
      <c r="R562" s="50">
        <v>2.3643999999999998</v>
      </c>
      <c r="S562" s="50">
        <v>-14.244</v>
      </c>
      <c r="T562" s="46">
        <v>-16.6084</v>
      </c>
    </row>
    <row r="563" spans="16:20" x14ac:dyDescent="0.25">
      <c r="P563" s="18">
        <v>562</v>
      </c>
      <c r="Q563" s="50">
        <v>116.0908</v>
      </c>
      <c r="R563" s="50">
        <v>16.090800000000002</v>
      </c>
      <c r="S563" s="50">
        <v>3.7915000000000001</v>
      </c>
      <c r="T563" s="46">
        <v>-12.299300000000001</v>
      </c>
    </row>
    <row r="564" spans="16:20" x14ac:dyDescent="0.25">
      <c r="P564" s="18">
        <v>563</v>
      </c>
      <c r="Q564" s="50">
        <v>64.205100000000002</v>
      </c>
      <c r="R564" s="50">
        <v>0</v>
      </c>
      <c r="S564" s="50">
        <v>-15.0449</v>
      </c>
      <c r="T564" s="46">
        <v>-15.0449</v>
      </c>
    </row>
    <row r="565" spans="16:20" x14ac:dyDescent="0.25">
      <c r="P565" s="18">
        <v>564</v>
      </c>
      <c r="Q565" s="50">
        <v>82.159199999999998</v>
      </c>
      <c r="R565" s="50">
        <v>0</v>
      </c>
      <c r="S565" s="50">
        <v>-12.151199999999999</v>
      </c>
      <c r="T565" s="46">
        <v>-12.151199999999999</v>
      </c>
    </row>
    <row r="566" spans="16:20" x14ac:dyDescent="0.25">
      <c r="P566" s="18">
        <v>565</v>
      </c>
      <c r="Q566" s="50">
        <v>95.7136</v>
      </c>
      <c r="R566" s="50">
        <v>0</v>
      </c>
      <c r="S566" s="50">
        <v>-10.8621</v>
      </c>
      <c r="T566" s="46">
        <v>-10.8621</v>
      </c>
    </row>
    <row r="567" spans="16:20" x14ac:dyDescent="0.25">
      <c r="P567" s="18">
        <v>566</v>
      </c>
      <c r="Q567" s="50">
        <v>138.73419999999999</v>
      </c>
      <c r="R567" s="50">
        <v>38.734200000000001</v>
      </c>
      <c r="S567" s="50">
        <v>22.773800000000001</v>
      </c>
      <c r="T567" s="46">
        <v>-15.9605</v>
      </c>
    </row>
    <row r="568" spans="16:20" x14ac:dyDescent="0.25">
      <c r="P568" s="18">
        <v>567</v>
      </c>
      <c r="Q568" s="50">
        <v>82.811599999999999</v>
      </c>
      <c r="R568" s="50">
        <v>0</v>
      </c>
      <c r="S568" s="50">
        <v>-13.948499999999999</v>
      </c>
      <c r="T568" s="46">
        <v>-13.948499999999999</v>
      </c>
    </row>
    <row r="569" spans="16:20" x14ac:dyDescent="0.25">
      <c r="P569" s="18">
        <v>568</v>
      </c>
      <c r="Q569" s="50">
        <v>94.025999999999996</v>
      </c>
      <c r="R569" s="50">
        <v>0</v>
      </c>
      <c r="S569" s="50">
        <v>-16.157</v>
      </c>
      <c r="T569" s="46">
        <v>-16.157</v>
      </c>
    </row>
    <row r="570" spans="16:20" x14ac:dyDescent="0.25">
      <c r="P570" s="18">
        <v>569</v>
      </c>
      <c r="Q570" s="50">
        <v>96.676900000000003</v>
      </c>
      <c r="R570" s="50">
        <v>0</v>
      </c>
      <c r="S570" s="50">
        <v>-10.752700000000001</v>
      </c>
      <c r="T570" s="46">
        <v>-10.752700000000001</v>
      </c>
    </row>
    <row r="571" spans="16:20" x14ac:dyDescent="0.25">
      <c r="P571" s="18">
        <v>570</v>
      </c>
      <c r="Q571" s="50">
        <v>93.6387</v>
      </c>
      <c r="R571" s="50">
        <v>0</v>
      </c>
      <c r="S571" s="50">
        <v>-12.5421</v>
      </c>
      <c r="T571" s="46">
        <v>-12.5421</v>
      </c>
    </row>
    <row r="572" spans="16:20" x14ac:dyDescent="0.25">
      <c r="P572" s="18">
        <v>571</v>
      </c>
      <c r="Q572" s="50">
        <v>94.846699999999998</v>
      </c>
      <c r="R572" s="50">
        <v>0</v>
      </c>
      <c r="S572" s="50">
        <v>-10.8079</v>
      </c>
      <c r="T572" s="46">
        <v>-10.8079</v>
      </c>
    </row>
    <row r="573" spans="16:20" x14ac:dyDescent="0.25">
      <c r="P573" s="18">
        <v>572</v>
      </c>
      <c r="Q573" s="50">
        <v>110.4579</v>
      </c>
      <c r="R573" s="50">
        <v>10.4579</v>
      </c>
      <c r="S573" s="50">
        <v>0.13950000000000001</v>
      </c>
      <c r="T573" s="46">
        <v>-10.3184</v>
      </c>
    </row>
    <row r="574" spans="16:20" x14ac:dyDescent="0.25">
      <c r="P574" s="18">
        <v>573</v>
      </c>
      <c r="Q574" s="50">
        <v>160.30510000000001</v>
      </c>
      <c r="R574" s="50">
        <v>60.305100000000003</v>
      </c>
      <c r="S574" s="50">
        <v>45.6751</v>
      </c>
      <c r="T574" s="46">
        <v>-14.63</v>
      </c>
    </row>
    <row r="575" spans="16:20" x14ac:dyDescent="0.25">
      <c r="P575" s="18">
        <v>574</v>
      </c>
      <c r="Q575" s="50">
        <v>105.9978</v>
      </c>
      <c r="R575" s="50">
        <v>5.9977999999999998</v>
      </c>
      <c r="S575" s="50">
        <v>-7.9954999999999998</v>
      </c>
      <c r="T575" s="46">
        <v>-13.9933</v>
      </c>
    </row>
    <row r="576" spans="16:20" x14ac:dyDescent="0.25">
      <c r="P576" s="18">
        <v>575</v>
      </c>
      <c r="Q576" s="50">
        <v>93.557299999999998</v>
      </c>
      <c r="R576" s="50">
        <v>0</v>
      </c>
      <c r="S576" s="50">
        <v>-12.167199999999999</v>
      </c>
      <c r="T576" s="46">
        <v>-12.167199999999999</v>
      </c>
    </row>
    <row r="577" spans="16:20" x14ac:dyDescent="0.25">
      <c r="P577" s="18">
        <v>576</v>
      </c>
      <c r="Q577" s="50">
        <v>111.12990000000001</v>
      </c>
      <c r="R577" s="50">
        <v>11.129899999999999</v>
      </c>
      <c r="S577" s="50">
        <v>-0.49309999999999998</v>
      </c>
      <c r="T577" s="46">
        <v>-11.622999999999999</v>
      </c>
    </row>
    <row r="578" spans="16:20" x14ac:dyDescent="0.25">
      <c r="P578" s="18">
        <v>577</v>
      </c>
      <c r="Q578" s="50">
        <v>75.058499999999995</v>
      </c>
      <c r="R578" s="50">
        <v>0</v>
      </c>
      <c r="S578" s="50">
        <v>-14.5916</v>
      </c>
      <c r="T578" s="46">
        <v>-14.5916</v>
      </c>
    </row>
    <row r="579" spans="16:20" x14ac:dyDescent="0.25">
      <c r="P579" s="18">
        <v>578</v>
      </c>
      <c r="Q579" s="50">
        <v>81.566800000000001</v>
      </c>
      <c r="R579" s="50">
        <v>0</v>
      </c>
      <c r="S579" s="50">
        <v>-13.495100000000001</v>
      </c>
      <c r="T579" s="46">
        <v>-13.495100000000001</v>
      </c>
    </row>
    <row r="580" spans="16:20" x14ac:dyDescent="0.25">
      <c r="P580" s="18">
        <v>579</v>
      </c>
      <c r="Q580" s="50">
        <v>91.1066</v>
      </c>
      <c r="R580" s="50">
        <v>0</v>
      </c>
      <c r="S580" s="50">
        <v>-14.7</v>
      </c>
      <c r="T580" s="46">
        <v>-14.7</v>
      </c>
    </row>
    <row r="581" spans="16:20" x14ac:dyDescent="0.25">
      <c r="P581" s="18">
        <v>580</v>
      </c>
      <c r="Q581" s="50">
        <v>78.621300000000005</v>
      </c>
      <c r="R581" s="50">
        <v>0</v>
      </c>
      <c r="S581" s="50">
        <v>-14.172800000000001</v>
      </c>
      <c r="T581" s="46">
        <v>-14.172800000000001</v>
      </c>
    </row>
    <row r="582" spans="16:20" x14ac:dyDescent="0.25">
      <c r="P582" s="18">
        <v>581</v>
      </c>
      <c r="Q582" s="50">
        <v>152.58009999999999</v>
      </c>
      <c r="R582" s="50">
        <v>52.580100000000002</v>
      </c>
      <c r="S582" s="50">
        <v>37.878399999999999</v>
      </c>
      <c r="T582" s="46">
        <v>-14.701700000000001</v>
      </c>
    </row>
    <row r="583" spans="16:20" x14ac:dyDescent="0.25">
      <c r="P583" s="18">
        <v>582</v>
      </c>
      <c r="Q583" s="50">
        <v>66.629599999999996</v>
      </c>
      <c r="R583" s="50">
        <v>0</v>
      </c>
      <c r="S583" s="50">
        <v>-13.9612</v>
      </c>
      <c r="T583" s="46">
        <v>-13.9612</v>
      </c>
    </row>
    <row r="584" spans="16:20" x14ac:dyDescent="0.25">
      <c r="P584" s="18">
        <v>583</v>
      </c>
      <c r="Q584" s="50">
        <v>93.524199999999993</v>
      </c>
      <c r="R584" s="50">
        <v>0</v>
      </c>
      <c r="S584" s="50">
        <v>-13.029500000000001</v>
      </c>
      <c r="T584" s="46">
        <v>-13.029500000000001</v>
      </c>
    </row>
    <row r="585" spans="16:20" x14ac:dyDescent="0.25">
      <c r="P585" s="18">
        <v>584</v>
      </c>
      <c r="Q585" s="50">
        <v>77.205200000000005</v>
      </c>
      <c r="R585" s="50">
        <v>0</v>
      </c>
      <c r="S585" s="50">
        <v>-16.3064</v>
      </c>
      <c r="T585" s="46">
        <v>-16.3064</v>
      </c>
    </row>
    <row r="586" spans="16:20" x14ac:dyDescent="0.25">
      <c r="P586" s="18">
        <v>585</v>
      </c>
      <c r="Q586" s="50">
        <v>151.9325</v>
      </c>
      <c r="R586" s="50">
        <v>51.932499999999997</v>
      </c>
      <c r="S586" s="50">
        <v>38.326999999999998</v>
      </c>
      <c r="T586" s="46">
        <v>-13.605499999999999</v>
      </c>
    </row>
    <row r="587" spans="16:20" x14ac:dyDescent="0.25">
      <c r="P587" s="18">
        <v>586</v>
      </c>
      <c r="Q587" s="50">
        <v>172.49979999999999</v>
      </c>
      <c r="R587" s="50">
        <v>72.499799999999993</v>
      </c>
      <c r="S587" s="50">
        <v>57.720399999999998</v>
      </c>
      <c r="T587" s="46">
        <v>-14.779400000000001</v>
      </c>
    </row>
    <row r="588" spans="16:20" x14ac:dyDescent="0.25">
      <c r="P588" s="18">
        <v>587</v>
      </c>
      <c r="Q588" s="50">
        <v>99.817300000000003</v>
      </c>
      <c r="R588" s="50">
        <v>0</v>
      </c>
      <c r="S588" s="50">
        <v>-10.4658</v>
      </c>
      <c r="T588" s="46">
        <v>-10.4658</v>
      </c>
    </row>
    <row r="589" spans="16:20" x14ac:dyDescent="0.25">
      <c r="P589" s="18">
        <v>588</v>
      </c>
      <c r="Q589" s="50">
        <v>118.6782</v>
      </c>
      <c r="R589" s="50">
        <v>18.6782</v>
      </c>
      <c r="S589" s="50">
        <v>6.1021000000000001</v>
      </c>
      <c r="T589" s="46">
        <v>-12.5761</v>
      </c>
    </row>
    <row r="590" spans="16:20" x14ac:dyDescent="0.25">
      <c r="P590" s="18">
        <v>589</v>
      </c>
      <c r="Q590" s="50">
        <v>135.96129999999999</v>
      </c>
      <c r="R590" s="50">
        <v>35.961300000000001</v>
      </c>
      <c r="S590" s="50">
        <v>19.882200000000001</v>
      </c>
      <c r="T590" s="46">
        <v>-16.0792</v>
      </c>
    </row>
    <row r="591" spans="16:20" x14ac:dyDescent="0.25">
      <c r="P591" s="18">
        <v>590</v>
      </c>
      <c r="Q591" s="50">
        <v>79.215699999999998</v>
      </c>
      <c r="R591" s="50">
        <v>0</v>
      </c>
      <c r="S591" s="50">
        <v>-13.4739</v>
      </c>
      <c r="T591" s="46">
        <v>-13.4739</v>
      </c>
    </row>
    <row r="592" spans="16:20" x14ac:dyDescent="0.25">
      <c r="P592" s="18">
        <v>591</v>
      </c>
      <c r="Q592" s="50">
        <v>80.497699999999995</v>
      </c>
      <c r="R592" s="50">
        <v>0</v>
      </c>
      <c r="S592" s="50">
        <v>-13.958399999999999</v>
      </c>
      <c r="T592" s="46">
        <v>-13.958399999999999</v>
      </c>
    </row>
    <row r="593" spans="16:20" x14ac:dyDescent="0.25">
      <c r="P593" s="18">
        <v>592</v>
      </c>
      <c r="Q593" s="50">
        <v>126.89919999999999</v>
      </c>
      <c r="R593" s="50">
        <v>26.8992</v>
      </c>
      <c r="S593" s="50">
        <v>13.3635</v>
      </c>
      <c r="T593" s="46">
        <v>-13.5358</v>
      </c>
    </row>
    <row r="594" spans="16:20" x14ac:dyDescent="0.25">
      <c r="P594" s="18">
        <v>593</v>
      </c>
      <c r="Q594" s="50">
        <v>75.461699999999993</v>
      </c>
      <c r="R594" s="50">
        <v>0</v>
      </c>
      <c r="S594" s="50">
        <v>-14.5526</v>
      </c>
      <c r="T594" s="46">
        <v>-14.5526</v>
      </c>
    </row>
    <row r="595" spans="16:20" x14ac:dyDescent="0.25">
      <c r="P595" s="18">
        <v>594</v>
      </c>
      <c r="Q595" s="50">
        <v>101.0021</v>
      </c>
      <c r="R595" s="50">
        <v>1.0021</v>
      </c>
      <c r="S595" s="50">
        <v>-10.423299999999999</v>
      </c>
      <c r="T595" s="46">
        <v>-11.4254</v>
      </c>
    </row>
    <row r="596" spans="16:20" x14ac:dyDescent="0.25">
      <c r="P596" s="18">
        <v>595</v>
      </c>
      <c r="Q596" s="50">
        <v>97.237399999999994</v>
      </c>
      <c r="R596" s="50">
        <v>0</v>
      </c>
      <c r="S596" s="50">
        <v>-13.053599999999999</v>
      </c>
      <c r="T596" s="46">
        <v>-13.053599999999999</v>
      </c>
    </row>
    <row r="597" spans="16:20" x14ac:dyDescent="0.25">
      <c r="P597" s="18">
        <v>596</v>
      </c>
      <c r="Q597" s="50">
        <v>110.0742</v>
      </c>
      <c r="R597" s="50">
        <v>10.074199999999999</v>
      </c>
      <c r="S597" s="50">
        <v>-3.0034999999999998</v>
      </c>
      <c r="T597" s="46">
        <v>-13.0777</v>
      </c>
    </row>
    <row r="598" spans="16:20" x14ac:dyDescent="0.25">
      <c r="P598" s="18">
        <v>597</v>
      </c>
      <c r="Q598" s="50">
        <v>62.4101</v>
      </c>
      <c r="R598" s="50">
        <v>0</v>
      </c>
      <c r="S598" s="50">
        <v>-14.5379</v>
      </c>
      <c r="T598" s="46">
        <v>-14.5379</v>
      </c>
    </row>
    <row r="599" spans="16:20" x14ac:dyDescent="0.25">
      <c r="P599" s="18">
        <v>598</v>
      </c>
      <c r="Q599" s="50">
        <v>108.4053</v>
      </c>
      <c r="R599" s="50">
        <v>8.4053000000000004</v>
      </c>
      <c r="S599" s="50">
        <v>-1.7154</v>
      </c>
      <c r="T599" s="46">
        <v>-10.120799999999999</v>
      </c>
    </row>
    <row r="600" spans="16:20" x14ac:dyDescent="0.25">
      <c r="P600" s="18">
        <v>599</v>
      </c>
      <c r="Q600" s="50">
        <v>94.747</v>
      </c>
      <c r="R600" s="50">
        <v>0</v>
      </c>
      <c r="S600" s="50">
        <v>-9.9635999999999996</v>
      </c>
      <c r="T600" s="46">
        <v>-9.9635999999999996</v>
      </c>
    </row>
    <row r="601" spans="16:20" x14ac:dyDescent="0.25">
      <c r="P601" s="18">
        <v>600</v>
      </c>
      <c r="Q601" s="50">
        <v>78.766400000000004</v>
      </c>
      <c r="R601" s="50">
        <v>0</v>
      </c>
      <c r="S601" s="50">
        <v>-11.941800000000001</v>
      </c>
      <c r="T601" s="46">
        <v>-11.941800000000001</v>
      </c>
    </row>
    <row r="602" spans="16:20" x14ac:dyDescent="0.25">
      <c r="P602" s="18">
        <v>601</v>
      </c>
      <c r="Q602" s="50">
        <v>120.4406</v>
      </c>
      <c r="R602" s="50">
        <v>20.4406</v>
      </c>
      <c r="S602" s="50">
        <v>6.6863000000000001</v>
      </c>
      <c r="T602" s="46">
        <v>-13.754300000000001</v>
      </c>
    </row>
    <row r="603" spans="16:20" x14ac:dyDescent="0.25">
      <c r="P603" s="18">
        <v>602</v>
      </c>
      <c r="Q603" s="50">
        <v>120.196</v>
      </c>
      <c r="R603" s="50">
        <v>20.196000000000002</v>
      </c>
      <c r="S603" s="50">
        <v>4.2923</v>
      </c>
      <c r="T603" s="46">
        <v>-15.903700000000001</v>
      </c>
    </row>
    <row r="604" spans="16:20" x14ac:dyDescent="0.25">
      <c r="P604" s="18">
        <v>603</v>
      </c>
      <c r="Q604" s="50">
        <v>78.373900000000006</v>
      </c>
      <c r="R604" s="50">
        <v>0</v>
      </c>
      <c r="S604" s="50">
        <v>-14.4321</v>
      </c>
      <c r="T604" s="46">
        <v>-14.4321</v>
      </c>
    </row>
    <row r="605" spans="16:20" x14ac:dyDescent="0.25">
      <c r="P605" s="18">
        <v>604</v>
      </c>
      <c r="Q605" s="50">
        <v>208.66810000000001</v>
      </c>
      <c r="R605" s="50">
        <v>108.6681</v>
      </c>
      <c r="S605" s="50">
        <v>93.557500000000005</v>
      </c>
      <c r="T605" s="46">
        <v>-15.1106</v>
      </c>
    </row>
    <row r="606" spans="16:20" x14ac:dyDescent="0.25">
      <c r="P606" s="18">
        <v>605</v>
      </c>
      <c r="Q606" s="50">
        <v>130.33019999999999</v>
      </c>
      <c r="R606" s="50">
        <v>30.330200000000001</v>
      </c>
      <c r="S606" s="50">
        <v>13.965</v>
      </c>
      <c r="T606" s="46">
        <v>-16.365100000000002</v>
      </c>
    </row>
    <row r="607" spans="16:20" x14ac:dyDescent="0.25">
      <c r="P607" s="18">
        <v>606</v>
      </c>
      <c r="Q607" s="50">
        <v>78.375299999999996</v>
      </c>
      <c r="R607" s="50">
        <v>0</v>
      </c>
      <c r="S607" s="50">
        <v>-13.4262</v>
      </c>
      <c r="T607" s="46">
        <v>-13.4262</v>
      </c>
    </row>
    <row r="608" spans="16:20" x14ac:dyDescent="0.25">
      <c r="P608" s="18">
        <v>607</v>
      </c>
      <c r="Q608" s="50">
        <v>154.83539999999999</v>
      </c>
      <c r="R608" s="50">
        <v>54.8354</v>
      </c>
      <c r="S608" s="50">
        <v>41.521999999999998</v>
      </c>
      <c r="T608" s="46">
        <v>-13.313499999999999</v>
      </c>
    </row>
    <row r="609" spans="16:20" x14ac:dyDescent="0.25">
      <c r="P609" s="18">
        <v>608</v>
      </c>
      <c r="Q609" s="50">
        <v>145.64879999999999</v>
      </c>
      <c r="R609" s="50">
        <v>45.648800000000001</v>
      </c>
      <c r="S609" s="50">
        <v>27.515000000000001</v>
      </c>
      <c r="T609" s="46">
        <v>-18.133800000000001</v>
      </c>
    </row>
    <row r="610" spans="16:20" x14ac:dyDescent="0.25">
      <c r="P610" s="18">
        <v>609</v>
      </c>
      <c r="Q610" s="50">
        <v>80.001300000000001</v>
      </c>
      <c r="R610" s="50">
        <v>0</v>
      </c>
      <c r="S610" s="50">
        <v>-13.787599999999999</v>
      </c>
      <c r="T610" s="46">
        <v>-13.787599999999999</v>
      </c>
    </row>
    <row r="611" spans="16:20" x14ac:dyDescent="0.25">
      <c r="P611" s="18">
        <v>610</v>
      </c>
      <c r="Q611" s="50">
        <v>145.93209999999999</v>
      </c>
      <c r="R611" s="50">
        <v>45.932099999999998</v>
      </c>
      <c r="S611" s="50">
        <v>29.441500000000001</v>
      </c>
      <c r="T611" s="46">
        <v>-16.490600000000001</v>
      </c>
    </row>
    <row r="612" spans="16:20" x14ac:dyDescent="0.25">
      <c r="P612" s="18">
        <v>611</v>
      </c>
      <c r="Q612" s="50">
        <v>163.3321</v>
      </c>
      <c r="R612" s="50">
        <v>63.332099999999997</v>
      </c>
      <c r="S612" s="50">
        <v>49.8812</v>
      </c>
      <c r="T612" s="46">
        <v>-13.451000000000001</v>
      </c>
    </row>
    <row r="613" spans="16:20" x14ac:dyDescent="0.25">
      <c r="P613" s="18">
        <v>612</v>
      </c>
      <c r="Q613" s="50">
        <v>75.388900000000007</v>
      </c>
      <c r="R613" s="50">
        <v>0</v>
      </c>
      <c r="S613" s="50">
        <v>-15.121499999999999</v>
      </c>
      <c r="T613" s="46">
        <v>-15.121499999999999</v>
      </c>
    </row>
    <row r="614" spans="16:20" x14ac:dyDescent="0.25">
      <c r="P614" s="18">
        <v>613</v>
      </c>
      <c r="Q614" s="50">
        <v>100.86660000000001</v>
      </c>
      <c r="R614" s="50">
        <v>0.86660000000000004</v>
      </c>
      <c r="S614" s="50">
        <v>-13.4682</v>
      </c>
      <c r="T614" s="46">
        <v>-14.3348</v>
      </c>
    </row>
    <row r="615" spans="16:20" x14ac:dyDescent="0.25">
      <c r="P615" s="18">
        <v>614</v>
      </c>
      <c r="Q615" s="50">
        <v>125.8321</v>
      </c>
      <c r="R615" s="50">
        <v>25.832100000000001</v>
      </c>
      <c r="S615" s="50">
        <v>12.368</v>
      </c>
      <c r="T615" s="46">
        <v>-13.4641</v>
      </c>
    </row>
    <row r="616" spans="16:20" x14ac:dyDescent="0.25">
      <c r="P616" s="18">
        <v>615</v>
      </c>
      <c r="Q616" s="50">
        <v>75.745500000000007</v>
      </c>
      <c r="R616" s="50">
        <v>0</v>
      </c>
      <c r="S616" s="50">
        <v>-12.978400000000001</v>
      </c>
      <c r="T616" s="46">
        <v>-12.978400000000001</v>
      </c>
    </row>
    <row r="617" spans="16:20" x14ac:dyDescent="0.25">
      <c r="P617" s="18">
        <v>616</v>
      </c>
      <c r="Q617" s="50">
        <v>68.122900000000001</v>
      </c>
      <c r="R617" s="50">
        <v>0</v>
      </c>
      <c r="S617" s="50">
        <v>-14.6128</v>
      </c>
      <c r="T617" s="46">
        <v>-14.6128</v>
      </c>
    </row>
    <row r="618" spans="16:20" x14ac:dyDescent="0.25">
      <c r="P618" s="18">
        <v>617</v>
      </c>
      <c r="Q618" s="50">
        <v>79.443600000000004</v>
      </c>
      <c r="R618" s="50">
        <v>0</v>
      </c>
      <c r="S618" s="50">
        <v>-18.379300000000001</v>
      </c>
      <c r="T618" s="46">
        <v>-18.379300000000001</v>
      </c>
    </row>
    <row r="619" spans="16:20" x14ac:dyDescent="0.25">
      <c r="P619" s="18">
        <v>618</v>
      </c>
      <c r="Q619" s="50">
        <v>79.459299999999999</v>
      </c>
      <c r="R619" s="50">
        <v>0</v>
      </c>
      <c r="S619" s="50">
        <v>-14.3233</v>
      </c>
      <c r="T619" s="46">
        <v>-14.3233</v>
      </c>
    </row>
    <row r="620" spans="16:20" x14ac:dyDescent="0.25">
      <c r="P620" s="18">
        <v>619</v>
      </c>
      <c r="Q620" s="50">
        <v>53.857199999999999</v>
      </c>
      <c r="R620" s="50">
        <v>0</v>
      </c>
      <c r="S620" s="50">
        <v>-14.5593</v>
      </c>
      <c r="T620" s="46">
        <v>-14.5593</v>
      </c>
    </row>
    <row r="621" spans="16:20" x14ac:dyDescent="0.25">
      <c r="P621" s="18">
        <v>620</v>
      </c>
      <c r="Q621" s="50">
        <v>97.756799999999998</v>
      </c>
      <c r="R621" s="50">
        <v>0</v>
      </c>
      <c r="S621" s="50">
        <v>-10.7044</v>
      </c>
      <c r="T621" s="46">
        <v>-10.7044</v>
      </c>
    </row>
    <row r="622" spans="16:20" x14ac:dyDescent="0.25">
      <c r="P622" s="18">
        <v>621</v>
      </c>
      <c r="Q622" s="50">
        <v>130.60470000000001</v>
      </c>
      <c r="R622" s="50">
        <v>30.604600000000001</v>
      </c>
      <c r="S622" s="50">
        <v>16.9877</v>
      </c>
      <c r="T622" s="46">
        <v>-13.617000000000001</v>
      </c>
    </row>
    <row r="623" spans="16:20" x14ac:dyDescent="0.25">
      <c r="P623" s="18">
        <v>622</v>
      </c>
      <c r="Q623" s="50">
        <v>113.721</v>
      </c>
      <c r="R623" s="50">
        <v>13.721</v>
      </c>
      <c r="S623" s="50">
        <v>-0.57320000000000004</v>
      </c>
      <c r="T623" s="46">
        <v>-14.2941</v>
      </c>
    </row>
    <row r="624" spans="16:20" x14ac:dyDescent="0.25">
      <c r="P624" s="18">
        <v>623</v>
      </c>
      <c r="Q624" s="50">
        <v>77.802400000000006</v>
      </c>
      <c r="R624" s="50">
        <v>0</v>
      </c>
      <c r="S624" s="50">
        <v>-14.0122</v>
      </c>
      <c r="T624" s="46">
        <v>-14.0122</v>
      </c>
    </row>
    <row r="625" spans="16:20" x14ac:dyDescent="0.25">
      <c r="P625" s="18">
        <v>624</v>
      </c>
      <c r="Q625" s="50">
        <v>83.223799999999997</v>
      </c>
      <c r="R625" s="50">
        <v>0</v>
      </c>
      <c r="S625" s="50">
        <v>-12.6495</v>
      </c>
      <c r="T625" s="46">
        <v>-12.6495</v>
      </c>
    </row>
    <row r="626" spans="16:20" x14ac:dyDescent="0.25">
      <c r="P626" s="18">
        <v>625</v>
      </c>
      <c r="Q626" s="50">
        <v>104.0106</v>
      </c>
      <c r="R626" s="50">
        <v>4.0106000000000002</v>
      </c>
      <c r="S626" s="50">
        <v>-11.8909</v>
      </c>
      <c r="T626" s="46">
        <v>-15.9015</v>
      </c>
    </row>
    <row r="627" spans="16:20" x14ac:dyDescent="0.25">
      <c r="P627" s="18">
        <v>626</v>
      </c>
      <c r="Q627" s="50">
        <v>68.279200000000003</v>
      </c>
      <c r="R627" s="50">
        <v>0</v>
      </c>
      <c r="S627" s="50">
        <v>-17.570499999999999</v>
      </c>
      <c r="T627" s="46">
        <v>-17.570499999999999</v>
      </c>
    </row>
    <row r="628" spans="16:20" x14ac:dyDescent="0.25">
      <c r="P628" s="18">
        <v>627</v>
      </c>
      <c r="Q628" s="50">
        <v>99.109700000000004</v>
      </c>
      <c r="R628" s="50">
        <v>0</v>
      </c>
      <c r="S628" s="50">
        <v>-10.0871</v>
      </c>
      <c r="T628" s="46">
        <v>-10.0871</v>
      </c>
    </row>
    <row r="629" spans="16:20" x14ac:dyDescent="0.25">
      <c r="P629" s="18">
        <v>628</v>
      </c>
      <c r="Q629" s="50">
        <v>65.479600000000005</v>
      </c>
      <c r="R629" s="50">
        <v>0</v>
      </c>
      <c r="S629" s="50">
        <v>-12.984</v>
      </c>
      <c r="T629" s="46">
        <v>-12.984</v>
      </c>
    </row>
    <row r="630" spans="16:20" x14ac:dyDescent="0.25">
      <c r="P630" s="18">
        <v>629</v>
      </c>
      <c r="Q630" s="50">
        <v>125.7106</v>
      </c>
      <c r="R630" s="50">
        <v>25.710599999999999</v>
      </c>
      <c r="S630" s="50">
        <v>12.941700000000001</v>
      </c>
      <c r="T630" s="46">
        <v>-12.7689</v>
      </c>
    </row>
    <row r="631" spans="16:20" x14ac:dyDescent="0.25">
      <c r="P631" s="18">
        <v>630</v>
      </c>
      <c r="Q631" s="50">
        <v>87.940399999999997</v>
      </c>
      <c r="R631" s="50">
        <v>0</v>
      </c>
      <c r="S631" s="50">
        <v>-12.5038</v>
      </c>
      <c r="T631" s="46">
        <v>-12.5038</v>
      </c>
    </row>
    <row r="632" spans="16:20" x14ac:dyDescent="0.25">
      <c r="P632" s="18">
        <v>631</v>
      </c>
      <c r="Q632" s="50">
        <v>64.918199999999999</v>
      </c>
      <c r="R632" s="50">
        <v>0</v>
      </c>
      <c r="S632" s="50">
        <v>-16.530999999999999</v>
      </c>
      <c r="T632" s="46">
        <v>-16.530999999999999</v>
      </c>
    </row>
    <row r="633" spans="16:20" x14ac:dyDescent="0.25">
      <c r="P633" s="18">
        <v>632</v>
      </c>
      <c r="Q633" s="50">
        <v>128.19300000000001</v>
      </c>
      <c r="R633" s="50">
        <v>28.193000000000001</v>
      </c>
      <c r="S633" s="50">
        <v>15.873200000000001</v>
      </c>
      <c r="T633" s="46">
        <v>-12.319699999999999</v>
      </c>
    </row>
    <row r="634" spans="16:20" x14ac:dyDescent="0.25">
      <c r="P634" s="18">
        <v>633</v>
      </c>
      <c r="Q634" s="50">
        <v>55.036000000000001</v>
      </c>
      <c r="R634" s="50">
        <v>0</v>
      </c>
      <c r="S634" s="50">
        <v>-14.966100000000001</v>
      </c>
      <c r="T634" s="46">
        <v>-14.966100000000001</v>
      </c>
    </row>
    <row r="635" spans="16:20" x14ac:dyDescent="0.25">
      <c r="P635" s="18">
        <v>634</v>
      </c>
      <c r="Q635" s="50">
        <v>62.975900000000003</v>
      </c>
      <c r="R635" s="50">
        <v>0</v>
      </c>
      <c r="S635" s="50">
        <v>-16.210799999999999</v>
      </c>
      <c r="T635" s="46">
        <v>-16.210799999999999</v>
      </c>
    </row>
    <row r="636" spans="16:20" x14ac:dyDescent="0.25">
      <c r="P636" s="18">
        <v>635</v>
      </c>
      <c r="Q636" s="50">
        <v>140.1249</v>
      </c>
      <c r="R636" s="50">
        <v>40.124899999999997</v>
      </c>
      <c r="S636" s="50">
        <v>24.494800000000001</v>
      </c>
      <c r="T636" s="46">
        <v>-15.630100000000001</v>
      </c>
    </row>
    <row r="637" spans="16:20" x14ac:dyDescent="0.25">
      <c r="P637" s="18">
        <v>636</v>
      </c>
      <c r="Q637" s="50">
        <v>164.35929999999999</v>
      </c>
      <c r="R637" s="50">
        <v>64.359300000000005</v>
      </c>
      <c r="S637" s="50">
        <v>50.6006</v>
      </c>
      <c r="T637" s="46">
        <v>-13.758699999999999</v>
      </c>
    </row>
    <row r="638" spans="16:20" x14ac:dyDescent="0.25">
      <c r="P638" s="18">
        <v>637</v>
      </c>
      <c r="Q638" s="50">
        <v>93.7483</v>
      </c>
      <c r="R638" s="50">
        <v>0</v>
      </c>
      <c r="S638" s="50">
        <v>-12.1043</v>
      </c>
      <c r="T638" s="46">
        <v>-12.1043</v>
      </c>
    </row>
    <row r="639" spans="16:20" x14ac:dyDescent="0.25">
      <c r="P639" s="18">
        <v>638</v>
      </c>
      <c r="Q639" s="50">
        <v>96.143199999999993</v>
      </c>
      <c r="R639" s="50">
        <v>0</v>
      </c>
      <c r="S639" s="50">
        <v>-10.795400000000001</v>
      </c>
      <c r="T639" s="46">
        <v>-10.795400000000001</v>
      </c>
    </row>
    <row r="640" spans="16:20" x14ac:dyDescent="0.25">
      <c r="P640" s="18">
        <v>639</v>
      </c>
      <c r="Q640" s="50">
        <v>83.608199999999997</v>
      </c>
      <c r="R640" s="50">
        <v>0</v>
      </c>
      <c r="S640" s="50">
        <v>-17.084499999999998</v>
      </c>
      <c r="T640" s="46">
        <v>-17.084499999999998</v>
      </c>
    </row>
    <row r="641" spans="16:20" x14ac:dyDescent="0.25">
      <c r="P641" s="18">
        <v>640</v>
      </c>
      <c r="Q641" s="50">
        <v>114.99550000000001</v>
      </c>
      <c r="R641" s="50">
        <v>14.9955</v>
      </c>
      <c r="S641" s="50">
        <v>-0.63580000000000003</v>
      </c>
      <c r="T641" s="46">
        <v>-15.6313</v>
      </c>
    </row>
    <row r="642" spans="16:20" x14ac:dyDescent="0.25">
      <c r="P642" s="18">
        <v>641</v>
      </c>
      <c r="Q642" s="50">
        <v>107.7805</v>
      </c>
      <c r="R642" s="50">
        <v>7.7805</v>
      </c>
      <c r="S642" s="50">
        <v>-5.2443999999999997</v>
      </c>
      <c r="T642" s="46">
        <v>-13.024900000000001</v>
      </c>
    </row>
    <row r="643" spans="16:20" x14ac:dyDescent="0.25">
      <c r="P643" s="18">
        <v>642</v>
      </c>
      <c r="Q643" s="50">
        <v>110.5377</v>
      </c>
      <c r="R643" s="50">
        <v>10.537699999999999</v>
      </c>
      <c r="S643" s="50">
        <v>-0.93779999999999997</v>
      </c>
      <c r="T643" s="46">
        <v>-11.4754</v>
      </c>
    </row>
    <row r="644" spans="16:20" x14ac:dyDescent="0.25">
      <c r="P644" s="18">
        <v>643</v>
      </c>
      <c r="Q644" s="50">
        <v>70.711399999999998</v>
      </c>
      <c r="R644" s="50">
        <v>0</v>
      </c>
      <c r="S644" s="50">
        <v>-12.4697</v>
      </c>
      <c r="T644" s="46">
        <v>-12.4697</v>
      </c>
    </row>
    <row r="645" spans="16:20" x14ac:dyDescent="0.25">
      <c r="P645" s="18">
        <v>644</v>
      </c>
      <c r="Q645" s="50">
        <v>65.549599999999998</v>
      </c>
      <c r="R645" s="50">
        <v>0</v>
      </c>
      <c r="S645" s="50">
        <v>-12.838100000000001</v>
      </c>
      <c r="T645" s="46">
        <v>-12.838100000000001</v>
      </c>
    </row>
    <row r="646" spans="16:20" x14ac:dyDescent="0.25">
      <c r="P646" s="18">
        <v>645</v>
      </c>
      <c r="Q646" s="50">
        <v>154.744</v>
      </c>
      <c r="R646" s="50">
        <v>54.744</v>
      </c>
      <c r="S646" s="50">
        <v>40.7652</v>
      </c>
      <c r="T646" s="46">
        <v>-13.9787</v>
      </c>
    </row>
    <row r="647" spans="16:20" x14ac:dyDescent="0.25">
      <c r="P647" s="18">
        <v>646</v>
      </c>
      <c r="Q647" s="50">
        <v>107.4477</v>
      </c>
      <c r="R647" s="50">
        <v>7.4477000000000002</v>
      </c>
      <c r="S647" s="50">
        <v>-6.7220000000000004</v>
      </c>
      <c r="T647" s="46">
        <v>-14.169700000000001</v>
      </c>
    </row>
    <row r="648" spans="16:20" x14ac:dyDescent="0.25">
      <c r="P648" s="18">
        <v>647</v>
      </c>
      <c r="Q648" s="50">
        <v>102.3276</v>
      </c>
      <c r="R648" s="50">
        <v>2.3275999999999999</v>
      </c>
      <c r="S648" s="50">
        <v>-11.1464</v>
      </c>
      <c r="T648" s="46">
        <v>-13.4741</v>
      </c>
    </row>
    <row r="649" spans="16:20" x14ac:dyDescent="0.25">
      <c r="P649" s="18">
        <v>648</v>
      </c>
      <c r="Q649" s="50">
        <v>68.287800000000004</v>
      </c>
      <c r="R649" s="50">
        <v>0</v>
      </c>
      <c r="S649" s="50">
        <v>-14.8078</v>
      </c>
      <c r="T649" s="46">
        <v>-14.8078</v>
      </c>
    </row>
    <row r="650" spans="16:20" x14ac:dyDescent="0.25">
      <c r="P650" s="18">
        <v>649</v>
      </c>
      <c r="Q650" s="50">
        <v>128.94720000000001</v>
      </c>
      <c r="R650" s="50">
        <v>28.947199999999999</v>
      </c>
      <c r="S650" s="50">
        <v>15.3687</v>
      </c>
      <c r="T650" s="46">
        <v>-13.5785</v>
      </c>
    </row>
    <row r="651" spans="16:20" x14ac:dyDescent="0.25">
      <c r="P651" s="18">
        <v>650</v>
      </c>
      <c r="Q651" s="50">
        <v>95.550700000000006</v>
      </c>
      <c r="R651" s="50">
        <v>0</v>
      </c>
      <c r="S651" s="50">
        <v>-12.5059</v>
      </c>
      <c r="T651" s="46">
        <v>-12.5059</v>
      </c>
    </row>
    <row r="652" spans="16:20" x14ac:dyDescent="0.25">
      <c r="P652" s="18">
        <v>651</v>
      </c>
      <c r="Q652" s="50">
        <v>117.1477</v>
      </c>
      <c r="R652" s="50">
        <v>17.1477</v>
      </c>
      <c r="S652" s="50">
        <v>3.2884000000000002</v>
      </c>
      <c r="T652" s="46">
        <v>-13.859299999999999</v>
      </c>
    </row>
    <row r="653" spans="16:20" x14ac:dyDescent="0.25">
      <c r="P653" s="18">
        <v>652</v>
      </c>
      <c r="Q653" s="50">
        <v>115.8878</v>
      </c>
      <c r="R653" s="50">
        <v>15.8878</v>
      </c>
      <c r="S653" s="50">
        <v>1.6583000000000001</v>
      </c>
      <c r="T653" s="46">
        <v>-14.2294</v>
      </c>
    </row>
    <row r="654" spans="16:20" x14ac:dyDescent="0.25">
      <c r="P654" s="18">
        <v>653</v>
      </c>
      <c r="Q654" s="50">
        <v>95.725099999999998</v>
      </c>
      <c r="R654" s="50">
        <v>0</v>
      </c>
      <c r="S654" s="50">
        <v>-10.1694</v>
      </c>
      <c r="T654" s="46">
        <v>-10.1694</v>
      </c>
    </row>
    <row r="655" spans="16:20" x14ac:dyDescent="0.25">
      <c r="P655" s="18">
        <v>654</v>
      </c>
      <c r="Q655" s="50">
        <v>86.264399999999995</v>
      </c>
      <c r="R655" s="50">
        <v>0</v>
      </c>
      <c r="S655" s="50">
        <v>-14.5556</v>
      </c>
      <c r="T655" s="46">
        <v>-14.5556</v>
      </c>
    </row>
    <row r="656" spans="16:20" x14ac:dyDescent="0.25">
      <c r="P656" s="18">
        <v>655</v>
      </c>
      <c r="Q656" s="50">
        <v>112.2227</v>
      </c>
      <c r="R656" s="50">
        <v>12.2227</v>
      </c>
      <c r="S656" s="50">
        <v>-0.44209999999999999</v>
      </c>
      <c r="T656" s="46">
        <v>-12.6648</v>
      </c>
    </row>
    <row r="657" spans="16:20" x14ac:dyDescent="0.25">
      <c r="P657" s="18">
        <v>656</v>
      </c>
      <c r="Q657" s="50">
        <v>79.864199999999997</v>
      </c>
      <c r="R657" s="50">
        <v>0</v>
      </c>
      <c r="S657" s="50">
        <v>-15.4003</v>
      </c>
      <c r="T657" s="46">
        <v>-15.4003</v>
      </c>
    </row>
    <row r="658" spans="16:20" x14ac:dyDescent="0.25">
      <c r="P658" s="18">
        <v>657</v>
      </c>
      <c r="Q658" s="50">
        <v>74.034700000000001</v>
      </c>
      <c r="R658" s="50">
        <v>0</v>
      </c>
      <c r="S658" s="50">
        <v>-15.184100000000001</v>
      </c>
      <c r="T658" s="46">
        <v>-15.184100000000001</v>
      </c>
    </row>
    <row r="659" spans="16:20" x14ac:dyDescent="0.25">
      <c r="P659" s="18">
        <v>658</v>
      </c>
      <c r="Q659" s="50">
        <v>69.289900000000003</v>
      </c>
      <c r="R659" s="50">
        <v>0</v>
      </c>
      <c r="S659" s="50">
        <v>-17.098800000000001</v>
      </c>
      <c r="T659" s="46">
        <v>-17.098800000000001</v>
      </c>
    </row>
    <row r="660" spans="16:20" x14ac:dyDescent="0.25">
      <c r="P660" s="18">
        <v>659</v>
      </c>
      <c r="Q660" s="50">
        <v>122.4308</v>
      </c>
      <c r="R660" s="50">
        <v>22.430800000000001</v>
      </c>
      <c r="S660" s="50">
        <v>7.7397999999999998</v>
      </c>
      <c r="T660" s="46">
        <v>-14.691000000000001</v>
      </c>
    </row>
    <row r="661" spans="16:20" x14ac:dyDescent="0.25">
      <c r="P661" s="18">
        <v>660</v>
      </c>
      <c r="Q661" s="50">
        <v>103.4905</v>
      </c>
      <c r="R661" s="50">
        <v>3.4904999999999999</v>
      </c>
      <c r="S661" s="50">
        <v>-11.059699999999999</v>
      </c>
      <c r="T661" s="46">
        <v>-14.5502</v>
      </c>
    </row>
    <row r="662" spans="16:20" x14ac:dyDescent="0.25">
      <c r="P662" s="18">
        <v>661</v>
      </c>
      <c r="Q662" s="50">
        <v>113.3169</v>
      </c>
      <c r="R662" s="50">
        <v>13.3169</v>
      </c>
      <c r="S662" s="50">
        <v>-5.7793999999999999</v>
      </c>
      <c r="T662" s="46">
        <v>-19.096299999999999</v>
      </c>
    </row>
    <row r="663" spans="16:20" x14ac:dyDescent="0.25">
      <c r="P663" s="18">
        <v>662</v>
      </c>
      <c r="Q663" s="50">
        <v>74.267799999999994</v>
      </c>
      <c r="R663" s="50">
        <v>0</v>
      </c>
      <c r="S663" s="50">
        <v>-15.407999999999999</v>
      </c>
      <c r="T663" s="46">
        <v>-15.407999999999999</v>
      </c>
    </row>
    <row r="664" spans="16:20" x14ac:dyDescent="0.25">
      <c r="P664" s="18">
        <v>663</v>
      </c>
      <c r="Q664" s="50">
        <v>68.001099999999994</v>
      </c>
      <c r="R664" s="50">
        <v>0</v>
      </c>
      <c r="S664" s="50">
        <v>-12.996600000000001</v>
      </c>
      <c r="T664" s="46">
        <v>-12.996600000000001</v>
      </c>
    </row>
    <row r="665" spans="16:20" x14ac:dyDescent="0.25">
      <c r="P665" s="18">
        <v>664</v>
      </c>
      <c r="Q665" s="50">
        <v>81.977500000000006</v>
      </c>
      <c r="R665" s="50">
        <v>0</v>
      </c>
      <c r="S665" s="50">
        <v>-11.9765</v>
      </c>
      <c r="T665" s="46">
        <v>-11.9765</v>
      </c>
    </row>
    <row r="666" spans="16:20" x14ac:dyDescent="0.25">
      <c r="P666" s="18">
        <v>665</v>
      </c>
      <c r="Q666" s="50">
        <v>108.7478</v>
      </c>
      <c r="R666" s="50">
        <v>8.7477999999999998</v>
      </c>
      <c r="S666" s="50">
        <v>-3.2646000000000002</v>
      </c>
      <c r="T666" s="46">
        <v>-12.0124</v>
      </c>
    </row>
    <row r="667" spans="16:20" x14ac:dyDescent="0.25">
      <c r="P667" s="18">
        <v>666</v>
      </c>
      <c r="Q667" s="50">
        <v>130.0008</v>
      </c>
      <c r="R667" s="50">
        <v>30.000800000000002</v>
      </c>
      <c r="S667" s="50">
        <v>16.771799999999999</v>
      </c>
      <c r="T667" s="46">
        <v>-13.228999999999999</v>
      </c>
    </row>
    <row r="668" spans="16:20" x14ac:dyDescent="0.25">
      <c r="P668" s="18">
        <v>667</v>
      </c>
      <c r="Q668" s="50">
        <v>114.2122</v>
      </c>
      <c r="R668" s="50">
        <v>14.212199999999999</v>
      </c>
      <c r="S668" s="50">
        <v>2.3944000000000001</v>
      </c>
      <c r="T668" s="46">
        <v>-11.8178</v>
      </c>
    </row>
    <row r="669" spans="16:20" x14ac:dyDescent="0.25">
      <c r="P669" s="18">
        <v>668</v>
      </c>
      <c r="Q669" s="50">
        <v>80.045000000000002</v>
      </c>
      <c r="R669" s="50">
        <v>0</v>
      </c>
      <c r="S669" s="50">
        <v>-13.3537</v>
      </c>
      <c r="T669" s="46">
        <v>-13.3537</v>
      </c>
    </row>
    <row r="670" spans="16:20" x14ac:dyDescent="0.25">
      <c r="P670" s="18">
        <v>669</v>
      </c>
      <c r="Q670" s="50">
        <v>54.670900000000003</v>
      </c>
      <c r="R670" s="50">
        <v>0</v>
      </c>
      <c r="S670" s="50">
        <v>-13.765599999999999</v>
      </c>
      <c r="T670" s="46">
        <v>-13.765599999999999</v>
      </c>
    </row>
    <row r="671" spans="16:20" x14ac:dyDescent="0.25">
      <c r="P671" s="18">
        <v>670</v>
      </c>
      <c r="Q671" s="50">
        <v>174.53100000000001</v>
      </c>
      <c r="R671" s="50">
        <v>74.531000000000006</v>
      </c>
      <c r="S671" s="50">
        <v>59.476300000000002</v>
      </c>
      <c r="T671" s="46">
        <v>-15.0547</v>
      </c>
    </row>
    <row r="672" spans="16:20" x14ac:dyDescent="0.25">
      <c r="P672" s="18">
        <v>671</v>
      </c>
      <c r="Q672" s="50">
        <v>114.62139999999999</v>
      </c>
      <c r="R672" s="50">
        <v>14.6214</v>
      </c>
      <c r="S672" s="50">
        <v>1.4518</v>
      </c>
      <c r="T672" s="46">
        <v>-13.169600000000001</v>
      </c>
    </row>
    <row r="673" spans="16:20" x14ac:dyDescent="0.25">
      <c r="P673" s="18">
        <v>672</v>
      </c>
      <c r="Q673" s="50">
        <v>93.930199999999999</v>
      </c>
      <c r="R673" s="50">
        <v>0</v>
      </c>
      <c r="S673" s="50">
        <v>-11.298</v>
      </c>
      <c r="T673" s="46">
        <v>-11.298</v>
      </c>
    </row>
    <row r="674" spans="16:20" x14ac:dyDescent="0.25">
      <c r="P674" s="18">
        <v>673</v>
      </c>
      <c r="Q674" s="50">
        <v>133.35480000000001</v>
      </c>
      <c r="R674" s="50">
        <v>33.354799999999997</v>
      </c>
      <c r="S674" s="50">
        <v>20.714099999999998</v>
      </c>
      <c r="T674" s="46">
        <v>-12.6408</v>
      </c>
    </row>
    <row r="675" spans="16:20" x14ac:dyDescent="0.25">
      <c r="P675" s="18">
        <v>674</v>
      </c>
      <c r="Q675" s="50">
        <v>123.4238</v>
      </c>
      <c r="R675" s="50">
        <v>23.4238</v>
      </c>
      <c r="S675" s="50">
        <v>6.9741</v>
      </c>
      <c r="T675" s="46">
        <v>-16.4497</v>
      </c>
    </row>
    <row r="676" spans="16:20" x14ac:dyDescent="0.25">
      <c r="P676" s="18">
        <v>675</v>
      </c>
      <c r="Q676" s="50">
        <v>133.50110000000001</v>
      </c>
      <c r="R676" s="50">
        <v>33.501100000000001</v>
      </c>
      <c r="S676" s="50">
        <v>19.083400000000001</v>
      </c>
      <c r="T676" s="46">
        <v>-14.4177</v>
      </c>
    </row>
    <row r="677" spans="16:20" x14ac:dyDescent="0.25">
      <c r="P677" s="18">
        <v>676</v>
      </c>
      <c r="Q677" s="50">
        <v>69.295900000000003</v>
      </c>
      <c r="R677" s="50">
        <v>0</v>
      </c>
      <c r="S677" s="50">
        <v>-14.809100000000001</v>
      </c>
      <c r="T677" s="46">
        <v>-14.809100000000001</v>
      </c>
    </row>
    <row r="678" spans="16:20" x14ac:dyDescent="0.25">
      <c r="P678" s="18">
        <v>677</v>
      </c>
      <c r="Q678" s="50">
        <v>70.432500000000005</v>
      </c>
      <c r="R678" s="50">
        <v>0</v>
      </c>
      <c r="S678" s="50">
        <v>-16.317499999999999</v>
      </c>
      <c r="T678" s="46">
        <v>-16.317499999999999</v>
      </c>
    </row>
    <row r="679" spans="16:20" x14ac:dyDescent="0.25">
      <c r="P679" s="18">
        <v>678</v>
      </c>
      <c r="Q679" s="50">
        <v>136.4111</v>
      </c>
      <c r="R679" s="50">
        <v>36.411099999999998</v>
      </c>
      <c r="S679" s="50">
        <v>21.070599999999999</v>
      </c>
      <c r="T679" s="46">
        <v>-15.3405</v>
      </c>
    </row>
    <row r="680" spans="16:20" x14ac:dyDescent="0.25">
      <c r="P680" s="18">
        <v>679</v>
      </c>
      <c r="Q680" s="50">
        <v>67.3279</v>
      </c>
      <c r="R680" s="50">
        <v>0</v>
      </c>
      <c r="S680" s="50">
        <v>-12.785</v>
      </c>
      <c r="T680" s="46">
        <v>-12.785</v>
      </c>
    </row>
    <row r="681" spans="16:20" x14ac:dyDescent="0.25">
      <c r="P681" s="18">
        <v>680</v>
      </c>
      <c r="Q681" s="50">
        <v>83.78</v>
      </c>
      <c r="R681" s="50">
        <v>0</v>
      </c>
      <c r="S681" s="50">
        <v>-13.238899999999999</v>
      </c>
      <c r="T681" s="46">
        <v>-13.238899999999999</v>
      </c>
    </row>
    <row r="682" spans="16:20" x14ac:dyDescent="0.25">
      <c r="P682" s="18">
        <v>681</v>
      </c>
      <c r="Q682" s="50">
        <v>88.161799999999999</v>
      </c>
      <c r="R682" s="50">
        <v>0</v>
      </c>
      <c r="S682" s="50">
        <v>-16.942900000000002</v>
      </c>
      <c r="T682" s="46">
        <v>-16.942900000000002</v>
      </c>
    </row>
    <row r="683" spans="16:20" x14ac:dyDescent="0.25">
      <c r="P683" s="18">
        <v>682</v>
      </c>
      <c r="Q683" s="50">
        <v>94.944999999999993</v>
      </c>
      <c r="R683" s="50">
        <v>0</v>
      </c>
      <c r="S683" s="50">
        <v>-10.828099999999999</v>
      </c>
      <c r="T683" s="46">
        <v>-10.828099999999999</v>
      </c>
    </row>
    <row r="684" spans="16:20" x14ac:dyDescent="0.25">
      <c r="P684" s="18">
        <v>683</v>
      </c>
      <c r="Q684" s="50">
        <v>83.635199999999998</v>
      </c>
      <c r="R684" s="50">
        <v>0</v>
      </c>
      <c r="S684" s="50">
        <v>-11.6623</v>
      </c>
      <c r="T684" s="46">
        <v>-11.6623</v>
      </c>
    </row>
    <row r="685" spans="16:20" x14ac:dyDescent="0.25">
      <c r="P685" s="18">
        <v>684</v>
      </c>
      <c r="Q685" s="50">
        <v>78.712000000000003</v>
      </c>
      <c r="R685" s="50">
        <v>0</v>
      </c>
      <c r="S685" s="50">
        <v>-15.4534</v>
      </c>
      <c r="T685" s="46">
        <v>-15.4534</v>
      </c>
    </row>
    <row r="686" spans="16:20" x14ac:dyDescent="0.25">
      <c r="P686" s="18">
        <v>685</v>
      </c>
      <c r="Q686" s="50">
        <v>182.79179999999999</v>
      </c>
      <c r="R686" s="50">
        <v>82.791799999999995</v>
      </c>
      <c r="S686" s="50">
        <v>66.221599999999995</v>
      </c>
      <c r="T686" s="46">
        <v>-16.5702</v>
      </c>
    </row>
    <row r="687" spans="16:20" x14ac:dyDescent="0.25">
      <c r="P687" s="18">
        <v>686</v>
      </c>
      <c r="Q687" s="50">
        <v>127.66249999999999</v>
      </c>
      <c r="R687" s="50">
        <v>27.662500000000001</v>
      </c>
      <c r="S687" s="50">
        <v>12.8932</v>
      </c>
      <c r="T687" s="46">
        <v>-14.769299999999999</v>
      </c>
    </row>
    <row r="688" spans="16:20" x14ac:dyDescent="0.25">
      <c r="P688" s="18">
        <v>687</v>
      </c>
      <c r="Q688" s="50">
        <v>123.1225</v>
      </c>
      <c r="R688" s="50">
        <v>23.122499999999999</v>
      </c>
      <c r="S688" s="50">
        <v>7.0963000000000003</v>
      </c>
      <c r="T688" s="46">
        <v>-16.026199999999999</v>
      </c>
    </row>
    <row r="689" spans="16:20" x14ac:dyDescent="0.25">
      <c r="P689" s="18">
        <v>688</v>
      </c>
      <c r="Q689" s="50">
        <v>89.242699999999999</v>
      </c>
      <c r="R689" s="50">
        <v>0</v>
      </c>
      <c r="S689" s="50">
        <v>-15.646699999999999</v>
      </c>
      <c r="T689" s="46">
        <v>-15.646699999999999</v>
      </c>
    </row>
    <row r="690" spans="16:20" x14ac:dyDescent="0.25">
      <c r="P690" s="18">
        <v>689</v>
      </c>
      <c r="Q690" s="50">
        <v>70.661799999999999</v>
      </c>
      <c r="R690" s="50">
        <v>0</v>
      </c>
      <c r="S690" s="50">
        <v>-18.468399999999999</v>
      </c>
      <c r="T690" s="46">
        <v>-18.468399999999999</v>
      </c>
    </row>
    <row r="691" spans="16:20" x14ac:dyDescent="0.25">
      <c r="P691" s="18">
        <v>690</v>
      </c>
      <c r="Q691" s="50">
        <v>79.4602</v>
      </c>
      <c r="R691" s="50">
        <v>0</v>
      </c>
      <c r="S691" s="50">
        <v>-14.0214</v>
      </c>
      <c r="T691" s="46">
        <v>-14.0214</v>
      </c>
    </row>
    <row r="692" spans="16:20" x14ac:dyDescent="0.25">
      <c r="P692" s="18">
        <v>691</v>
      </c>
      <c r="Q692" s="50">
        <v>190.73609999999999</v>
      </c>
      <c r="R692" s="50">
        <v>90.736099999999993</v>
      </c>
      <c r="S692" s="50">
        <v>75.436700000000002</v>
      </c>
      <c r="T692" s="46">
        <v>-15.2994</v>
      </c>
    </row>
    <row r="693" spans="16:20" x14ac:dyDescent="0.25">
      <c r="P693" s="18">
        <v>692</v>
      </c>
      <c r="Q693" s="50">
        <v>67.573300000000003</v>
      </c>
      <c r="R693" s="50">
        <v>0</v>
      </c>
      <c r="S693" s="50">
        <v>-14.2342</v>
      </c>
      <c r="T693" s="46">
        <v>-14.2342</v>
      </c>
    </row>
    <row r="694" spans="16:20" x14ac:dyDescent="0.25">
      <c r="P694" s="18">
        <v>693</v>
      </c>
      <c r="Q694" s="50">
        <v>125.5727</v>
      </c>
      <c r="R694" s="50">
        <v>25.572700000000001</v>
      </c>
      <c r="S694" s="50">
        <v>13.3736</v>
      </c>
      <c r="T694" s="46">
        <v>-12.1991</v>
      </c>
    </row>
    <row r="695" spans="16:20" x14ac:dyDescent="0.25">
      <c r="P695" s="18">
        <v>694</v>
      </c>
      <c r="Q695" s="50">
        <v>181.31180000000001</v>
      </c>
      <c r="R695" s="50">
        <v>81.311800000000005</v>
      </c>
      <c r="S695" s="50">
        <v>64.058499999999995</v>
      </c>
      <c r="T695" s="46">
        <v>-17.253299999999999</v>
      </c>
    </row>
    <row r="696" spans="16:20" x14ac:dyDescent="0.25">
      <c r="P696" s="18">
        <v>695</v>
      </c>
      <c r="Q696" s="50">
        <v>91.374099999999999</v>
      </c>
      <c r="R696" s="50">
        <v>0</v>
      </c>
      <c r="S696" s="50">
        <v>-16.486799999999999</v>
      </c>
      <c r="T696" s="46">
        <v>-16.486799999999999</v>
      </c>
    </row>
    <row r="697" spans="16:20" x14ac:dyDescent="0.25">
      <c r="P697" s="18">
        <v>696</v>
      </c>
      <c r="Q697" s="50">
        <v>136.9238</v>
      </c>
      <c r="R697" s="50">
        <v>36.9238</v>
      </c>
      <c r="S697" s="50">
        <v>23.6053</v>
      </c>
      <c r="T697" s="46">
        <v>-13.3185</v>
      </c>
    </row>
    <row r="698" spans="16:20" x14ac:dyDescent="0.25">
      <c r="P698" s="18">
        <v>697</v>
      </c>
      <c r="Q698" s="50">
        <v>129.524</v>
      </c>
      <c r="R698" s="50">
        <v>29.524000000000001</v>
      </c>
      <c r="S698" s="50">
        <v>15.1919</v>
      </c>
      <c r="T698" s="46">
        <v>-14.332100000000001</v>
      </c>
    </row>
    <row r="699" spans="16:20" x14ac:dyDescent="0.25">
      <c r="P699" s="18">
        <v>698</v>
      </c>
      <c r="Q699" s="50">
        <v>124.47110000000001</v>
      </c>
      <c r="R699" s="50">
        <v>24.4711</v>
      </c>
      <c r="S699" s="50">
        <v>7.64</v>
      </c>
      <c r="T699" s="46">
        <v>-16.831199999999999</v>
      </c>
    </row>
    <row r="700" spans="16:20" x14ac:dyDescent="0.25">
      <c r="P700" s="18">
        <v>699</v>
      </c>
      <c r="Q700" s="50">
        <v>72.586200000000005</v>
      </c>
      <c r="R700" s="50">
        <v>0</v>
      </c>
      <c r="S700" s="50">
        <v>-13.6317</v>
      </c>
      <c r="T700" s="46">
        <v>-13.6317</v>
      </c>
    </row>
    <row r="701" spans="16:20" x14ac:dyDescent="0.25">
      <c r="P701" s="18">
        <v>700</v>
      </c>
      <c r="Q701" s="50">
        <v>98.742599999999996</v>
      </c>
      <c r="R701" s="50">
        <v>0</v>
      </c>
      <c r="S701" s="50">
        <v>-12.650700000000001</v>
      </c>
      <c r="T701" s="46">
        <v>-12.650700000000001</v>
      </c>
    </row>
    <row r="702" spans="16:20" x14ac:dyDescent="0.25">
      <c r="P702" s="18">
        <v>701</v>
      </c>
      <c r="Q702" s="50">
        <v>87.363900000000001</v>
      </c>
      <c r="R702" s="50">
        <v>0</v>
      </c>
      <c r="S702" s="50">
        <v>-15.686999999999999</v>
      </c>
      <c r="T702" s="46">
        <v>-15.686999999999999</v>
      </c>
    </row>
    <row r="703" spans="16:20" x14ac:dyDescent="0.25">
      <c r="P703" s="18">
        <v>702</v>
      </c>
      <c r="Q703" s="50">
        <v>173.39359999999999</v>
      </c>
      <c r="R703" s="50">
        <v>73.393600000000006</v>
      </c>
      <c r="S703" s="50">
        <v>55.561900000000001</v>
      </c>
      <c r="T703" s="46">
        <v>-17.831700000000001</v>
      </c>
    </row>
    <row r="704" spans="16:20" x14ac:dyDescent="0.25">
      <c r="P704" s="18">
        <v>703</v>
      </c>
      <c r="Q704" s="50">
        <v>84.441699999999997</v>
      </c>
      <c r="R704" s="50">
        <v>0</v>
      </c>
      <c r="S704" s="50">
        <v>-13.761699999999999</v>
      </c>
      <c r="T704" s="46">
        <v>-13.761699999999999</v>
      </c>
    </row>
    <row r="705" spans="16:20" x14ac:dyDescent="0.25">
      <c r="P705" s="18">
        <v>704</v>
      </c>
      <c r="Q705" s="50">
        <v>68.800200000000004</v>
      </c>
      <c r="R705" s="50">
        <v>0</v>
      </c>
      <c r="S705" s="50">
        <v>-17.826799999999999</v>
      </c>
      <c r="T705" s="46">
        <v>-17.826799999999999</v>
      </c>
    </row>
    <row r="706" spans="16:20" x14ac:dyDescent="0.25">
      <c r="P706" s="18">
        <v>705</v>
      </c>
      <c r="Q706" s="50">
        <v>60.809199999999997</v>
      </c>
      <c r="R706" s="50">
        <v>0</v>
      </c>
      <c r="S706" s="50">
        <v>-13.782400000000001</v>
      </c>
      <c r="T706" s="46">
        <v>-13.782400000000001</v>
      </c>
    </row>
    <row r="707" spans="16:20" x14ac:dyDescent="0.25">
      <c r="P707" s="18">
        <v>706</v>
      </c>
      <c r="Q707" s="50">
        <v>285.97129999999999</v>
      </c>
      <c r="R707" s="50">
        <v>185.97130000000001</v>
      </c>
      <c r="S707" s="50">
        <v>169.74340000000001</v>
      </c>
      <c r="T707" s="46">
        <v>-16.227900000000002</v>
      </c>
    </row>
    <row r="708" spans="16:20" x14ac:dyDescent="0.25">
      <c r="P708" s="18">
        <v>707</v>
      </c>
      <c r="Q708" s="50">
        <v>126.3359</v>
      </c>
      <c r="R708" s="50">
        <v>26.335899999999999</v>
      </c>
      <c r="S708" s="50">
        <v>10.7056</v>
      </c>
      <c r="T708" s="46">
        <v>-15.6303</v>
      </c>
    </row>
    <row r="709" spans="16:20" x14ac:dyDescent="0.25">
      <c r="P709" s="18">
        <v>708</v>
      </c>
      <c r="Q709" s="50">
        <v>140.79820000000001</v>
      </c>
      <c r="R709" s="50">
        <v>40.798200000000001</v>
      </c>
      <c r="S709" s="50">
        <v>29.627099999999999</v>
      </c>
      <c r="T709" s="46">
        <v>-11.171099999999999</v>
      </c>
    </row>
    <row r="710" spans="16:20" x14ac:dyDescent="0.25">
      <c r="P710" s="18">
        <v>709</v>
      </c>
      <c r="Q710" s="50">
        <v>149.41730000000001</v>
      </c>
      <c r="R710" s="50">
        <v>49.417299999999997</v>
      </c>
      <c r="S710" s="50">
        <v>31.358000000000001</v>
      </c>
      <c r="T710" s="46">
        <v>-18.0593</v>
      </c>
    </row>
    <row r="711" spans="16:20" x14ac:dyDescent="0.25">
      <c r="P711" s="18">
        <v>710</v>
      </c>
      <c r="Q711" s="50">
        <v>96.762500000000003</v>
      </c>
      <c r="R711" s="50">
        <v>0</v>
      </c>
      <c r="S711" s="50">
        <v>-12.1157</v>
      </c>
      <c r="T711" s="46">
        <v>-12.1157</v>
      </c>
    </row>
    <row r="712" spans="16:20" x14ac:dyDescent="0.25">
      <c r="P712" s="18">
        <v>711</v>
      </c>
      <c r="Q712" s="50">
        <v>110.7602</v>
      </c>
      <c r="R712" s="50">
        <v>10.760199999999999</v>
      </c>
      <c r="S712" s="50">
        <v>-2.7092999999999998</v>
      </c>
      <c r="T712" s="46">
        <v>-13.4696</v>
      </c>
    </row>
    <row r="713" spans="16:20" x14ac:dyDescent="0.25">
      <c r="P713" s="18">
        <v>712</v>
      </c>
      <c r="Q713" s="50">
        <v>94.167000000000002</v>
      </c>
      <c r="R713" s="50">
        <v>0</v>
      </c>
      <c r="S713" s="50">
        <v>-12.3086</v>
      </c>
      <c r="T713" s="46">
        <v>-12.3086</v>
      </c>
    </row>
    <row r="714" spans="16:20" x14ac:dyDescent="0.25">
      <c r="P714" s="18">
        <v>713</v>
      </c>
      <c r="Q714" s="50">
        <v>185.7955</v>
      </c>
      <c r="R714" s="50">
        <v>85.795500000000004</v>
      </c>
      <c r="S714" s="50">
        <v>70.228399999999993</v>
      </c>
      <c r="T714" s="46">
        <v>-15.5671</v>
      </c>
    </row>
    <row r="715" spans="16:20" x14ac:dyDescent="0.25">
      <c r="P715" s="18">
        <v>714</v>
      </c>
      <c r="Q715" s="50">
        <v>86.428899999999999</v>
      </c>
      <c r="R715" s="50">
        <v>0</v>
      </c>
      <c r="S715" s="50">
        <v>-17.7837</v>
      </c>
      <c r="T715" s="46">
        <v>-17.7837</v>
      </c>
    </row>
    <row r="716" spans="16:20" x14ac:dyDescent="0.25">
      <c r="P716" s="18">
        <v>715</v>
      </c>
      <c r="Q716" s="50">
        <v>78.132000000000005</v>
      </c>
      <c r="R716" s="50">
        <v>0</v>
      </c>
      <c r="S716" s="50">
        <v>-15.7319</v>
      </c>
      <c r="T716" s="46">
        <v>-15.7319</v>
      </c>
    </row>
    <row r="717" spans="16:20" x14ac:dyDescent="0.25">
      <c r="P717" s="18">
        <v>716</v>
      </c>
      <c r="Q717" s="50">
        <v>109.98269999999999</v>
      </c>
      <c r="R717" s="50">
        <v>9.9826999999999995</v>
      </c>
      <c r="S717" s="50">
        <v>-3.4426999999999999</v>
      </c>
      <c r="T717" s="46">
        <v>-13.4254</v>
      </c>
    </row>
    <row r="718" spans="16:20" x14ac:dyDescent="0.25">
      <c r="P718" s="18">
        <v>717</v>
      </c>
      <c r="Q718" s="50">
        <v>81.392899999999997</v>
      </c>
      <c r="R718" s="50">
        <v>0</v>
      </c>
      <c r="S718" s="50">
        <v>-18.940799999999999</v>
      </c>
      <c r="T718" s="46">
        <v>-18.940799999999999</v>
      </c>
    </row>
    <row r="719" spans="16:20" x14ac:dyDescent="0.25">
      <c r="P719" s="18">
        <v>718</v>
      </c>
      <c r="Q719" s="50">
        <v>64.744299999999996</v>
      </c>
      <c r="R719" s="50">
        <v>0</v>
      </c>
      <c r="S719" s="50">
        <v>-15.676299999999999</v>
      </c>
      <c r="T719" s="46">
        <v>-15.676299999999999</v>
      </c>
    </row>
    <row r="720" spans="16:20" x14ac:dyDescent="0.25">
      <c r="P720" s="18">
        <v>719</v>
      </c>
      <c r="Q720" s="50">
        <v>66.628399999999999</v>
      </c>
      <c r="R720" s="50">
        <v>0</v>
      </c>
      <c r="S720" s="50">
        <v>-14.752599999999999</v>
      </c>
      <c r="T720" s="46">
        <v>-14.752599999999999</v>
      </c>
    </row>
    <row r="721" spans="16:20" x14ac:dyDescent="0.25">
      <c r="P721" s="18">
        <v>720</v>
      </c>
      <c r="Q721" s="50">
        <v>77.355400000000003</v>
      </c>
      <c r="R721" s="50">
        <v>0</v>
      </c>
      <c r="S721" s="50">
        <v>-12.168900000000001</v>
      </c>
      <c r="T721" s="46">
        <v>-12.168900000000001</v>
      </c>
    </row>
    <row r="722" spans="16:20" x14ac:dyDescent="0.25">
      <c r="P722" s="18">
        <v>721</v>
      </c>
      <c r="Q722" s="50">
        <v>102.0665</v>
      </c>
      <c r="R722" s="50">
        <v>2.0665</v>
      </c>
      <c r="S722" s="50">
        <v>-9.6516000000000002</v>
      </c>
      <c r="T722" s="46">
        <v>-11.7181</v>
      </c>
    </row>
    <row r="723" spans="16:20" x14ac:dyDescent="0.25">
      <c r="P723" s="18">
        <v>722</v>
      </c>
      <c r="Q723" s="50">
        <v>165.47499999999999</v>
      </c>
      <c r="R723" s="50">
        <v>65.474999999999994</v>
      </c>
      <c r="S723" s="50">
        <v>51.9998</v>
      </c>
      <c r="T723" s="46">
        <v>-13.475199999999999</v>
      </c>
    </row>
    <row r="724" spans="16:20" x14ac:dyDescent="0.25">
      <c r="P724" s="18">
        <v>723</v>
      </c>
      <c r="Q724" s="50">
        <v>115.8747</v>
      </c>
      <c r="R724" s="50">
        <v>15.874700000000001</v>
      </c>
      <c r="S724" s="50">
        <v>2.3395000000000001</v>
      </c>
      <c r="T724" s="46">
        <v>-13.5352</v>
      </c>
    </row>
    <row r="725" spans="16:20" x14ac:dyDescent="0.25">
      <c r="P725" s="18">
        <v>724</v>
      </c>
      <c r="Q725" s="50">
        <v>81.171899999999994</v>
      </c>
      <c r="R725" s="50">
        <v>0</v>
      </c>
      <c r="S725" s="50">
        <v>-14.416600000000001</v>
      </c>
      <c r="T725" s="46">
        <v>-14.416600000000001</v>
      </c>
    </row>
    <row r="726" spans="16:20" x14ac:dyDescent="0.25">
      <c r="P726" s="18">
        <v>725</v>
      </c>
      <c r="Q726" s="50">
        <v>91.630799999999994</v>
      </c>
      <c r="R726" s="50">
        <v>0</v>
      </c>
      <c r="S726" s="50">
        <v>-10.385400000000001</v>
      </c>
      <c r="T726" s="46">
        <v>-10.385400000000001</v>
      </c>
    </row>
    <row r="727" spans="16:20" x14ac:dyDescent="0.25">
      <c r="P727" s="18">
        <v>726</v>
      </c>
      <c r="Q727" s="50">
        <v>64.328900000000004</v>
      </c>
      <c r="R727" s="50">
        <v>0</v>
      </c>
      <c r="S727" s="50">
        <v>-14.6157</v>
      </c>
      <c r="T727" s="46">
        <v>-14.6157</v>
      </c>
    </row>
    <row r="728" spans="16:20" x14ac:dyDescent="0.25">
      <c r="P728" s="18">
        <v>727</v>
      </c>
      <c r="Q728" s="50">
        <v>89.633099999999999</v>
      </c>
      <c r="R728" s="50">
        <v>0</v>
      </c>
      <c r="S728" s="50">
        <v>-15.4316</v>
      </c>
      <c r="T728" s="46">
        <v>-15.4316</v>
      </c>
    </row>
    <row r="729" spans="16:20" x14ac:dyDescent="0.25">
      <c r="P729" s="18">
        <v>728</v>
      </c>
      <c r="Q729" s="50">
        <v>141.50280000000001</v>
      </c>
      <c r="R729" s="50">
        <v>41.502800000000001</v>
      </c>
      <c r="S729" s="50">
        <v>27.592300000000002</v>
      </c>
      <c r="T729" s="46">
        <v>-13.910500000000001</v>
      </c>
    </row>
    <row r="730" spans="16:20" x14ac:dyDescent="0.25">
      <c r="P730" s="18">
        <v>729</v>
      </c>
      <c r="Q730" s="50">
        <v>76.572900000000004</v>
      </c>
      <c r="R730" s="50">
        <v>0</v>
      </c>
      <c r="S730" s="50">
        <v>-11.2432</v>
      </c>
      <c r="T730" s="46">
        <v>-11.2432</v>
      </c>
    </row>
    <row r="731" spans="16:20" x14ac:dyDescent="0.25">
      <c r="P731" s="18">
        <v>730</v>
      </c>
      <c r="Q731" s="50">
        <v>60.366500000000002</v>
      </c>
      <c r="R731" s="50">
        <v>0</v>
      </c>
      <c r="S731" s="50">
        <v>-13.1114</v>
      </c>
      <c r="T731" s="46">
        <v>-13.1114</v>
      </c>
    </row>
    <row r="732" spans="16:20" x14ac:dyDescent="0.25">
      <c r="P732" s="18">
        <v>731</v>
      </c>
      <c r="Q732" s="50">
        <v>82.795400000000001</v>
      </c>
      <c r="R732" s="50">
        <v>0</v>
      </c>
      <c r="S732" s="50">
        <v>-16.6965</v>
      </c>
      <c r="T732" s="46">
        <v>-16.6965</v>
      </c>
    </row>
    <row r="733" spans="16:20" x14ac:dyDescent="0.25">
      <c r="P733" s="18">
        <v>732</v>
      </c>
      <c r="Q733" s="50">
        <v>91.035600000000002</v>
      </c>
      <c r="R733" s="50">
        <v>0</v>
      </c>
      <c r="S733" s="50">
        <v>-14.5776</v>
      </c>
      <c r="T733" s="46">
        <v>-14.5776</v>
      </c>
    </row>
    <row r="734" spans="16:20" x14ac:dyDescent="0.25">
      <c r="P734" s="18">
        <v>733</v>
      </c>
      <c r="Q734" s="50">
        <v>218.1874</v>
      </c>
      <c r="R734" s="50">
        <v>118.1874</v>
      </c>
      <c r="S734" s="50">
        <v>103.4158</v>
      </c>
      <c r="T734" s="46">
        <v>-14.7715</v>
      </c>
    </row>
    <row r="735" spans="16:20" x14ac:dyDescent="0.25">
      <c r="P735" s="18">
        <v>734</v>
      </c>
      <c r="Q735" s="50">
        <v>92.427300000000002</v>
      </c>
      <c r="R735" s="50">
        <v>0</v>
      </c>
      <c r="S735" s="50">
        <v>-15.2468</v>
      </c>
      <c r="T735" s="46">
        <v>-15.2468</v>
      </c>
    </row>
    <row r="736" spans="16:20" x14ac:dyDescent="0.25">
      <c r="P736" s="18">
        <v>735</v>
      </c>
      <c r="Q736" s="50">
        <v>182.6046</v>
      </c>
      <c r="R736" s="50">
        <v>82.604600000000005</v>
      </c>
      <c r="S736" s="50">
        <v>67.013300000000001</v>
      </c>
      <c r="T736" s="46">
        <v>-15.5913</v>
      </c>
    </row>
    <row r="737" spans="16:20" x14ac:dyDescent="0.25">
      <c r="P737" s="18">
        <v>736</v>
      </c>
      <c r="Q737" s="50">
        <v>125.0913</v>
      </c>
      <c r="R737" s="50">
        <v>25.0913</v>
      </c>
      <c r="S737" s="50">
        <v>9.5237999999999996</v>
      </c>
      <c r="T737" s="46">
        <v>-15.567500000000001</v>
      </c>
    </row>
    <row r="738" spans="16:20" x14ac:dyDescent="0.25">
      <c r="P738" s="18">
        <v>737</v>
      </c>
      <c r="Q738" s="50">
        <v>73.229399999999998</v>
      </c>
      <c r="R738" s="50">
        <v>0</v>
      </c>
      <c r="S738" s="50">
        <v>-15.197100000000001</v>
      </c>
      <c r="T738" s="46">
        <v>-15.197100000000001</v>
      </c>
    </row>
    <row r="739" spans="16:20" x14ac:dyDescent="0.25">
      <c r="P739" s="18">
        <v>738</v>
      </c>
      <c r="Q739" s="50">
        <v>72.490600000000001</v>
      </c>
      <c r="R739" s="50">
        <v>0</v>
      </c>
      <c r="S739" s="50">
        <v>-11.979699999999999</v>
      </c>
      <c r="T739" s="46">
        <v>-11.979699999999999</v>
      </c>
    </row>
    <row r="740" spans="16:20" x14ac:dyDescent="0.25">
      <c r="P740" s="18">
        <v>739</v>
      </c>
      <c r="Q740" s="50">
        <v>113.6961</v>
      </c>
      <c r="R740" s="50">
        <v>13.696099999999999</v>
      </c>
      <c r="S740" s="50">
        <v>-3.3513999999999999</v>
      </c>
      <c r="T740" s="46">
        <v>-17.047499999999999</v>
      </c>
    </row>
    <row r="741" spans="16:20" x14ac:dyDescent="0.25">
      <c r="P741" s="18">
        <v>740</v>
      </c>
      <c r="Q741" s="50">
        <v>95.373800000000003</v>
      </c>
      <c r="R741" s="50">
        <v>0</v>
      </c>
      <c r="S741" s="50">
        <v>-8.8246000000000002</v>
      </c>
      <c r="T741" s="46">
        <v>-8.8246000000000002</v>
      </c>
    </row>
    <row r="742" spans="16:20" x14ac:dyDescent="0.25">
      <c r="P742" s="18">
        <v>741</v>
      </c>
      <c r="Q742" s="50">
        <v>138.31440000000001</v>
      </c>
      <c r="R742" s="50">
        <v>38.314399999999999</v>
      </c>
      <c r="S742" s="50">
        <v>25.103200000000001</v>
      </c>
      <c r="T742" s="46">
        <v>-13.2112</v>
      </c>
    </row>
    <row r="743" spans="16:20" x14ac:dyDescent="0.25">
      <c r="P743" s="18">
        <v>742</v>
      </c>
      <c r="Q743" s="50">
        <v>96.376199999999997</v>
      </c>
      <c r="R743" s="50">
        <v>0</v>
      </c>
      <c r="S743" s="50">
        <v>-16.242699999999999</v>
      </c>
      <c r="T743" s="46">
        <v>-16.242699999999999</v>
      </c>
    </row>
    <row r="744" spans="16:20" x14ac:dyDescent="0.25">
      <c r="P744" s="18">
        <v>743</v>
      </c>
      <c r="Q744" s="50">
        <v>104.49039999999999</v>
      </c>
      <c r="R744" s="50">
        <v>4.4904000000000002</v>
      </c>
      <c r="S744" s="50">
        <v>-11.1576</v>
      </c>
      <c r="T744" s="46">
        <v>-15.6479</v>
      </c>
    </row>
    <row r="745" spans="16:20" x14ac:dyDescent="0.25">
      <c r="P745" s="18">
        <v>744</v>
      </c>
      <c r="Q745" s="50">
        <v>182.17949999999999</v>
      </c>
      <c r="R745" s="50">
        <v>82.179500000000004</v>
      </c>
      <c r="S745" s="50">
        <v>67.373099999999994</v>
      </c>
      <c r="T745" s="46">
        <v>-14.8064</v>
      </c>
    </row>
    <row r="746" spans="16:20" x14ac:dyDescent="0.25">
      <c r="P746" s="18">
        <v>745</v>
      </c>
      <c r="Q746" s="50">
        <v>75.320300000000003</v>
      </c>
      <c r="R746" s="50">
        <v>0</v>
      </c>
      <c r="S746" s="50">
        <v>-13.720700000000001</v>
      </c>
      <c r="T746" s="46">
        <v>-13.720700000000001</v>
      </c>
    </row>
    <row r="747" spans="16:20" x14ac:dyDescent="0.25">
      <c r="P747" s="18">
        <v>746</v>
      </c>
      <c r="Q747" s="50">
        <v>82.3994</v>
      </c>
      <c r="R747" s="50">
        <v>0</v>
      </c>
      <c r="S747" s="50">
        <v>-13.257400000000001</v>
      </c>
      <c r="T747" s="46">
        <v>-13.257400000000001</v>
      </c>
    </row>
    <row r="748" spans="16:20" x14ac:dyDescent="0.25">
      <c r="P748" s="18">
        <v>747</v>
      </c>
      <c r="Q748" s="50">
        <v>115.37</v>
      </c>
      <c r="R748" s="50">
        <v>15.37</v>
      </c>
      <c r="S748" s="50">
        <v>2.3654999999999999</v>
      </c>
      <c r="T748" s="46">
        <v>-13.0044</v>
      </c>
    </row>
    <row r="749" spans="16:20" x14ac:dyDescent="0.25">
      <c r="P749" s="18">
        <v>748</v>
      </c>
      <c r="Q749" s="50">
        <v>119.3481</v>
      </c>
      <c r="R749" s="50">
        <v>19.348099999999999</v>
      </c>
      <c r="S749" s="50">
        <v>6.3562000000000003</v>
      </c>
      <c r="T749" s="46">
        <v>-12.991899999999999</v>
      </c>
    </row>
    <row r="750" spans="16:20" x14ac:dyDescent="0.25">
      <c r="P750" s="18">
        <v>749</v>
      </c>
      <c r="Q750" s="50">
        <v>91.340500000000006</v>
      </c>
      <c r="R750" s="50">
        <v>0</v>
      </c>
      <c r="S750" s="50">
        <v>-12.246499999999999</v>
      </c>
      <c r="T750" s="46">
        <v>-12.246499999999999</v>
      </c>
    </row>
    <row r="751" spans="16:20" x14ac:dyDescent="0.25">
      <c r="P751" s="18">
        <v>750</v>
      </c>
      <c r="Q751" s="50">
        <v>77.352900000000005</v>
      </c>
      <c r="R751" s="50">
        <v>0</v>
      </c>
      <c r="S751" s="50">
        <v>-12.445399999999999</v>
      </c>
      <c r="T751" s="46">
        <v>-12.445399999999999</v>
      </c>
    </row>
    <row r="752" spans="16:20" x14ac:dyDescent="0.25">
      <c r="P752" s="18">
        <v>751</v>
      </c>
      <c r="Q752" s="50">
        <v>101.61279999999999</v>
      </c>
      <c r="R752" s="50">
        <v>1.6128</v>
      </c>
      <c r="S752" s="50">
        <v>-8.8171999999999997</v>
      </c>
      <c r="T752" s="46">
        <v>-10.43</v>
      </c>
    </row>
    <row r="753" spans="16:20" x14ac:dyDescent="0.25">
      <c r="P753" s="18">
        <v>752</v>
      </c>
      <c r="Q753" s="50">
        <v>180.76400000000001</v>
      </c>
      <c r="R753" s="50">
        <v>80.763999999999996</v>
      </c>
      <c r="S753" s="50">
        <v>64.982900000000001</v>
      </c>
      <c r="T753" s="46">
        <v>-15.7811</v>
      </c>
    </row>
    <row r="754" spans="16:20" x14ac:dyDescent="0.25">
      <c r="P754" s="18">
        <v>753</v>
      </c>
      <c r="Q754" s="50">
        <v>150.62799999999999</v>
      </c>
      <c r="R754" s="50">
        <v>50.628</v>
      </c>
      <c r="S754" s="50">
        <v>36.832099999999997</v>
      </c>
      <c r="T754" s="46">
        <v>-13.7959</v>
      </c>
    </row>
    <row r="755" spans="16:20" x14ac:dyDescent="0.25">
      <c r="P755" s="18">
        <v>754</v>
      </c>
      <c r="Q755" s="50">
        <v>81.308599999999998</v>
      </c>
      <c r="R755" s="50">
        <v>0</v>
      </c>
      <c r="S755" s="50">
        <v>-15.3584</v>
      </c>
      <c r="T755" s="46">
        <v>-15.3584</v>
      </c>
    </row>
    <row r="756" spans="16:20" x14ac:dyDescent="0.25">
      <c r="P756" s="18">
        <v>755</v>
      </c>
      <c r="Q756" s="50">
        <v>134.09710000000001</v>
      </c>
      <c r="R756" s="50">
        <v>34.097099999999998</v>
      </c>
      <c r="S756" s="50">
        <v>19.977499999999999</v>
      </c>
      <c r="T756" s="46">
        <v>-14.1196</v>
      </c>
    </row>
    <row r="757" spans="16:20" x14ac:dyDescent="0.25">
      <c r="P757" s="18">
        <v>756</v>
      </c>
      <c r="Q757" s="50">
        <v>114.25920000000001</v>
      </c>
      <c r="R757" s="50">
        <v>14.2592</v>
      </c>
      <c r="S757" s="50">
        <v>2.9990999999999999</v>
      </c>
      <c r="T757" s="46">
        <v>-11.2601</v>
      </c>
    </row>
    <row r="758" spans="16:20" x14ac:dyDescent="0.25">
      <c r="P758" s="18">
        <v>757</v>
      </c>
      <c r="Q758" s="50">
        <v>102.7197</v>
      </c>
      <c r="R758" s="50">
        <v>2.7197</v>
      </c>
      <c r="S758" s="50">
        <v>-11.9079</v>
      </c>
      <c r="T758" s="46">
        <v>-14.627700000000001</v>
      </c>
    </row>
    <row r="759" spans="16:20" x14ac:dyDescent="0.25">
      <c r="P759" s="18">
        <v>758</v>
      </c>
      <c r="Q759" s="50">
        <v>141.0445</v>
      </c>
      <c r="R759" s="50">
        <v>41.044499999999999</v>
      </c>
      <c r="S759" s="50">
        <v>23.053799999999999</v>
      </c>
      <c r="T759" s="46">
        <v>-17.9907</v>
      </c>
    </row>
    <row r="760" spans="16:20" x14ac:dyDescent="0.25">
      <c r="P760" s="18">
        <v>759</v>
      </c>
      <c r="Q760" s="50">
        <v>151.4949</v>
      </c>
      <c r="R760" s="50">
        <v>51.494900000000001</v>
      </c>
      <c r="S760" s="50">
        <v>39.601500000000001</v>
      </c>
      <c r="T760" s="46">
        <v>-11.8934</v>
      </c>
    </row>
    <row r="761" spans="16:20" x14ac:dyDescent="0.25">
      <c r="P761" s="18">
        <v>760</v>
      </c>
      <c r="Q761" s="50">
        <v>111.1277</v>
      </c>
      <c r="R761" s="50">
        <v>11.127700000000001</v>
      </c>
      <c r="S761" s="50">
        <v>-2.6789000000000001</v>
      </c>
      <c r="T761" s="46">
        <v>-13.8066</v>
      </c>
    </row>
    <row r="762" spans="16:20" x14ac:dyDescent="0.25">
      <c r="P762" s="18">
        <v>761</v>
      </c>
      <c r="Q762" s="50">
        <v>86.307500000000005</v>
      </c>
      <c r="R762" s="50">
        <v>0</v>
      </c>
      <c r="S762" s="50">
        <v>-17.756799999999998</v>
      </c>
      <c r="T762" s="46">
        <v>-17.756799999999998</v>
      </c>
    </row>
    <row r="763" spans="16:20" x14ac:dyDescent="0.25">
      <c r="P763" s="18">
        <v>762</v>
      </c>
      <c r="Q763" s="50">
        <v>149.37110000000001</v>
      </c>
      <c r="R763" s="50">
        <v>49.371099999999998</v>
      </c>
      <c r="S763" s="50">
        <v>34.146700000000003</v>
      </c>
      <c r="T763" s="46">
        <v>-15.224399999999999</v>
      </c>
    </row>
    <row r="764" spans="16:20" x14ac:dyDescent="0.25">
      <c r="P764" s="18">
        <v>763</v>
      </c>
      <c r="Q764" s="50">
        <v>112.986</v>
      </c>
      <c r="R764" s="50">
        <v>12.986000000000001</v>
      </c>
      <c r="S764" s="50">
        <v>-1.5085</v>
      </c>
      <c r="T764" s="46">
        <v>-14.4945</v>
      </c>
    </row>
    <row r="765" spans="16:20" x14ac:dyDescent="0.25">
      <c r="P765" s="18">
        <v>764</v>
      </c>
      <c r="Q765" s="50">
        <v>54.948599999999999</v>
      </c>
      <c r="R765" s="50">
        <v>0</v>
      </c>
      <c r="S765" s="50">
        <v>-15.265499999999999</v>
      </c>
      <c r="T765" s="46">
        <v>-15.265499999999999</v>
      </c>
    </row>
    <row r="766" spans="16:20" x14ac:dyDescent="0.25">
      <c r="P766" s="18">
        <v>765</v>
      </c>
      <c r="Q766" s="50">
        <v>89.903000000000006</v>
      </c>
      <c r="R766" s="50">
        <v>0</v>
      </c>
      <c r="S766" s="50">
        <v>-16.226299999999998</v>
      </c>
      <c r="T766" s="46">
        <v>-16.226299999999998</v>
      </c>
    </row>
    <row r="767" spans="16:20" x14ac:dyDescent="0.25">
      <c r="P767" s="18">
        <v>766</v>
      </c>
      <c r="Q767" s="50">
        <v>130.8099</v>
      </c>
      <c r="R767" s="50">
        <v>30.809899999999999</v>
      </c>
      <c r="S767" s="50">
        <v>17.238900000000001</v>
      </c>
      <c r="T767" s="46">
        <v>-13.571</v>
      </c>
    </row>
    <row r="768" spans="16:20" x14ac:dyDescent="0.25">
      <c r="P768" s="18">
        <v>767</v>
      </c>
      <c r="Q768" s="50">
        <v>87.259299999999996</v>
      </c>
      <c r="R768" s="50">
        <v>0</v>
      </c>
      <c r="S768" s="50">
        <v>-14.819599999999999</v>
      </c>
      <c r="T768" s="46">
        <v>-14.819599999999999</v>
      </c>
    </row>
    <row r="769" spans="16:20" x14ac:dyDescent="0.25">
      <c r="P769" s="18">
        <v>768</v>
      </c>
      <c r="Q769" s="50">
        <v>126.6251</v>
      </c>
      <c r="R769" s="50">
        <v>26.6251</v>
      </c>
      <c r="S769" s="50">
        <v>10.562200000000001</v>
      </c>
      <c r="T769" s="46">
        <v>-16.062899999999999</v>
      </c>
    </row>
    <row r="770" spans="16:20" x14ac:dyDescent="0.25">
      <c r="P770" s="18">
        <v>769</v>
      </c>
      <c r="Q770" s="50">
        <v>67.637900000000002</v>
      </c>
      <c r="R770" s="50">
        <v>0</v>
      </c>
      <c r="S770" s="50">
        <v>-17.502300000000002</v>
      </c>
      <c r="T770" s="46">
        <v>-17.502300000000002</v>
      </c>
    </row>
    <row r="771" spans="16:20" x14ac:dyDescent="0.25">
      <c r="P771" s="18">
        <v>770</v>
      </c>
      <c r="Q771" s="50">
        <v>78.302999999999997</v>
      </c>
      <c r="R771" s="50">
        <v>0</v>
      </c>
      <c r="S771" s="50">
        <v>-16.075399999999998</v>
      </c>
      <c r="T771" s="46">
        <v>-16.075399999999998</v>
      </c>
    </row>
    <row r="772" spans="16:20" x14ac:dyDescent="0.25">
      <c r="P772" s="18">
        <v>771</v>
      </c>
      <c r="Q772" s="50">
        <v>140.32149999999999</v>
      </c>
      <c r="R772" s="50">
        <v>40.3215</v>
      </c>
      <c r="S772" s="50">
        <v>24.473800000000001</v>
      </c>
      <c r="T772" s="46">
        <v>-15.8477</v>
      </c>
    </row>
    <row r="773" spans="16:20" x14ac:dyDescent="0.25">
      <c r="P773" s="18">
        <v>772</v>
      </c>
      <c r="Q773" s="50">
        <v>57.9482</v>
      </c>
      <c r="R773" s="50">
        <v>0</v>
      </c>
      <c r="S773" s="50">
        <v>-13.7303</v>
      </c>
      <c r="T773" s="46">
        <v>-13.7303</v>
      </c>
    </row>
    <row r="774" spans="16:20" x14ac:dyDescent="0.25">
      <c r="P774" s="18">
        <v>773</v>
      </c>
      <c r="Q774" s="50">
        <v>192.66900000000001</v>
      </c>
      <c r="R774" s="50">
        <v>92.668999999999997</v>
      </c>
      <c r="S774" s="50">
        <v>77.352000000000004</v>
      </c>
      <c r="T774" s="46">
        <v>-15.317</v>
      </c>
    </row>
    <row r="775" spans="16:20" x14ac:dyDescent="0.25">
      <c r="P775" s="18">
        <v>774</v>
      </c>
      <c r="Q775" s="50">
        <v>61.469200000000001</v>
      </c>
      <c r="R775" s="50">
        <v>0</v>
      </c>
      <c r="S775" s="50">
        <v>-15.0098</v>
      </c>
      <c r="T775" s="46">
        <v>-15.0098</v>
      </c>
    </row>
    <row r="776" spans="16:20" x14ac:dyDescent="0.25">
      <c r="P776" s="18">
        <v>775</v>
      </c>
      <c r="Q776" s="50">
        <v>76.479799999999997</v>
      </c>
      <c r="R776" s="50">
        <v>0</v>
      </c>
      <c r="S776" s="50">
        <v>-14.871499999999999</v>
      </c>
      <c r="T776" s="46">
        <v>-14.871499999999999</v>
      </c>
    </row>
    <row r="777" spans="16:20" x14ac:dyDescent="0.25">
      <c r="P777" s="18">
        <v>776</v>
      </c>
      <c r="Q777" s="50">
        <v>101.1674</v>
      </c>
      <c r="R777" s="50">
        <v>1.1674</v>
      </c>
      <c r="S777" s="50">
        <v>-9.4321999999999999</v>
      </c>
      <c r="T777" s="46">
        <v>-10.5997</v>
      </c>
    </row>
    <row r="778" spans="16:20" x14ac:dyDescent="0.25">
      <c r="P778" s="18">
        <v>777</v>
      </c>
      <c r="Q778" s="50">
        <v>123.316</v>
      </c>
      <c r="R778" s="50">
        <v>23.315999999999999</v>
      </c>
      <c r="S778" s="50">
        <v>8.6325000000000003</v>
      </c>
      <c r="T778" s="46">
        <v>-14.6835</v>
      </c>
    </row>
    <row r="779" spans="16:20" x14ac:dyDescent="0.25">
      <c r="P779" s="18">
        <v>778</v>
      </c>
      <c r="Q779" s="50">
        <v>98.538899999999998</v>
      </c>
      <c r="R779" s="50">
        <v>0</v>
      </c>
      <c r="S779" s="50">
        <v>-11.4505</v>
      </c>
      <c r="T779" s="46">
        <v>-11.4505</v>
      </c>
    </row>
    <row r="780" spans="16:20" x14ac:dyDescent="0.25">
      <c r="P780" s="18">
        <v>779</v>
      </c>
      <c r="Q780" s="50">
        <v>88.859200000000001</v>
      </c>
      <c r="R780" s="50">
        <v>0</v>
      </c>
      <c r="S780" s="50">
        <v>-12.4282</v>
      </c>
      <c r="T780" s="46">
        <v>-12.4282</v>
      </c>
    </row>
    <row r="781" spans="16:20" x14ac:dyDescent="0.25">
      <c r="P781" s="18">
        <v>780</v>
      </c>
      <c r="Q781" s="50">
        <v>93.444800000000001</v>
      </c>
      <c r="R781" s="50">
        <v>0</v>
      </c>
      <c r="S781" s="50">
        <v>-8.9331999999999994</v>
      </c>
      <c r="T781" s="46">
        <v>-8.9331999999999994</v>
      </c>
    </row>
    <row r="782" spans="16:20" x14ac:dyDescent="0.25">
      <c r="P782" s="18">
        <v>781</v>
      </c>
      <c r="Q782" s="50">
        <v>70.580699999999993</v>
      </c>
      <c r="R782" s="50">
        <v>0</v>
      </c>
      <c r="S782" s="50">
        <v>-15.916600000000001</v>
      </c>
      <c r="T782" s="46">
        <v>-15.916600000000001</v>
      </c>
    </row>
    <row r="783" spans="16:20" x14ac:dyDescent="0.25">
      <c r="P783" s="18">
        <v>782</v>
      </c>
      <c r="Q783" s="50">
        <v>123.6985</v>
      </c>
      <c r="R783" s="50">
        <v>23.698499999999999</v>
      </c>
      <c r="S783" s="50">
        <v>6.7983000000000002</v>
      </c>
      <c r="T783" s="46">
        <v>-16.900300000000001</v>
      </c>
    </row>
    <row r="784" spans="16:20" x14ac:dyDescent="0.25">
      <c r="P784" s="18">
        <v>783</v>
      </c>
      <c r="Q784" s="50">
        <v>130.39330000000001</v>
      </c>
      <c r="R784" s="50">
        <v>30.3933</v>
      </c>
      <c r="S784" s="50">
        <v>15.9549</v>
      </c>
      <c r="T784" s="46">
        <v>-14.4384</v>
      </c>
    </row>
    <row r="785" spans="16:20" x14ac:dyDescent="0.25">
      <c r="P785" s="18">
        <v>784</v>
      </c>
      <c r="Q785" s="50">
        <v>79.435299999999998</v>
      </c>
      <c r="R785" s="50">
        <v>0</v>
      </c>
      <c r="S785" s="50">
        <v>-15.2659</v>
      </c>
      <c r="T785" s="46">
        <v>-15.2659</v>
      </c>
    </row>
    <row r="786" spans="16:20" x14ac:dyDescent="0.25">
      <c r="P786" s="18">
        <v>785</v>
      </c>
      <c r="Q786" s="50">
        <v>68.745099999999994</v>
      </c>
      <c r="R786" s="50">
        <v>0</v>
      </c>
      <c r="S786" s="50">
        <v>-13.870900000000001</v>
      </c>
      <c r="T786" s="46">
        <v>-13.870900000000001</v>
      </c>
    </row>
    <row r="787" spans="16:20" x14ac:dyDescent="0.25">
      <c r="P787" s="18">
        <v>786</v>
      </c>
      <c r="Q787" s="50">
        <v>100.45010000000001</v>
      </c>
      <c r="R787" s="50">
        <v>0.4501</v>
      </c>
      <c r="S787" s="50">
        <v>-7.9546999999999999</v>
      </c>
      <c r="T787" s="46">
        <v>-8.4047999999999998</v>
      </c>
    </row>
    <row r="788" spans="16:20" x14ac:dyDescent="0.25">
      <c r="P788" s="18">
        <v>787</v>
      </c>
      <c r="Q788" s="50">
        <v>133.01429999999999</v>
      </c>
      <c r="R788" s="50">
        <v>33.014299999999999</v>
      </c>
      <c r="S788" s="50">
        <v>16.9148</v>
      </c>
      <c r="T788" s="46">
        <v>-16.099499999999999</v>
      </c>
    </row>
    <row r="789" spans="16:20" x14ac:dyDescent="0.25">
      <c r="P789" s="18">
        <v>788</v>
      </c>
      <c r="Q789" s="50">
        <v>106.7619</v>
      </c>
      <c r="R789" s="50">
        <v>6.7618999999999998</v>
      </c>
      <c r="S789" s="50">
        <v>-5.9730999999999996</v>
      </c>
      <c r="T789" s="46">
        <v>-12.734999999999999</v>
      </c>
    </row>
    <row r="790" spans="16:20" x14ac:dyDescent="0.25">
      <c r="P790" s="18">
        <v>789</v>
      </c>
      <c r="Q790" s="50">
        <v>151.5051</v>
      </c>
      <c r="R790" s="50">
        <v>51.505099999999999</v>
      </c>
      <c r="S790" s="50">
        <v>37.083500000000001</v>
      </c>
      <c r="T790" s="46">
        <v>-14.4215</v>
      </c>
    </row>
    <row r="791" spans="16:20" x14ac:dyDescent="0.25">
      <c r="P791" s="18">
        <v>790</v>
      </c>
      <c r="Q791" s="50">
        <v>62.786900000000003</v>
      </c>
      <c r="R791" s="50">
        <v>0</v>
      </c>
      <c r="S791" s="50">
        <v>-12.5405</v>
      </c>
      <c r="T791" s="46">
        <v>-12.5405</v>
      </c>
    </row>
    <row r="792" spans="16:20" x14ac:dyDescent="0.25">
      <c r="P792" s="18">
        <v>791</v>
      </c>
      <c r="Q792" s="50">
        <v>81.196899999999999</v>
      </c>
      <c r="R792" s="50">
        <v>0</v>
      </c>
      <c r="S792" s="50">
        <v>-16.516100000000002</v>
      </c>
      <c r="T792" s="46">
        <v>-16.516100000000002</v>
      </c>
    </row>
    <row r="793" spans="16:20" x14ac:dyDescent="0.25">
      <c r="P793" s="18">
        <v>792</v>
      </c>
      <c r="Q793" s="50">
        <v>137.3544</v>
      </c>
      <c r="R793" s="50">
        <v>37.354399999999998</v>
      </c>
      <c r="S793" s="50">
        <v>24.328299999999999</v>
      </c>
      <c r="T793" s="46">
        <v>-13.0261</v>
      </c>
    </row>
    <row r="794" spans="16:20" x14ac:dyDescent="0.25">
      <c r="P794" s="18">
        <v>793</v>
      </c>
      <c r="Q794" s="50">
        <v>96.638599999999997</v>
      </c>
      <c r="R794" s="50">
        <v>0</v>
      </c>
      <c r="S794" s="50">
        <v>-12.1778</v>
      </c>
      <c r="T794" s="46">
        <v>-12.1778</v>
      </c>
    </row>
    <row r="795" spans="16:20" x14ac:dyDescent="0.25">
      <c r="P795" s="18">
        <v>794</v>
      </c>
      <c r="Q795" s="50">
        <v>75.644800000000004</v>
      </c>
      <c r="R795" s="50">
        <v>0</v>
      </c>
      <c r="S795" s="50">
        <v>-16.339600000000001</v>
      </c>
      <c r="T795" s="46">
        <v>-16.339600000000001</v>
      </c>
    </row>
    <row r="796" spans="16:20" x14ac:dyDescent="0.25">
      <c r="P796" s="18">
        <v>795</v>
      </c>
      <c r="Q796" s="50">
        <v>108.5659</v>
      </c>
      <c r="R796" s="50">
        <v>8.5658999999999992</v>
      </c>
      <c r="S796" s="50">
        <v>-6.0674000000000001</v>
      </c>
      <c r="T796" s="46">
        <v>-14.6333</v>
      </c>
    </row>
    <row r="797" spans="16:20" x14ac:dyDescent="0.25">
      <c r="P797" s="18">
        <v>796</v>
      </c>
      <c r="Q797" s="50">
        <v>77.695099999999996</v>
      </c>
      <c r="R797" s="50">
        <v>0</v>
      </c>
      <c r="S797" s="50">
        <v>-14.824199999999999</v>
      </c>
      <c r="T797" s="46">
        <v>-14.824199999999999</v>
      </c>
    </row>
    <row r="798" spans="16:20" x14ac:dyDescent="0.25">
      <c r="P798" s="18">
        <v>797</v>
      </c>
      <c r="Q798" s="50">
        <v>93.965199999999996</v>
      </c>
      <c r="R798" s="50">
        <v>0</v>
      </c>
      <c r="S798" s="50">
        <v>-11.017099999999999</v>
      </c>
      <c r="T798" s="46">
        <v>-11.017099999999999</v>
      </c>
    </row>
    <row r="799" spans="16:20" x14ac:dyDescent="0.25">
      <c r="P799" s="18">
        <v>798</v>
      </c>
      <c r="Q799" s="50">
        <v>81.143699999999995</v>
      </c>
      <c r="R799" s="50">
        <v>0</v>
      </c>
      <c r="S799" s="50">
        <v>-13.379099999999999</v>
      </c>
      <c r="T799" s="46">
        <v>-13.379099999999999</v>
      </c>
    </row>
    <row r="800" spans="16:20" x14ac:dyDescent="0.25">
      <c r="P800" s="18">
        <v>799</v>
      </c>
      <c r="Q800" s="50">
        <v>82.702299999999994</v>
      </c>
      <c r="R800" s="50">
        <v>0</v>
      </c>
      <c r="S800" s="50">
        <v>-13.6197</v>
      </c>
      <c r="T800" s="46">
        <v>-13.6197</v>
      </c>
    </row>
    <row r="801" spans="16:20" x14ac:dyDescent="0.25">
      <c r="P801" s="18">
        <v>800</v>
      </c>
      <c r="Q801" s="50">
        <v>92.238</v>
      </c>
      <c r="R801" s="50">
        <v>0</v>
      </c>
      <c r="S801" s="50">
        <v>-18.630299999999998</v>
      </c>
      <c r="T801" s="46">
        <v>-18.630299999999998</v>
      </c>
    </row>
    <row r="802" spans="16:20" x14ac:dyDescent="0.25">
      <c r="P802" s="18">
        <v>801</v>
      </c>
      <c r="Q802" s="50">
        <v>123.28270000000001</v>
      </c>
      <c r="R802" s="50">
        <v>23.282699999999998</v>
      </c>
      <c r="S802" s="50">
        <v>9.3507999999999996</v>
      </c>
      <c r="T802" s="46">
        <v>-13.931900000000001</v>
      </c>
    </row>
    <row r="803" spans="16:20" x14ac:dyDescent="0.25">
      <c r="P803" s="18">
        <v>802</v>
      </c>
      <c r="Q803" s="50">
        <v>113.99379999999999</v>
      </c>
      <c r="R803" s="50">
        <v>13.9938</v>
      </c>
      <c r="S803" s="50">
        <v>1.2333000000000001</v>
      </c>
      <c r="T803" s="46">
        <v>-12.7605</v>
      </c>
    </row>
    <row r="804" spans="16:20" x14ac:dyDescent="0.25">
      <c r="P804" s="18">
        <v>803</v>
      </c>
      <c r="Q804" s="50">
        <v>54.337499999999999</v>
      </c>
      <c r="R804" s="50">
        <v>0</v>
      </c>
      <c r="S804" s="50">
        <v>-13.5471</v>
      </c>
      <c r="T804" s="46">
        <v>-13.5471</v>
      </c>
    </row>
    <row r="805" spans="16:20" x14ac:dyDescent="0.25">
      <c r="P805" s="18">
        <v>804</v>
      </c>
      <c r="Q805" s="50">
        <v>119.154</v>
      </c>
      <c r="R805" s="50">
        <v>19.154</v>
      </c>
      <c r="S805" s="50">
        <v>8.5884</v>
      </c>
      <c r="T805" s="46">
        <v>-10.5656</v>
      </c>
    </row>
    <row r="806" spans="16:20" x14ac:dyDescent="0.25">
      <c r="P806" s="18">
        <v>805</v>
      </c>
      <c r="Q806" s="50">
        <v>104.5218</v>
      </c>
      <c r="R806" s="50">
        <v>4.5217999999999998</v>
      </c>
      <c r="S806" s="50">
        <v>-5.6664000000000003</v>
      </c>
      <c r="T806" s="46">
        <v>-10.1882</v>
      </c>
    </row>
    <row r="807" spans="16:20" x14ac:dyDescent="0.25">
      <c r="P807" s="18">
        <v>806</v>
      </c>
      <c r="Q807" s="50">
        <v>103.5129</v>
      </c>
      <c r="R807" s="50">
        <v>3.5129000000000001</v>
      </c>
      <c r="S807" s="50">
        <v>-13.6395</v>
      </c>
      <c r="T807" s="46">
        <v>-17.1524</v>
      </c>
    </row>
    <row r="808" spans="16:20" x14ac:dyDescent="0.25">
      <c r="P808" s="18">
        <v>807</v>
      </c>
      <c r="Q808" s="50">
        <v>124.5624</v>
      </c>
      <c r="R808" s="50">
        <v>24.5624</v>
      </c>
      <c r="S808" s="50">
        <v>11.751099999999999</v>
      </c>
      <c r="T808" s="46">
        <v>-12.811299999999999</v>
      </c>
    </row>
    <row r="809" spans="16:20" x14ac:dyDescent="0.25">
      <c r="P809" s="18">
        <v>808</v>
      </c>
      <c r="Q809" s="50">
        <v>83.147300000000001</v>
      </c>
      <c r="R809" s="50">
        <v>0</v>
      </c>
      <c r="S809" s="50">
        <v>-10.939299999999999</v>
      </c>
      <c r="T809" s="46">
        <v>-10.939299999999999</v>
      </c>
    </row>
    <row r="810" spans="16:20" x14ac:dyDescent="0.25">
      <c r="P810" s="18">
        <v>809</v>
      </c>
      <c r="Q810" s="50">
        <v>108.3694</v>
      </c>
      <c r="R810" s="50">
        <v>8.3694000000000006</v>
      </c>
      <c r="S810" s="50">
        <v>-10.1427</v>
      </c>
      <c r="T810" s="46">
        <v>-18.5121</v>
      </c>
    </row>
    <row r="811" spans="16:20" x14ac:dyDescent="0.25">
      <c r="P811" s="18">
        <v>810</v>
      </c>
      <c r="Q811" s="50">
        <v>70.4392</v>
      </c>
      <c r="R811" s="50">
        <v>0</v>
      </c>
      <c r="S811" s="50">
        <v>-12.7311</v>
      </c>
      <c r="T811" s="46">
        <v>-12.7311</v>
      </c>
    </row>
    <row r="812" spans="16:20" x14ac:dyDescent="0.25">
      <c r="P812" s="18">
        <v>811</v>
      </c>
      <c r="Q812" s="50">
        <v>92.055199999999999</v>
      </c>
      <c r="R812" s="50">
        <v>0</v>
      </c>
      <c r="S812" s="50">
        <v>-13.7529</v>
      </c>
      <c r="T812" s="46">
        <v>-13.7529</v>
      </c>
    </row>
    <row r="813" spans="16:20" x14ac:dyDescent="0.25">
      <c r="P813" s="18">
        <v>812</v>
      </c>
      <c r="Q813" s="50">
        <v>71.434299999999993</v>
      </c>
      <c r="R813" s="50">
        <v>0</v>
      </c>
      <c r="S813" s="50">
        <v>-15.3307</v>
      </c>
      <c r="T813" s="46">
        <v>-15.3307</v>
      </c>
    </row>
    <row r="814" spans="16:20" x14ac:dyDescent="0.25">
      <c r="P814" s="18">
        <v>813</v>
      </c>
      <c r="Q814" s="50">
        <v>98.857200000000006</v>
      </c>
      <c r="R814" s="50">
        <v>0</v>
      </c>
      <c r="S814" s="50">
        <v>-10.341200000000001</v>
      </c>
      <c r="T814" s="46">
        <v>-10.341200000000001</v>
      </c>
    </row>
    <row r="815" spans="16:20" x14ac:dyDescent="0.25">
      <c r="P815" s="18">
        <v>814</v>
      </c>
      <c r="Q815" s="50">
        <v>114.0356</v>
      </c>
      <c r="R815" s="50">
        <v>14.035600000000001</v>
      </c>
      <c r="S815" s="50">
        <v>-2.0607000000000002</v>
      </c>
      <c r="T815" s="46">
        <v>-16.096299999999999</v>
      </c>
    </row>
    <row r="816" spans="16:20" x14ac:dyDescent="0.25">
      <c r="P816" s="18">
        <v>815</v>
      </c>
      <c r="Q816" s="50">
        <v>140.47730000000001</v>
      </c>
      <c r="R816" s="50">
        <v>40.4773</v>
      </c>
      <c r="S816" s="50">
        <v>26.081800000000001</v>
      </c>
      <c r="T816" s="46">
        <v>-14.3955</v>
      </c>
    </row>
    <row r="817" spans="16:20" x14ac:dyDescent="0.25">
      <c r="P817" s="18">
        <v>816</v>
      </c>
      <c r="Q817" s="50">
        <v>152.5427</v>
      </c>
      <c r="R817" s="50">
        <v>52.542700000000004</v>
      </c>
      <c r="S817" s="50">
        <v>40.072800000000001</v>
      </c>
      <c r="T817" s="46">
        <v>-12.469900000000001</v>
      </c>
    </row>
    <row r="818" spans="16:20" x14ac:dyDescent="0.25">
      <c r="P818" s="18">
        <v>817</v>
      </c>
      <c r="Q818" s="50">
        <v>121.5472</v>
      </c>
      <c r="R818" s="50">
        <v>21.5472</v>
      </c>
      <c r="S818" s="50">
        <v>9.6227999999999998</v>
      </c>
      <c r="T818" s="46">
        <v>-11.9244</v>
      </c>
    </row>
    <row r="819" spans="16:20" x14ac:dyDescent="0.25">
      <c r="P819" s="18">
        <v>818</v>
      </c>
      <c r="Q819" s="50">
        <v>106.28570000000001</v>
      </c>
      <c r="R819" s="50">
        <v>6.2857000000000003</v>
      </c>
      <c r="S819" s="50">
        <v>-5.8986000000000001</v>
      </c>
      <c r="T819" s="46">
        <v>-12.1843</v>
      </c>
    </row>
    <row r="820" spans="16:20" x14ac:dyDescent="0.25">
      <c r="P820" s="18">
        <v>819</v>
      </c>
      <c r="Q820" s="50">
        <v>101.8398</v>
      </c>
      <c r="R820" s="50">
        <v>1.8398000000000001</v>
      </c>
      <c r="S820" s="50">
        <v>-8.5472999999999999</v>
      </c>
      <c r="T820" s="46">
        <v>-10.3871</v>
      </c>
    </row>
    <row r="821" spans="16:20" x14ac:dyDescent="0.25">
      <c r="P821" s="18">
        <v>820</v>
      </c>
      <c r="Q821" s="50">
        <v>58.582799999999999</v>
      </c>
      <c r="R821" s="50">
        <v>0</v>
      </c>
      <c r="S821" s="50">
        <v>-15.5846</v>
      </c>
      <c r="T821" s="46">
        <v>-15.5846</v>
      </c>
    </row>
    <row r="822" spans="16:20" x14ac:dyDescent="0.25">
      <c r="P822" s="18">
        <v>821</v>
      </c>
      <c r="Q822" s="50">
        <v>97.147999999999996</v>
      </c>
      <c r="R822" s="50">
        <v>0</v>
      </c>
      <c r="S822" s="50">
        <v>-16.360399999999998</v>
      </c>
      <c r="T822" s="46">
        <v>-16.360399999999998</v>
      </c>
    </row>
    <row r="823" spans="16:20" x14ac:dyDescent="0.25">
      <c r="P823" s="18">
        <v>822</v>
      </c>
      <c r="Q823" s="50">
        <v>73.418700000000001</v>
      </c>
      <c r="R823" s="50">
        <v>0</v>
      </c>
      <c r="S823" s="50">
        <v>-18.812999999999999</v>
      </c>
      <c r="T823" s="46">
        <v>-18.812999999999999</v>
      </c>
    </row>
    <row r="824" spans="16:20" x14ac:dyDescent="0.25">
      <c r="P824" s="18">
        <v>823</v>
      </c>
      <c r="Q824" s="50">
        <v>108.9849</v>
      </c>
      <c r="R824" s="50">
        <v>8.9848999999999997</v>
      </c>
      <c r="S824" s="50">
        <v>-4.7561999999999998</v>
      </c>
      <c r="T824" s="46">
        <v>-13.741099999999999</v>
      </c>
    </row>
    <row r="825" spans="16:20" x14ac:dyDescent="0.25">
      <c r="P825" s="18">
        <v>824</v>
      </c>
      <c r="Q825" s="50">
        <v>103.59439999999999</v>
      </c>
      <c r="R825" s="50">
        <v>3.5943999999999998</v>
      </c>
      <c r="S825" s="50">
        <v>-8.3421000000000003</v>
      </c>
      <c r="T825" s="46">
        <v>-11.936500000000001</v>
      </c>
    </row>
    <row r="826" spans="16:20" x14ac:dyDescent="0.25">
      <c r="P826" s="18">
        <v>825</v>
      </c>
      <c r="Q826" s="50">
        <v>142.8528</v>
      </c>
      <c r="R826" s="50">
        <v>42.852699999999999</v>
      </c>
      <c r="S826" s="50">
        <v>30.902000000000001</v>
      </c>
      <c r="T826" s="46">
        <v>-11.950699999999999</v>
      </c>
    </row>
    <row r="827" spans="16:20" x14ac:dyDescent="0.25">
      <c r="P827" s="18">
        <v>826</v>
      </c>
      <c r="Q827" s="50">
        <v>81.164000000000001</v>
      </c>
      <c r="R827" s="50">
        <v>0</v>
      </c>
      <c r="S827" s="50">
        <v>-16.859000000000002</v>
      </c>
      <c r="T827" s="46">
        <v>-16.859000000000002</v>
      </c>
    </row>
    <row r="828" spans="16:20" x14ac:dyDescent="0.25">
      <c r="P828" s="18">
        <v>827</v>
      </c>
      <c r="Q828" s="50">
        <v>97.125799999999998</v>
      </c>
      <c r="R828" s="50">
        <v>0</v>
      </c>
      <c r="S828" s="50">
        <v>-9.7977000000000007</v>
      </c>
      <c r="T828" s="46">
        <v>-9.7977000000000007</v>
      </c>
    </row>
    <row r="829" spans="16:20" x14ac:dyDescent="0.25">
      <c r="P829" s="18">
        <v>828</v>
      </c>
      <c r="Q829" s="50">
        <v>91.966300000000004</v>
      </c>
      <c r="R829" s="50">
        <v>0</v>
      </c>
      <c r="S829" s="50">
        <v>-11.0961</v>
      </c>
      <c r="T829" s="46">
        <v>-11.0961</v>
      </c>
    </row>
    <row r="830" spans="16:20" x14ac:dyDescent="0.25">
      <c r="P830" s="18">
        <v>829</v>
      </c>
      <c r="Q830" s="50">
        <v>102.998</v>
      </c>
      <c r="R830" s="50">
        <v>2.9980000000000002</v>
      </c>
      <c r="S830" s="50">
        <v>-6.5373000000000001</v>
      </c>
      <c r="T830" s="46">
        <v>-9.5352999999999994</v>
      </c>
    </row>
    <row r="831" spans="16:20" x14ac:dyDescent="0.25">
      <c r="P831" s="18">
        <v>830</v>
      </c>
      <c r="Q831" s="50">
        <v>204.3845</v>
      </c>
      <c r="R831" s="50">
        <v>104.3845</v>
      </c>
      <c r="S831" s="50">
        <v>88.882000000000005</v>
      </c>
      <c r="T831" s="46">
        <v>-15.5025</v>
      </c>
    </row>
    <row r="832" spans="16:20" x14ac:dyDescent="0.25">
      <c r="P832" s="18">
        <v>831</v>
      </c>
      <c r="Q832" s="50">
        <v>73.658799999999999</v>
      </c>
      <c r="R832" s="50">
        <v>0</v>
      </c>
      <c r="S832" s="50">
        <v>-16.0367</v>
      </c>
      <c r="T832" s="46">
        <v>-16.0367</v>
      </c>
    </row>
    <row r="833" spans="16:20" x14ac:dyDescent="0.25">
      <c r="P833" s="18">
        <v>832</v>
      </c>
      <c r="Q833" s="50">
        <v>169.62029999999999</v>
      </c>
      <c r="R833" s="50">
        <v>69.6203</v>
      </c>
      <c r="S833" s="50">
        <v>56.824800000000003</v>
      </c>
      <c r="T833" s="46">
        <v>-12.795500000000001</v>
      </c>
    </row>
    <row r="834" spans="16:20" x14ac:dyDescent="0.25">
      <c r="P834" s="18">
        <v>833</v>
      </c>
      <c r="Q834" s="50">
        <v>176.7628</v>
      </c>
      <c r="R834" s="50">
        <v>76.762799999999999</v>
      </c>
      <c r="S834" s="50">
        <v>58.107300000000002</v>
      </c>
      <c r="T834" s="46">
        <v>-18.6555</v>
      </c>
    </row>
    <row r="835" spans="16:20" x14ac:dyDescent="0.25">
      <c r="P835" s="18">
        <v>834</v>
      </c>
      <c r="Q835" s="50">
        <v>97.944999999999993</v>
      </c>
      <c r="R835" s="50">
        <v>0</v>
      </c>
      <c r="S835" s="50">
        <v>-13.7279</v>
      </c>
      <c r="T835" s="46">
        <v>-13.7279</v>
      </c>
    </row>
    <row r="836" spans="16:20" x14ac:dyDescent="0.25">
      <c r="P836" s="18">
        <v>835</v>
      </c>
      <c r="Q836" s="50">
        <v>94.3566</v>
      </c>
      <c r="R836" s="50">
        <v>0</v>
      </c>
      <c r="S836" s="50">
        <v>-12.6754</v>
      </c>
      <c r="T836" s="46">
        <v>-12.6754</v>
      </c>
    </row>
    <row r="837" spans="16:20" x14ac:dyDescent="0.25">
      <c r="P837" s="18">
        <v>836</v>
      </c>
      <c r="Q837" s="50">
        <v>85.464600000000004</v>
      </c>
      <c r="R837" s="50">
        <v>0</v>
      </c>
      <c r="S837" s="50">
        <v>-14.244</v>
      </c>
      <c r="T837" s="46">
        <v>-14.244</v>
      </c>
    </row>
    <row r="838" spans="16:20" x14ac:dyDescent="0.25">
      <c r="P838" s="18">
        <v>837</v>
      </c>
      <c r="Q838" s="50">
        <v>81.018900000000002</v>
      </c>
      <c r="R838" s="50">
        <v>0</v>
      </c>
      <c r="S838" s="50">
        <v>-14.3896</v>
      </c>
      <c r="T838" s="46">
        <v>-14.3896</v>
      </c>
    </row>
    <row r="839" spans="16:20" x14ac:dyDescent="0.25">
      <c r="P839" s="18">
        <v>838</v>
      </c>
      <c r="Q839" s="50">
        <v>107.0354</v>
      </c>
      <c r="R839" s="50">
        <v>7.0354000000000001</v>
      </c>
      <c r="S839" s="50">
        <v>-10.589700000000001</v>
      </c>
      <c r="T839" s="46">
        <v>-17.6251</v>
      </c>
    </row>
    <row r="840" spans="16:20" x14ac:dyDescent="0.25">
      <c r="P840" s="18">
        <v>839</v>
      </c>
      <c r="Q840" s="50">
        <v>78.886799999999994</v>
      </c>
      <c r="R840" s="50">
        <v>0</v>
      </c>
      <c r="S840" s="50">
        <v>-14.9133</v>
      </c>
      <c r="T840" s="46">
        <v>-14.9133</v>
      </c>
    </row>
    <row r="841" spans="16:20" x14ac:dyDescent="0.25">
      <c r="P841" s="18">
        <v>840</v>
      </c>
      <c r="Q841" s="50">
        <v>95.276799999999994</v>
      </c>
      <c r="R841" s="50">
        <v>0</v>
      </c>
      <c r="S841" s="50">
        <v>-17.343</v>
      </c>
      <c r="T841" s="46">
        <v>-17.343</v>
      </c>
    </row>
    <row r="842" spans="16:20" x14ac:dyDescent="0.25">
      <c r="P842" s="18">
        <v>841</v>
      </c>
      <c r="Q842" s="50">
        <v>112.3935</v>
      </c>
      <c r="R842" s="50">
        <v>12.3935</v>
      </c>
      <c r="S842" s="50">
        <v>1.0397000000000001</v>
      </c>
      <c r="T842" s="46">
        <v>-11.3538</v>
      </c>
    </row>
    <row r="843" spans="16:20" x14ac:dyDescent="0.25">
      <c r="P843" s="18">
        <v>842</v>
      </c>
      <c r="Q843" s="50">
        <v>122.68259999999999</v>
      </c>
      <c r="R843" s="50">
        <v>22.682600000000001</v>
      </c>
      <c r="S843" s="50">
        <v>8.7734000000000005</v>
      </c>
      <c r="T843" s="46">
        <v>-13.9092</v>
      </c>
    </row>
    <row r="844" spans="16:20" x14ac:dyDescent="0.25">
      <c r="P844" s="18">
        <v>843</v>
      </c>
      <c r="Q844" s="50">
        <v>95.937200000000004</v>
      </c>
      <c r="R844" s="50">
        <v>0</v>
      </c>
      <c r="S844" s="50">
        <v>-12.414199999999999</v>
      </c>
      <c r="T844" s="46">
        <v>-12.414199999999999</v>
      </c>
    </row>
    <row r="845" spans="16:20" x14ac:dyDescent="0.25">
      <c r="P845" s="18">
        <v>844</v>
      </c>
      <c r="Q845" s="50">
        <v>120.4029</v>
      </c>
      <c r="R845" s="50">
        <v>20.402899999999999</v>
      </c>
      <c r="S845" s="50">
        <v>5.9500999999999999</v>
      </c>
      <c r="T845" s="46">
        <v>-14.4528</v>
      </c>
    </row>
    <row r="846" spans="16:20" x14ac:dyDescent="0.25">
      <c r="P846" s="18">
        <v>845</v>
      </c>
      <c r="Q846" s="50">
        <v>82.969200000000001</v>
      </c>
      <c r="R846" s="50">
        <v>0</v>
      </c>
      <c r="S846" s="50">
        <v>-13.695399999999999</v>
      </c>
      <c r="T846" s="46">
        <v>-13.695399999999999</v>
      </c>
    </row>
    <row r="847" spans="16:20" x14ac:dyDescent="0.25">
      <c r="P847" s="18">
        <v>846</v>
      </c>
      <c r="Q847" s="50">
        <v>74.102000000000004</v>
      </c>
      <c r="R847" s="50">
        <v>0</v>
      </c>
      <c r="S847" s="50">
        <v>-14.898199999999999</v>
      </c>
      <c r="T847" s="46">
        <v>-14.898199999999999</v>
      </c>
    </row>
    <row r="848" spans="16:20" x14ac:dyDescent="0.25">
      <c r="P848" s="18">
        <v>847</v>
      </c>
      <c r="Q848" s="50">
        <v>123.93980000000001</v>
      </c>
      <c r="R848" s="50">
        <v>23.939800000000002</v>
      </c>
      <c r="S848" s="50">
        <v>11.4841</v>
      </c>
      <c r="T848" s="46">
        <v>-12.4557</v>
      </c>
    </row>
    <row r="849" spans="16:20" x14ac:dyDescent="0.25">
      <c r="P849" s="18">
        <v>848</v>
      </c>
      <c r="Q849" s="50">
        <v>116.0527</v>
      </c>
      <c r="R849" s="50">
        <v>16.052700000000002</v>
      </c>
      <c r="S849" s="50">
        <v>3.5141</v>
      </c>
      <c r="T849" s="46">
        <v>-12.538600000000001</v>
      </c>
    </row>
    <row r="850" spans="16:20" x14ac:dyDescent="0.25">
      <c r="P850" s="18">
        <v>849</v>
      </c>
      <c r="Q850" s="50">
        <v>58.822400000000002</v>
      </c>
      <c r="R850" s="50">
        <v>0</v>
      </c>
      <c r="S850" s="50">
        <v>-14.7342</v>
      </c>
      <c r="T850" s="46">
        <v>-14.7342</v>
      </c>
    </row>
    <row r="851" spans="16:20" x14ac:dyDescent="0.25">
      <c r="P851" s="18">
        <v>850</v>
      </c>
      <c r="Q851" s="50">
        <v>92.771799999999999</v>
      </c>
      <c r="R851" s="50">
        <v>0</v>
      </c>
      <c r="S851" s="50">
        <v>-11.297599999999999</v>
      </c>
      <c r="T851" s="46">
        <v>-11.297599999999999</v>
      </c>
    </row>
    <row r="852" spans="16:20" x14ac:dyDescent="0.25">
      <c r="P852" s="18">
        <v>851</v>
      </c>
      <c r="Q852" s="50">
        <v>66.9221</v>
      </c>
      <c r="R852" s="50">
        <v>0</v>
      </c>
      <c r="S852" s="50">
        <v>-12.009</v>
      </c>
      <c r="T852" s="46">
        <v>-12.009</v>
      </c>
    </row>
    <row r="853" spans="16:20" x14ac:dyDescent="0.25">
      <c r="P853" s="18">
        <v>852</v>
      </c>
      <c r="Q853" s="50">
        <v>100</v>
      </c>
      <c r="R853" s="50">
        <v>0</v>
      </c>
      <c r="S853" s="50">
        <v>-6.9093999999999998</v>
      </c>
      <c r="T853" s="46">
        <v>-6.9093999999999998</v>
      </c>
    </row>
    <row r="854" spans="16:20" x14ac:dyDescent="0.25">
      <c r="P854" s="18">
        <v>853</v>
      </c>
      <c r="Q854" s="50">
        <v>85.5822</v>
      </c>
      <c r="R854" s="50">
        <v>0</v>
      </c>
      <c r="S854" s="50">
        <v>-17.255299999999998</v>
      </c>
      <c r="T854" s="46">
        <v>-17.255299999999998</v>
      </c>
    </row>
    <row r="855" spans="16:20" x14ac:dyDescent="0.25">
      <c r="P855" s="18">
        <v>854</v>
      </c>
      <c r="Q855" s="50">
        <v>56.1877</v>
      </c>
      <c r="R855" s="50">
        <v>0</v>
      </c>
      <c r="S855" s="50">
        <v>-13.3489</v>
      </c>
      <c r="T855" s="46">
        <v>-13.3489</v>
      </c>
    </row>
    <row r="856" spans="16:20" x14ac:dyDescent="0.25">
      <c r="P856" s="18">
        <v>855</v>
      </c>
      <c r="Q856" s="50">
        <v>48.196599999999997</v>
      </c>
      <c r="R856" s="50">
        <v>0</v>
      </c>
      <c r="S856" s="50">
        <v>-14.9152</v>
      </c>
      <c r="T856" s="46">
        <v>-14.9152</v>
      </c>
    </row>
    <row r="857" spans="16:20" x14ac:dyDescent="0.25">
      <c r="P857" s="18">
        <v>856</v>
      </c>
      <c r="Q857" s="50">
        <v>68.049099999999996</v>
      </c>
      <c r="R857" s="50">
        <v>0</v>
      </c>
      <c r="S857" s="50">
        <v>-15.236800000000001</v>
      </c>
      <c r="T857" s="46">
        <v>-15.236800000000001</v>
      </c>
    </row>
    <row r="858" spans="16:20" x14ac:dyDescent="0.25">
      <c r="P858" s="18">
        <v>857</v>
      </c>
      <c r="Q858" s="50">
        <v>89.599199999999996</v>
      </c>
      <c r="R858" s="50">
        <v>0</v>
      </c>
      <c r="S858" s="50">
        <v>-14.3917</v>
      </c>
      <c r="T858" s="46">
        <v>-14.3917</v>
      </c>
    </row>
    <row r="859" spans="16:20" x14ac:dyDescent="0.25">
      <c r="P859" s="18">
        <v>858</v>
      </c>
      <c r="Q859" s="50">
        <v>83.862099999999998</v>
      </c>
      <c r="R859" s="50">
        <v>0</v>
      </c>
      <c r="S859" s="50">
        <v>-16.6983</v>
      </c>
      <c r="T859" s="46">
        <v>-16.6983</v>
      </c>
    </row>
    <row r="860" spans="16:20" x14ac:dyDescent="0.25">
      <c r="P860" s="18">
        <v>859</v>
      </c>
      <c r="Q860" s="50">
        <v>154.74469999999999</v>
      </c>
      <c r="R860" s="50">
        <v>54.744700000000002</v>
      </c>
      <c r="S860" s="50">
        <v>37.215699999999998</v>
      </c>
      <c r="T860" s="46">
        <v>-17.529</v>
      </c>
    </row>
    <row r="861" spans="16:20" x14ac:dyDescent="0.25">
      <c r="P861" s="18">
        <v>860</v>
      </c>
      <c r="Q861" s="50">
        <v>110.1499</v>
      </c>
      <c r="R861" s="50">
        <v>10.149900000000001</v>
      </c>
      <c r="S861" s="50">
        <v>-5.2869999999999999</v>
      </c>
      <c r="T861" s="46">
        <v>-15.4369</v>
      </c>
    </row>
    <row r="862" spans="16:20" x14ac:dyDescent="0.25">
      <c r="P862" s="18">
        <v>861</v>
      </c>
      <c r="Q862" s="50">
        <v>107.1632</v>
      </c>
      <c r="R862" s="50">
        <v>7.1631999999999998</v>
      </c>
      <c r="S862" s="50">
        <v>-6.8220999999999998</v>
      </c>
      <c r="T862" s="46">
        <v>-13.985300000000001</v>
      </c>
    </row>
    <row r="863" spans="16:20" x14ac:dyDescent="0.25">
      <c r="P863" s="18">
        <v>862</v>
      </c>
      <c r="Q863" s="50">
        <v>115.2371</v>
      </c>
      <c r="R863" s="50">
        <v>15.2371</v>
      </c>
      <c r="S863" s="50">
        <v>2.9470000000000001</v>
      </c>
      <c r="T863" s="46">
        <v>-12.290100000000001</v>
      </c>
    </row>
    <row r="864" spans="16:20" x14ac:dyDescent="0.25">
      <c r="P864" s="18">
        <v>863</v>
      </c>
      <c r="Q864" s="50">
        <v>130.46190000000001</v>
      </c>
      <c r="R864" s="50">
        <v>30.4619</v>
      </c>
      <c r="S864" s="50">
        <v>17.304200000000002</v>
      </c>
      <c r="T864" s="46">
        <v>-13.1576</v>
      </c>
    </row>
    <row r="865" spans="16:20" x14ac:dyDescent="0.25">
      <c r="P865" s="18">
        <v>864</v>
      </c>
      <c r="Q865" s="50">
        <v>105.2608</v>
      </c>
      <c r="R865" s="50">
        <v>5.2607999999999997</v>
      </c>
      <c r="S865" s="50">
        <v>-7.7685000000000004</v>
      </c>
      <c r="T865" s="46">
        <v>-13.029299999999999</v>
      </c>
    </row>
    <row r="866" spans="16:20" x14ac:dyDescent="0.25">
      <c r="P866" s="18">
        <v>865</v>
      </c>
      <c r="Q866" s="50">
        <v>191.26949999999999</v>
      </c>
      <c r="R866" s="50">
        <v>91.269499999999994</v>
      </c>
      <c r="S866" s="50">
        <v>74.545000000000002</v>
      </c>
      <c r="T866" s="46">
        <v>-16.724499999999999</v>
      </c>
    </row>
    <row r="867" spans="16:20" x14ac:dyDescent="0.25">
      <c r="P867" s="18">
        <v>866</v>
      </c>
      <c r="Q867" s="50">
        <v>62.829300000000003</v>
      </c>
      <c r="R867" s="50">
        <v>0</v>
      </c>
      <c r="S867" s="50">
        <v>-13.622</v>
      </c>
      <c r="T867" s="46">
        <v>-13.622</v>
      </c>
    </row>
    <row r="868" spans="16:20" x14ac:dyDescent="0.25">
      <c r="P868" s="18">
        <v>867</v>
      </c>
      <c r="Q868" s="50">
        <v>135.16079999999999</v>
      </c>
      <c r="R868" s="50">
        <v>35.160800000000002</v>
      </c>
      <c r="S868" s="50">
        <v>22.510899999999999</v>
      </c>
      <c r="T868" s="46">
        <v>-12.649800000000001</v>
      </c>
    </row>
    <row r="869" spans="16:20" x14ac:dyDescent="0.25">
      <c r="P869" s="18">
        <v>868</v>
      </c>
      <c r="Q869" s="50">
        <v>92.262100000000004</v>
      </c>
      <c r="R869" s="50">
        <v>0</v>
      </c>
      <c r="S869" s="50">
        <v>-15.136799999999999</v>
      </c>
      <c r="T869" s="46">
        <v>-15.136799999999999</v>
      </c>
    </row>
    <row r="870" spans="16:20" x14ac:dyDescent="0.25">
      <c r="P870" s="18">
        <v>869</v>
      </c>
      <c r="Q870" s="50">
        <v>89.727400000000003</v>
      </c>
      <c r="R870" s="50">
        <v>0</v>
      </c>
      <c r="S870" s="50">
        <v>-10.1557</v>
      </c>
      <c r="T870" s="46">
        <v>-10.1557</v>
      </c>
    </row>
    <row r="871" spans="16:20" x14ac:dyDescent="0.25">
      <c r="P871" s="18">
        <v>870</v>
      </c>
      <c r="Q871" s="50">
        <v>107.01600000000001</v>
      </c>
      <c r="R871" s="50">
        <v>7.016</v>
      </c>
      <c r="S871" s="50">
        <v>-5.3587999999999996</v>
      </c>
      <c r="T871" s="46">
        <v>-12.374700000000001</v>
      </c>
    </row>
    <row r="872" spans="16:20" x14ac:dyDescent="0.25">
      <c r="P872" s="18">
        <v>871</v>
      </c>
      <c r="Q872" s="50">
        <v>116.2482</v>
      </c>
      <c r="R872" s="50">
        <v>16.248200000000001</v>
      </c>
      <c r="S872" s="50">
        <v>3.9379</v>
      </c>
      <c r="T872" s="46">
        <v>-12.3103</v>
      </c>
    </row>
    <row r="873" spans="16:20" x14ac:dyDescent="0.25">
      <c r="P873" s="18">
        <v>872</v>
      </c>
      <c r="Q873" s="50">
        <v>79.006200000000007</v>
      </c>
      <c r="R873" s="50">
        <v>0</v>
      </c>
      <c r="S873" s="50">
        <v>-14.187200000000001</v>
      </c>
      <c r="T873" s="46">
        <v>-14.187200000000001</v>
      </c>
    </row>
    <row r="874" spans="16:20" x14ac:dyDescent="0.25">
      <c r="P874" s="18">
        <v>873</v>
      </c>
      <c r="Q874" s="50">
        <v>106.6885</v>
      </c>
      <c r="R874" s="50">
        <v>6.6885000000000003</v>
      </c>
      <c r="S874" s="50">
        <v>-7.1755000000000004</v>
      </c>
      <c r="T874" s="46">
        <v>-13.864100000000001</v>
      </c>
    </row>
    <row r="875" spans="16:20" x14ac:dyDescent="0.25">
      <c r="P875" s="18">
        <v>874</v>
      </c>
      <c r="Q875" s="50">
        <v>132.3013</v>
      </c>
      <c r="R875" s="50">
        <v>32.301299999999998</v>
      </c>
      <c r="S875" s="50">
        <v>20.015499999999999</v>
      </c>
      <c r="T875" s="46">
        <v>-12.2859</v>
      </c>
    </row>
    <row r="876" spans="16:20" x14ac:dyDescent="0.25">
      <c r="P876" s="18">
        <v>875</v>
      </c>
      <c r="Q876" s="50">
        <v>116.3762</v>
      </c>
      <c r="R876" s="50">
        <v>16.376200000000001</v>
      </c>
      <c r="S876" s="50">
        <v>-0.22889999999999999</v>
      </c>
      <c r="T876" s="46">
        <v>-16.6051</v>
      </c>
    </row>
    <row r="877" spans="16:20" x14ac:dyDescent="0.25">
      <c r="P877" s="18">
        <v>876</v>
      </c>
      <c r="Q877" s="50">
        <v>135.99250000000001</v>
      </c>
      <c r="R877" s="50">
        <v>35.9925</v>
      </c>
      <c r="S877" s="50">
        <v>18.5318</v>
      </c>
      <c r="T877" s="46">
        <v>-17.460699999999999</v>
      </c>
    </row>
    <row r="878" spans="16:20" x14ac:dyDescent="0.25">
      <c r="P878" s="18">
        <v>877</v>
      </c>
      <c r="Q878" s="50">
        <v>76.914199999999994</v>
      </c>
      <c r="R878" s="50">
        <v>0</v>
      </c>
      <c r="S878" s="50">
        <v>-15.4443</v>
      </c>
      <c r="T878" s="46">
        <v>-15.4443</v>
      </c>
    </row>
    <row r="879" spans="16:20" x14ac:dyDescent="0.25">
      <c r="P879" s="18">
        <v>878</v>
      </c>
      <c r="Q879" s="50">
        <v>146.19569999999999</v>
      </c>
      <c r="R879" s="50">
        <v>46.195700000000002</v>
      </c>
      <c r="S879" s="50">
        <v>31.111499999999999</v>
      </c>
      <c r="T879" s="46">
        <v>-15.084300000000001</v>
      </c>
    </row>
    <row r="880" spans="16:20" x14ac:dyDescent="0.25">
      <c r="P880" s="18">
        <v>879</v>
      </c>
      <c r="Q880" s="50">
        <v>110.93770000000001</v>
      </c>
      <c r="R880" s="50">
        <v>10.9377</v>
      </c>
      <c r="S880" s="50">
        <v>-3.4813000000000001</v>
      </c>
      <c r="T880" s="46">
        <v>-14.419</v>
      </c>
    </row>
    <row r="881" spans="16:20" x14ac:dyDescent="0.25">
      <c r="P881" s="18">
        <v>880</v>
      </c>
      <c r="Q881" s="50">
        <v>70.700800000000001</v>
      </c>
      <c r="R881" s="50">
        <v>0</v>
      </c>
      <c r="S881" s="50">
        <v>-15.7303</v>
      </c>
      <c r="T881" s="46">
        <v>-15.7303</v>
      </c>
    </row>
    <row r="882" spans="16:20" x14ac:dyDescent="0.25">
      <c r="P882" s="18">
        <v>881</v>
      </c>
      <c r="Q882" s="50">
        <v>83.3977</v>
      </c>
      <c r="R882" s="50">
        <v>0</v>
      </c>
      <c r="S882" s="50">
        <v>-14.6845</v>
      </c>
      <c r="T882" s="46">
        <v>-14.6845</v>
      </c>
    </row>
    <row r="883" spans="16:20" x14ac:dyDescent="0.25">
      <c r="P883" s="18">
        <v>882</v>
      </c>
      <c r="Q883" s="50">
        <v>72.366299999999995</v>
      </c>
      <c r="R883" s="50">
        <v>0</v>
      </c>
      <c r="S883" s="50">
        <v>-14.660600000000001</v>
      </c>
      <c r="T883" s="46">
        <v>-14.660600000000001</v>
      </c>
    </row>
    <row r="884" spans="16:20" x14ac:dyDescent="0.25">
      <c r="P884" s="18">
        <v>883</v>
      </c>
      <c r="Q884" s="50">
        <v>92.963200000000001</v>
      </c>
      <c r="R884" s="50">
        <v>0</v>
      </c>
      <c r="S884" s="50">
        <v>-16.217500000000001</v>
      </c>
      <c r="T884" s="46">
        <v>-16.217500000000001</v>
      </c>
    </row>
    <row r="885" spans="16:20" x14ac:dyDescent="0.25">
      <c r="P885" s="18">
        <v>884</v>
      </c>
      <c r="Q885" s="50">
        <v>168.1337</v>
      </c>
      <c r="R885" s="50">
        <v>68.133700000000005</v>
      </c>
      <c r="S885" s="50">
        <v>53.849899999999998</v>
      </c>
      <c r="T885" s="46">
        <v>-14.283799999999999</v>
      </c>
    </row>
    <row r="886" spans="16:20" x14ac:dyDescent="0.25">
      <c r="P886" s="18">
        <v>885</v>
      </c>
      <c r="Q886" s="50">
        <v>57.143300000000004</v>
      </c>
      <c r="R886" s="50">
        <v>0</v>
      </c>
      <c r="S886" s="50">
        <v>-14.089399999999999</v>
      </c>
      <c r="T886" s="46">
        <v>-14.089399999999999</v>
      </c>
    </row>
    <row r="887" spans="16:20" x14ac:dyDescent="0.25">
      <c r="P887" s="18">
        <v>886</v>
      </c>
      <c r="Q887" s="50">
        <v>111.23520000000001</v>
      </c>
      <c r="R887" s="50">
        <v>11.235200000000001</v>
      </c>
      <c r="S887" s="50">
        <v>1.0979000000000001</v>
      </c>
      <c r="T887" s="46">
        <v>-10.1373</v>
      </c>
    </row>
    <row r="888" spans="16:20" x14ac:dyDescent="0.25">
      <c r="P888" s="18">
        <v>887</v>
      </c>
      <c r="Q888" s="50">
        <v>237.44409999999999</v>
      </c>
      <c r="R888" s="50">
        <v>137.44409999999999</v>
      </c>
      <c r="S888" s="50">
        <v>120.4272</v>
      </c>
      <c r="T888" s="46">
        <v>-17.0168</v>
      </c>
    </row>
    <row r="889" spans="16:20" x14ac:dyDescent="0.25">
      <c r="P889" s="18">
        <v>888</v>
      </c>
      <c r="Q889" s="50">
        <v>160.12610000000001</v>
      </c>
      <c r="R889" s="50">
        <v>60.126100000000001</v>
      </c>
      <c r="S889" s="50">
        <v>44.362699999999997</v>
      </c>
      <c r="T889" s="46">
        <v>-15.763400000000001</v>
      </c>
    </row>
    <row r="890" spans="16:20" x14ac:dyDescent="0.25">
      <c r="P890" s="18">
        <v>889</v>
      </c>
      <c r="Q890" s="50">
        <v>179.7269</v>
      </c>
      <c r="R890" s="50">
        <v>79.726900000000001</v>
      </c>
      <c r="S890" s="50">
        <v>63.755099999999999</v>
      </c>
      <c r="T890" s="46">
        <v>-15.9717</v>
      </c>
    </row>
    <row r="891" spans="16:20" x14ac:dyDescent="0.25">
      <c r="P891" s="18">
        <v>890</v>
      </c>
      <c r="Q891" s="50">
        <v>115.50790000000001</v>
      </c>
      <c r="R891" s="50">
        <v>15.507899999999999</v>
      </c>
      <c r="S891" s="50">
        <v>1.4302999999999999</v>
      </c>
      <c r="T891" s="46">
        <v>-14.0777</v>
      </c>
    </row>
    <row r="892" spans="16:20" x14ac:dyDescent="0.25">
      <c r="P892" s="18">
        <v>891</v>
      </c>
      <c r="Q892" s="50">
        <v>77.578900000000004</v>
      </c>
      <c r="R892" s="50">
        <v>0</v>
      </c>
      <c r="S892" s="50">
        <v>-14.7643</v>
      </c>
      <c r="T892" s="46">
        <v>-14.7643</v>
      </c>
    </row>
    <row r="893" spans="16:20" x14ac:dyDescent="0.25">
      <c r="P893" s="18">
        <v>892</v>
      </c>
      <c r="Q893" s="50">
        <v>76.293899999999994</v>
      </c>
      <c r="R893" s="50">
        <v>0</v>
      </c>
      <c r="S893" s="50">
        <v>-22.421099999999999</v>
      </c>
      <c r="T893" s="46">
        <v>-22.421099999999999</v>
      </c>
    </row>
    <row r="894" spans="16:20" x14ac:dyDescent="0.25">
      <c r="P894" s="18">
        <v>893</v>
      </c>
      <c r="Q894" s="50">
        <v>106.56310000000001</v>
      </c>
      <c r="R894" s="50">
        <v>6.5631000000000004</v>
      </c>
      <c r="S894" s="50">
        <v>-7.8540999999999999</v>
      </c>
      <c r="T894" s="46">
        <v>-14.417199999999999</v>
      </c>
    </row>
    <row r="895" spans="16:20" x14ac:dyDescent="0.25">
      <c r="P895" s="18">
        <v>894</v>
      </c>
      <c r="Q895" s="50">
        <v>66.233900000000006</v>
      </c>
      <c r="R895" s="50">
        <v>0</v>
      </c>
      <c r="S895" s="50">
        <v>-14.2536</v>
      </c>
      <c r="T895" s="46">
        <v>-14.2536</v>
      </c>
    </row>
    <row r="896" spans="16:20" x14ac:dyDescent="0.25">
      <c r="P896" s="18">
        <v>895</v>
      </c>
      <c r="Q896" s="50">
        <v>102.2762</v>
      </c>
      <c r="R896" s="50">
        <v>2.2761999999999998</v>
      </c>
      <c r="S896" s="50">
        <v>-8.2116000000000007</v>
      </c>
      <c r="T896" s="46">
        <v>-10.4878</v>
      </c>
    </row>
    <row r="897" spans="16:20" x14ac:dyDescent="0.25">
      <c r="P897" s="18">
        <v>896</v>
      </c>
      <c r="Q897" s="50">
        <v>94.101699999999994</v>
      </c>
      <c r="R897" s="50">
        <v>0</v>
      </c>
      <c r="S897" s="50">
        <v>-10.6629</v>
      </c>
      <c r="T897" s="46">
        <v>-10.6629</v>
      </c>
    </row>
    <row r="898" spans="16:20" x14ac:dyDescent="0.25">
      <c r="P898" s="18">
        <v>897</v>
      </c>
      <c r="Q898" s="50">
        <v>137.72479999999999</v>
      </c>
      <c r="R898" s="50">
        <v>37.724800000000002</v>
      </c>
      <c r="S898" s="50">
        <v>21.553699999999999</v>
      </c>
      <c r="T898" s="46">
        <v>-16.171099999999999</v>
      </c>
    </row>
    <row r="899" spans="16:20" x14ac:dyDescent="0.25">
      <c r="P899" s="18">
        <v>898</v>
      </c>
      <c r="Q899" s="50">
        <v>71.518600000000006</v>
      </c>
      <c r="R899" s="50">
        <v>0</v>
      </c>
      <c r="S899" s="50">
        <v>-16.3139</v>
      </c>
      <c r="T899" s="46">
        <v>-16.3139</v>
      </c>
    </row>
    <row r="900" spans="16:20" x14ac:dyDescent="0.25">
      <c r="P900" s="18">
        <v>899</v>
      </c>
      <c r="Q900" s="50">
        <v>100.6378</v>
      </c>
      <c r="R900" s="50">
        <v>0.63780000000000003</v>
      </c>
      <c r="S900" s="50">
        <v>-11.2326</v>
      </c>
      <c r="T900" s="46">
        <v>-11.8704</v>
      </c>
    </row>
    <row r="901" spans="16:20" x14ac:dyDescent="0.25">
      <c r="P901" s="18">
        <v>900</v>
      </c>
      <c r="Q901" s="50">
        <v>107.80500000000001</v>
      </c>
      <c r="R901" s="50">
        <v>7.8049999999999997</v>
      </c>
      <c r="S901" s="50">
        <v>-5.6215999999999999</v>
      </c>
      <c r="T901" s="46">
        <v>-13.4267</v>
      </c>
    </row>
    <row r="902" spans="16:20" x14ac:dyDescent="0.25">
      <c r="P902" s="18">
        <v>901</v>
      </c>
      <c r="Q902" s="50">
        <v>110.9854</v>
      </c>
      <c r="R902" s="50">
        <v>10.9854</v>
      </c>
      <c r="S902" s="50">
        <v>-3.5668000000000002</v>
      </c>
      <c r="T902" s="46">
        <v>-14.552199999999999</v>
      </c>
    </row>
    <row r="903" spans="16:20" x14ac:dyDescent="0.25">
      <c r="P903" s="18">
        <v>902</v>
      </c>
      <c r="Q903" s="50">
        <v>135.64330000000001</v>
      </c>
      <c r="R903" s="50">
        <v>35.643300000000004</v>
      </c>
      <c r="S903" s="50">
        <v>21.8187</v>
      </c>
      <c r="T903" s="46">
        <v>-13.8246</v>
      </c>
    </row>
    <row r="904" spans="16:20" x14ac:dyDescent="0.25">
      <c r="P904" s="18">
        <v>903</v>
      </c>
      <c r="Q904" s="50">
        <v>105.08159999999999</v>
      </c>
      <c r="R904" s="50">
        <v>5.0815999999999999</v>
      </c>
      <c r="S904" s="50">
        <v>-3.9994000000000001</v>
      </c>
      <c r="T904" s="46">
        <v>-9.0809999999999995</v>
      </c>
    </row>
    <row r="905" spans="16:20" x14ac:dyDescent="0.25">
      <c r="P905" s="18">
        <v>904</v>
      </c>
      <c r="Q905" s="50">
        <v>136.17869999999999</v>
      </c>
      <c r="R905" s="50">
        <v>36.178699999999999</v>
      </c>
      <c r="S905" s="50">
        <v>23.052499999999998</v>
      </c>
      <c r="T905" s="46">
        <v>-13.126300000000001</v>
      </c>
    </row>
    <row r="906" spans="16:20" x14ac:dyDescent="0.25">
      <c r="P906" s="18">
        <v>905</v>
      </c>
      <c r="Q906" s="50">
        <v>94.173599999999993</v>
      </c>
      <c r="R906" s="50">
        <v>0</v>
      </c>
      <c r="S906" s="50">
        <v>-16.254799999999999</v>
      </c>
      <c r="T906" s="46">
        <v>-16.254799999999999</v>
      </c>
    </row>
    <row r="907" spans="16:20" x14ac:dyDescent="0.25">
      <c r="P907" s="18">
        <v>906</v>
      </c>
      <c r="Q907" s="50">
        <v>83.378299999999996</v>
      </c>
      <c r="R907" s="50">
        <v>0</v>
      </c>
      <c r="S907" s="50">
        <v>-12.667299999999999</v>
      </c>
      <c r="T907" s="46">
        <v>-12.667299999999999</v>
      </c>
    </row>
    <row r="908" spans="16:20" x14ac:dyDescent="0.25">
      <c r="P908" s="18">
        <v>907</v>
      </c>
      <c r="Q908" s="50">
        <v>106.88849999999999</v>
      </c>
      <c r="R908" s="50">
        <v>6.8884999999999996</v>
      </c>
      <c r="S908" s="50">
        <v>-7.6703999999999999</v>
      </c>
      <c r="T908" s="46">
        <v>-14.5588</v>
      </c>
    </row>
    <row r="909" spans="16:20" x14ac:dyDescent="0.25">
      <c r="P909" s="18">
        <v>908</v>
      </c>
      <c r="Q909" s="50">
        <v>175.8109</v>
      </c>
      <c r="R909" s="50">
        <v>75.810900000000004</v>
      </c>
      <c r="S909" s="50">
        <v>60.24</v>
      </c>
      <c r="T909" s="46">
        <v>-15.5709</v>
      </c>
    </row>
    <row r="910" spans="16:20" x14ac:dyDescent="0.25">
      <c r="P910" s="18">
        <v>909</v>
      </c>
      <c r="Q910" s="50">
        <v>114.21720000000001</v>
      </c>
      <c r="R910" s="50">
        <v>14.2172</v>
      </c>
      <c r="S910" s="50">
        <v>2.4361999999999999</v>
      </c>
      <c r="T910" s="46">
        <v>-11.781000000000001</v>
      </c>
    </row>
    <row r="911" spans="16:20" x14ac:dyDescent="0.25">
      <c r="P911" s="18">
        <v>910</v>
      </c>
      <c r="Q911" s="50">
        <v>150.036</v>
      </c>
      <c r="R911" s="50">
        <v>50.036000000000001</v>
      </c>
      <c r="S911" s="50">
        <v>36.799700000000001</v>
      </c>
      <c r="T911" s="46">
        <v>-13.2363</v>
      </c>
    </row>
    <row r="912" spans="16:20" x14ac:dyDescent="0.25">
      <c r="P912" s="18">
        <v>911</v>
      </c>
      <c r="Q912" s="50">
        <v>158.2928</v>
      </c>
      <c r="R912" s="50">
        <v>58.2928</v>
      </c>
      <c r="S912" s="50">
        <v>44.448900000000002</v>
      </c>
      <c r="T912" s="46">
        <v>-13.8439</v>
      </c>
    </row>
    <row r="913" spans="16:20" x14ac:dyDescent="0.25">
      <c r="P913" s="18">
        <v>912</v>
      </c>
      <c r="Q913" s="50">
        <v>143.44710000000001</v>
      </c>
      <c r="R913" s="50">
        <v>43.447099999999999</v>
      </c>
      <c r="S913" s="50">
        <v>25.889099999999999</v>
      </c>
      <c r="T913" s="46">
        <v>-17.5581</v>
      </c>
    </row>
    <row r="914" spans="16:20" x14ac:dyDescent="0.25">
      <c r="P914" s="18">
        <v>913</v>
      </c>
      <c r="Q914" s="50">
        <v>78.638099999999994</v>
      </c>
      <c r="R914" s="50">
        <v>0</v>
      </c>
      <c r="S914" s="50">
        <v>-16.398</v>
      </c>
      <c r="T914" s="46">
        <v>-16.398</v>
      </c>
    </row>
    <row r="915" spans="16:20" x14ac:dyDescent="0.25">
      <c r="P915" s="18">
        <v>914</v>
      </c>
      <c r="Q915" s="50">
        <v>79.434399999999997</v>
      </c>
      <c r="R915" s="50">
        <v>0</v>
      </c>
      <c r="S915" s="50">
        <v>-15.173299999999999</v>
      </c>
      <c r="T915" s="46">
        <v>-15.173299999999999</v>
      </c>
    </row>
    <row r="916" spans="16:20" x14ac:dyDescent="0.25">
      <c r="P916" s="18">
        <v>915</v>
      </c>
      <c r="Q916" s="50">
        <v>112.369</v>
      </c>
      <c r="R916" s="50">
        <v>12.369</v>
      </c>
      <c r="S916" s="50">
        <v>-2.4681000000000002</v>
      </c>
      <c r="T916" s="46">
        <v>-14.8371</v>
      </c>
    </row>
    <row r="917" spans="16:20" x14ac:dyDescent="0.25">
      <c r="P917" s="18">
        <v>916</v>
      </c>
      <c r="Q917" s="50">
        <v>63.477499999999999</v>
      </c>
      <c r="R917" s="50">
        <v>0</v>
      </c>
      <c r="S917" s="50">
        <v>-15.766500000000001</v>
      </c>
      <c r="T917" s="46">
        <v>-15.766500000000001</v>
      </c>
    </row>
    <row r="918" spans="16:20" x14ac:dyDescent="0.25">
      <c r="P918" s="18">
        <v>917</v>
      </c>
      <c r="Q918" s="50">
        <v>92.623999999999995</v>
      </c>
      <c r="R918" s="50">
        <v>0</v>
      </c>
      <c r="S918" s="50">
        <v>-11.781000000000001</v>
      </c>
      <c r="T918" s="46">
        <v>-11.781000000000001</v>
      </c>
    </row>
    <row r="919" spans="16:20" x14ac:dyDescent="0.25">
      <c r="P919" s="18">
        <v>918</v>
      </c>
      <c r="Q919" s="50">
        <v>89.8018</v>
      </c>
      <c r="R919" s="50">
        <v>0</v>
      </c>
      <c r="S919" s="50">
        <v>-12.5768</v>
      </c>
      <c r="T919" s="46">
        <v>-12.5768</v>
      </c>
    </row>
    <row r="920" spans="16:20" x14ac:dyDescent="0.25">
      <c r="P920" s="18">
        <v>919</v>
      </c>
      <c r="Q920" s="50">
        <v>86.378900000000002</v>
      </c>
      <c r="R920" s="50">
        <v>0</v>
      </c>
      <c r="S920" s="50">
        <v>-12.649800000000001</v>
      </c>
      <c r="T920" s="46">
        <v>-12.649800000000001</v>
      </c>
    </row>
    <row r="921" spans="16:20" x14ac:dyDescent="0.25">
      <c r="P921" s="18">
        <v>920</v>
      </c>
      <c r="Q921" s="50">
        <v>65.038600000000002</v>
      </c>
      <c r="R921" s="50">
        <v>0</v>
      </c>
      <c r="S921" s="50">
        <v>-15.0869</v>
      </c>
      <c r="T921" s="46">
        <v>-15.0869</v>
      </c>
    </row>
    <row r="922" spans="16:20" x14ac:dyDescent="0.25">
      <c r="P922" s="18">
        <v>921</v>
      </c>
      <c r="Q922" s="50">
        <v>101.6314</v>
      </c>
      <c r="R922" s="50">
        <v>1.6314</v>
      </c>
      <c r="S922" s="50">
        <v>-10.4137</v>
      </c>
      <c r="T922" s="46">
        <v>-12.0451</v>
      </c>
    </row>
    <row r="923" spans="16:20" x14ac:dyDescent="0.25">
      <c r="P923" s="18">
        <v>922</v>
      </c>
      <c r="Q923" s="50">
        <v>82.236099999999993</v>
      </c>
      <c r="R923" s="50">
        <v>0</v>
      </c>
      <c r="S923" s="50">
        <v>-19.197299999999998</v>
      </c>
      <c r="T923" s="46">
        <v>-19.197299999999998</v>
      </c>
    </row>
    <row r="924" spans="16:20" x14ac:dyDescent="0.25">
      <c r="P924" s="18">
        <v>923</v>
      </c>
      <c r="Q924" s="50">
        <v>114.8439</v>
      </c>
      <c r="R924" s="50">
        <v>14.8439</v>
      </c>
      <c r="S924" s="50">
        <v>2.7050999999999998</v>
      </c>
      <c r="T924" s="46">
        <v>-12.1388</v>
      </c>
    </row>
    <row r="925" spans="16:20" x14ac:dyDescent="0.25">
      <c r="P925" s="18">
        <v>924</v>
      </c>
      <c r="Q925" s="50">
        <v>99.065600000000003</v>
      </c>
      <c r="R925" s="50">
        <v>0</v>
      </c>
      <c r="S925" s="50">
        <v>-12.6914</v>
      </c>
      <c r="T925" s="46">
        <v>-12.6914</v>
      </c>
    </row>
    <row r="926" spans="16:20" x14ac:dyDescent="0.25">
      <c r="P926" s="18">
        <v>925</v>
      </c>
      <c r="Q926" s="50">
        <v>135.7133</v>
      </c>
      <c r="R926" s="50">
        <v>35.713299999999997</v>
      </c>
      <c r="S926" s="50">
        <v>21.226800000000001</v>
      </c>
      <c r="T926" s="46">
        <v>-14.486499999999999</v>
      </c>
    </row>
    <row r="927" spans="16:20" x14ac:dyDescent="0.25">
      <c r="P927" s="18">
        <v>926</v>
      </c>
      <c r="Q927" s="50">
        <v>118.3493</v>
      </c>
      <c r="R927" s="50">
        <v>18.349299999999999</v>
      </c>
      <c r="S927" s="50">
        <v>4.6311</v>
      </c>
      <c r="T927" s="46">
        <v>-13.7182</v>
      </c>
    </row>
    <row r="928" spans="16:20" x14ac:dyDescent="0.25">
      <c r="P928" s="18">
        <v>927</v>
      </c>
      <c r="Q928" s="50">
        <v>105.44670000000001</v>
      </c>
      <c r="R928" s="50">
        <v>5.4466999999999999</v>
      </c>
      <c r="S928" s="50">
        <v>-7.5766999999999998</v>
      </c>
      <c r="T928" s="46">
        <v>-13.023400000000001</v>
      </c>
    </row>
    <row r="929" spans="16:20" x14ac:dyDescent="0.25">
      <c r="P929" s="18">
        <v>928</v>
      </c>
      <c r="Q929" s="50">
        <v>120.11969999999999</v>
      </c>
      <c r="R929" s="50">
        <v>20.119700000000002</v>
      </c>
      <c r="S929" s="50">
        <v>7.0823999999999998</v>
      </c>
      <c r="T929" s="46">
        <v>-13.0373</v>
      </c>
    </row>
    <row r="930" spans="16:20" x14ac:dyDescent="0.25">
      <c r="P930" s="18">
        <v>929</v>
      </c>
      <c r="Q930" s="50">
        <v>102.69929999999999</v>
      </c>
      <c r="R930" s="50">
        <v>2.6993</v>
      </c>
      <c r="S930" s="50">
        <v>-6.6829999999999998</v>
      </c>
      <c r="T930" s="46">
        <v>-9.3823000000000008</v>
      </c>
    </row>
    <row r="931" spans="16:20" x14ac:dyDescent="0.25">
      <c r="P931" s="18">
        <v>930</v>
      </c>
      <c r="Q931" s="50">
        <v>85.697500000000005</v>
      </c>
      <c r="R931" s="50">
        <v>0</v>
      </c>
      <c r="S931" s="50">
        <v>-10.599</v>
      </c>
      <c r="T931" s="46">
        <v>-10.599</v>
      </c>
    </row>
    <row r="932" spans="16:20" x14ac:dyDescent="0.25">
      <c r="P932" s="18">
        <v>931</v>
      </c>
      <c r="Q932" s="50">
        <v>99.593800000000002</v>
      </c>
      <c r="R932" s="50">
        <v>0</v>
      </c>
      <c r="S932" s="50">
        <v>-18.403700000000001</v>
      </c>
      <c r="T932" s="46">
        <v>-18.403700000000001</v>
      </c>
    </row>
    <row r="933" spans="16:20" x14ac:dyDescent="0.25">
      <c r="P933" s="18">
        <v>932</v>
      </c>
      <c r="Q933" s="50">
        <v>94.554900000000004</v>
      </c>
      <c r="R933" s="50">
        <v>0</v>
      </c>
      <c r="S933" s="50">
        <v>-10.6195</v>
      </c>
      <c r="T933" s="46">
        <v>-10.6195</v>
      </c>
    </row>
    <row r="934" spans="16:20" x14ac:dyDescent="0.25">
      <c r="P934" s="18">
        <v>933</v>
      </c>
      <c r="Q934" s="50">
        <v>61.163699999999999</v>
      </c>
      <c r="R934" s="50">
        <v>0</v>
      </c>
      <c r="S934" s="50">
        <v>-13.398300000000001</v>
      </c>
      <c r="T934" s="46">
        <v>-13.398300000000001</v>
      </c>
    </row>
    <row r="935" spans="16:20" x14ac:dyDescent="0.25">
      <c r="P935" s="18">
        <v>934</v>
      </c>
      <c r="Q935" s="50">
        <v>160.2679</v>
      </c>
      <c r="R935" s="50">
        <v>60.267899999999997</v>
      </c>
      <c r="S935" s="50">
        <v>44.853000000000002</v>
      </c>
      <c r="T935" s="46">
        <v>-15.414999999999999</v>
      </c>
    </row>
    <row r="936" spans="16:20" x14ac:dyDescent="0.25">
      <c r="P936" s="18">
        <v>935</v>
      </c>
      <c r="Q936" s="50">
        <v>151.0239</v>
      </c>
      <c r="R936" s="50">
        <v>51.023899999999998</v>
      </c>
      <c r="S936" s="50">
        <v>35.689700000000002</v>
      </c>
      <c r="T936" s="46">
        <v>-15.334199999999999</v>
      </c>
    </row>
    <row r="937" spans="16:20" x14ac:dyDescent="0.25">
      <c r="P937" s="18">
        <v>936</v>
      </c>
      <c r="Q937" s="50">
        <v>66.457700000000003</v>
      </c>
      <c r="R937" s="50">
        <v>0</v>
      </c>
      <c r="S937" s="50">
        <v>-14.632999999999999</v>
      </c>
      <c r="T937" s="46">
        <v>-14.632999999999999</v>
      </c>
    </row>
    <row r="938" spans="16:20" x14ac:dyDescent="0.25">
      <c r="P938" s="18">
        <v>937</v>
      </c>
      <c r="Q938" s="50">
        <v>123.7101</v>
      </c>
      <c r="R938" s="50">
        <v>23.710100000000001</v>
      </c>
      <c r="S938" s="50">
        <v>7.1254999999999997</v>
      </c>
      <c r="T938" s="46">
        <v>-16.584599999999998</v>
      </c>
    </row>
    <row r="939" spans="16:20" x14ac:dyDescent="0.25">
      <c r="P939" s="18">
        <v>938</v>
      </c>
      <c r="Q939" s="50">
        <v>83.286199999999994</v>
      </c>
      <c r="R939" s="50">
        <v>0</v>
      </c>
      <c r="S939" s="50">
        <v>-15.336399999999999</v>
      </c>
      <c r="T939" s="46">
        <v>-15.336399999999999</v>
      </c>
    </row>
    <row r="940" spans="16:20" x14ac:dyDescent="0.25">
      <c r="P940" s="18">
        <v>939</v>
      </c>
      <c r="Q940" s="50">
        <v>104.44670000000001</v>
      </c>
      <c r="R940" s="50">
        <v>4.4466999999999999</v>
      </c>
      <c r="S940" s="50">
        <v>-8.7860999999999994</v>
      </c>
      <c r="T940" s="46">
        <v>-13.232900000000001</v>
      </c>
    </row>
    <row r="941" spans="16:20" x14ac:dyDescent="0.25">
      <c r="P941" s="18">
        <v>940</v>
      </c>
      <c r="Q941" s="50">
        <v>164.4905</v>
      </c>
      <c r="R941" s="50">
        <v>64.490499999999997</v>
      </c>
      <c r="S941" s="50">
        <v>49.6751</v>
      </c>
      <c r="T941" s="46">
        <v>-14.8154</v>
      </c>
    </row>
    <row r="942" spans="16:20" x14ac:dyDescent="0.25">
      <c r="P942" s="18">
        <v>941</v>
      </c>
      <c r="Q942" s="50">
        <v>96.780100000000004</v>
      </c>
      <c r="R942" s="50">
        <v>0</v>
      </c>
      <c r="S942" s="50">
        <v>-11.9039</v>
      </c>
      <c r="T942" s="46">
        <v>-11.9039</v>
      </c>
    </row>
    <row r="943" spans="16:20" x14ac:dyDescent="0.25">
      <c r="P943" s="18">
        <v>942</v>
      </c>
      <c r="Q943" s="50">
        <v>156.5291</v>
      </c>
      <c r="R943" s="50">
        <v>56.5291</v>
      </c>
      <c r="S943" s="50">
        <v>39.955199999999998</v>
      </c>
      <c r="T943" s="46">
        <v>-16.573899999999998</v>
      </c>
    </row>
    <row r="944" spans="16:20" x14ac:dyDescent="0.25">
      <c r="P944" s="18">
        <v>943</v>
      </c>
      <c r="Q944" s="50">
        <v>89.3249</v>
      </c>
      <c r="R944" s="50">
        <v>0</v>
      </c>
      <c r="S944" s="50">
        <v>-11.964399999999999</v>
      </c>
      <c r="T944" s="46">
        <v>-11.964399999999999</v>
      </c>
    </row>
    <row r="945" spans="16:20" x14ac:dyDescent="0.25">
      <c r="P945" s="18">
        <v>944</v>
      </c>
      <c r="Q945" s="50">
        <v>47.529800000000002</v>
      </c>
      <c r="R945" s="50">
        <v>0</v>
      </c>
      <c r="S945" s="50">
        <v>-16.685700000000001</v>
      </c>
      <c r="T945" s="46">
        <v>-16.685700000000001</v>
      </c>
    </row>
    <row r="946" spans="16:20" x14ac:dyDescent="0.25">
      <c r="P946" s="18">
        <v>945</v>
      </c>
      <c r="Q946" s="50">
        <v>93.266199999999998</v>
      </c>
      <c r="R946" s="50">
        <v>0</v>
      </c>
      <c r="S946" s="50">
        <v>-13.6935</v>
      </c>
      <c r="T946" s="46">
        <v>-13.6935</v>
      </c>
    </row>
    <row r="947" spans="16:20" x14ac:dyDescent="0.25">
      <c r="P947" s="18">
        <v>946</v>
      </c>
      <c r="Q947" s="50">
        <v>79.239400000000003</v>
      </c>
      <c r="R947" s="50">
        <v>0</v>
      </c>
      <c r="S947" s="50">
        <v>-14.0632</v>
      </c>
      <c r="T947" s="46">
        <v>-14.0632</v>
      </c>
    </row>
    <row r="948" spans="16:20" x14ac:dyDescent="0.25">
      <c r="P948" s="18">
        <v>947</v>
      </c>
      <c r="Q948" s="50">
        <v>82.897499999999994</v>
      </c>
      <c r="R948" s="50">
        <v>0</v>
      </c>
      <c r="S948" s="50">
        <v>-12.7521</v>
      </c>
      <c r="T948" s="46">
        <v>-12.7521</v>
      </c>
    </row>
    <row r="949" spans="16:20" x14ac:dyDescent="0.25">
      <c r="P949" s="18">
        <v>948</v>
      </c>
      <c r="Q949" s="50">
        <v>118.22450000000001</v>
      </c>
      <c r="R949" s="50">
        <v>18.224499999999999</v>
      </c>
      <c r="S949" s="50">
        <v>5.6620999999999997</v>
      </c>
      <c r="T949" s="46">
        <v>-12.5625</v>
      </c>
    </row>
    <row r="950" spans="16:20" x14ac:dyDescent="0.25">
      <c r="P950" s="18">
        <v>949</v>
      </c>
      <c r="Q950" s="50">
        <v>104.95010000000001</v>
      </c>
      <c r="R950" s="50">
        <v>4.9500999999999999</v>
      </c>
      <c r="S950" s="50">
        <v>-6.0201000000000002</v>
      </c>
      <c r="T950" s="46">
        <v>-10.9702</v>
      </c>
    </row>
    <row r="951" spans="16:20" x14ac:dyDescent="0.25">
      <c r="P951" s="18">
        <v>950</v>
      </c>
      <c r="Q951" s="50">
        <v>96.508200000000002</v>
      </c>
      <c r="R951" s="50">
        <v>0</v>
      </c>
      <c r="S951" s="50">
        <v>-17.2774</v>
      </c>
      <c r="T951" s="46">
        <v>-17.2774</v>
      </c>
    </row>
    <row r="952" spans="16:20" x14ac:dyDescent="0.25">
      <c r="P952" s="18">
        <v>951</v>
      </c>
      <c r="Q952" s="50">
        <v>107.3954</v>
      </c>
      <c r="R952" s="50">
        <v>7.3954000000000004</v>
      </c>
      <c r="S952" s="50">
        <v>-5.7545999999999999</v>
      </c>
      <c r="T952" s="46">
        <v>-13.149900000000001</v>
      </c>
    </row>
    <row r="953" spans="16:20" x14ac:dyDescent="0.25">
      <c r="P953" s="18">
        <v>952</v>
      </c>
      <c r="Q953" s="50">
        <v>148.46199999999999</v>
      </c>
      <c r="R953" s="50">
        <v>48.462000000000003</v>
      </c>
      <c r="S953" s="50">
        <v>32.218000000000004</v>
      </c>
      <c r="T953" s="46">
        <v>-16.244</v>
      </c>
    </row>
    <row r="954" spans="16:20" x14ac:dyDescent="0.25">
      <c r="P954" s="18">
        <v>953</v>
      </c>
      <c r="Q954" s="50">
        <v>103.0715</v>
      </c>
      <c r="R954" s="50">
        <v>3.0714999999999999</v>
      </c>
      <c r="S954" s="50">
        <v>-7.6203000000000003</v>
      </c>
      <c r="T954" s="46">
        <v>-10.691800000000001</v>
      </c>
    </row>
    <row r="955" spans="16:20" x14ac:dyDescent="0.25">
      <c r="P955" s="18">
        <v>954</v>
      </c>
      <c r="Q955" s="50">
        <v>136.43039999999999</v>
      </c>
      <c r="R955" s="50">
        <v>36.430399999999999</v>
      </c>
      <c r="S955" s="50">
        <v>21.536899999999999</v>
      </c>
      <c r="T955" s="46">
        <v>-14.8935</v>
      </c>
    </row>
    <row r="956" spans="16:20" x14ac:dyDescent="0.25">
      <c r="P956" s="18">
        <v>955</v>
      </c>
      <c r="Q956" s="50">
        <v>100.3518</v>
      </c>
      <c r="R956" s="50">
        <v>0.3518</v>
      </c>
      <c r="S956" s="50">
        <v>-8.2818000000000005</v>
      </c>
      <c r="T956" s="46">
        <v>-8.6335999999999995</v>
      </c>
    </row>
    <row r="957" spans="16:20" x14ac:dyDescent="0.25">
      <c r="P957" s="18">
        <v>956</v>
      </c>
      <c r="Q957" s="50">
        <v>154.4547</v>
      </c>
      <c r="R957" s="50">
        <v>54.454700000000003</v>
      </c>
      <c r="S957" s="50">
        <v>39.290900000000001</v>
      </c>
      <c r="T957" s="46">
        <v>-15.1638</v>
      </c>
    </row>
    <row r="958" spans="16:20" x14ac:dyDescent="0.25">
      <c r="P958" s="18">
        <v>957</v>
      </c>
      <c r="Q958" s="50">
        <v>71.591200000000001</v>
      </c>
      <c r="R958" s="50">
        <v>0</v>
      </c>
      <c r="S958" s="50">
        <v>-13.8931</v>
      </c>
      <c r="T958" s="46">
        <v>-13.8931</v>
      </c>
    </row>
    <row r="959" spans="16:20" x14ac:dyDescent="0.25">
      <c r="P959" s="18">
        <v>958</v>
      </c>
      <c r="Q959" s="50">
        <v>85.851699999999994</v>
      </c>
      <c r="R959" s="50">
        <v>0</v>
      </c>
      <c r="S959" s="50">
        <v>-13.2394</v>
      </c>
      <c r="T959" s="46">
        <v>-13.2394</v>
      </c>
    </row>
    <row r="960" spans="16:20" x14ac:dyDescent="0.25">
      <c r="P960" s="18">
        <v>959</v>
      </c>
      <c r="Q960" s="50">
        <v>70.032399999999996</v>
      </c>
      <c r="R960" s="50">
        <v>0</v>
      </c>
      <c r="S960" s="50">
        <v>-13.1081</v>
      </c>
      <c r="T960" s="46">
        <v>-13.1081</v>
      </c>
    </row>
    <row r="961" spans="16:20" x14ac:dyDescent="0.25">
      <c r="P961" s="18">
        <v>960</v>
      </c>
      <c r="Q961" s="50">
        <v>60.887799999999999</v>
      </c>
      <c r="R961" s="50">
        <v>0</v>
      </c>
      <c r="S961" s="50">
        <v>-15.517799999999999</v>
      </c>
      <c r="T961" s="46">
        <v>-15.517799999999999</v>
      </c>
    </row>
    <row r="962" spans="16:20" x14ac:dyDescent="0.25">
      <c r="P962" s="18">
        <v>961</v>
      </c>
      <c r="Q962" s="50">
        <v>116.0356</v>
      </c>
      <c r="R962" s="50">
        <v>16.035599999999999</v>
      </c>
      <c r="S962" s="50">
        <v>2.1488</v>
      </c>
      <c r="T962" s="46">
        <v>-13.886699999999999</v>
      </c>
    </row>
    <row r="963" spans="16:20" x14ac:dyDescent="0.25">
      <c r="P963" s="18">
        <v>962</v>
      </c>
      <c r="Q963" s="50">
        <v>62.7333</v>
      </c>
      <c r="R963" s="50">
        <v>0</v>
      </c>
      <c r="S963" s="50">
        <v>-17.6174</v>
      </c>
      <c r="T963" s="46">
        <v>-17.6174</v>
      </c>
    </row>
    <row r="964" spans="16:20" x14ac:dyDescent="0.25">
      <c r="P964" s="18">
        <v>963</v>
      </c>
      <c r="Q964" s="50">
        <v>140.4186</v>
      </c>
      <c r="R964" s="50">
        <v>40.418599999999998</v>
      </c>
      <c r="S964" s="50">
        <v>25.801200000000001</v>
      </c>
      <c r="T964" s="46">
        <v>-14.6173</v>
      </c>
    </row>
    <row r="965" spans="16:20" x14ac:dyDescent="0.25">
      <c r="P965" s="18">
        <v>964</v>
      </c>
      <c r="Q965" s="50">
        <v>124.29</v>
      </c>
      <c r="R965" s="50">
        <v>24.29</v>
      </c>
      <c r="S965" s="50">
        <v>10.975099999999999</v>
      </c>
      <c r="T965" s="46">
        <v>-13.3148</v>
      </c>
    </row>
    <row r="966" spans="16:20" x14ac:dyDescent="0.25">
      <c r="P966" s="18">
        <v>965</v>
      </c>
      <c r="Q966" s="50">
        <v>73.290300000000002</v>
      </c>
      <c r="R966" s="50">
        <v>0</v>
      </c>
      <c r="S966" s="50">
        <v>-14.0966</v>
      </c>
      <c r="T966" s="46">
        <v>-14.0966</v>
      </c>
    </row>
    <row r="967" spans="16:20" x14ac:dyDescent="0.25">
      <c r="P967" s="18">
        <v>966</v>
      </c>
      <c r="Q967" s="50">
        <v>64.860299999999995</v>
      </c>
      <c r="R967" s="50">
        <v>0</v>
      </c>
      <c r="S967" s="50">
        <v>-18.1694</v>
      </c>
      <c r="T967" s="46">
        <v>-18.1694</v>
      </c>
    </row>
    <row r="968" spans="16:20" x14ac:dyDescent="0.25">
      <c r="P968" s="18">
        <v>967</v>
      </c>
      <c r="Q968" s="50">
        <v>114.366</v>
      </c>
      <c r="R968" s="50">
        <v>14.366</v>
      </c>
      <c r="S968" s="50">
        <v>-4.1543000000000001</v>
      </c>
      <c r="T968" s="46">
        <v>-18.520299999999999</v>
      </c>
    </row>
    <row r="969" spans="16:20" x14ac:dyDescent="0.25">
      <c r="P969" s="18">
        <v>968</v>
      </c>
      <c r="Q969" s="50">
        <v>80.323300000000003</v>
      </c>
      <c r="R969" s="50">
        <v>0</v>
      </c>
      <c r="S969" s="50">
        <v>-14.095499999999999</v>
      </c>
      <c r="T969" s="46">
        <v>-14.095499999999999</v>
      </c>
    </row>
    <row r="970" spans="16:20" x14ac:dyDescent="0.25">
      <c r="P970" s="18">
        <v>969</v>
      </c>
      <c r="Q970" s="50">
        <v>90.78</v>
      </c>
      <c r="R970" s="50">
        <v>0</v>
      </c>
      <c r="S970" s="50">
        <v>-12.505100000000001</v>
      </c>
      <c r="T970" s="46">
        <v>-12.505100000000001</v>
      </c>
    </row>
    <row r="971" spans="16:20" x14ac:dyDescent="0.25">
      <c r="P971" s="18">
        <v>970</v>
      </c>
      <c r="Q971" s="50">
        <v>63.116999999999997</v>
      </c>
      <c r="R971" s="50">
        <v>0</v>
      </c>
      <c r="S971" s="50">
        <v>-15.0786</v>
      </c>
      <c r="T971" s="46">
        <v>-15.0786</v>
      </c>
    </row>
    <row r="972" spans="16:20" x14ac:dyDescent="0.25">
      <c r="P972" s="18">
        <v>971</v>
      </c>
      <c r="Q972" s="50">
        <v>75.563500000000005</v>
      </c>
      <c r="R972" s="50">
        <v>0</v>
      </c>
      <c r="S972" s="50">
        <v>-18.876100000000001</v>
      </c>
      <c r="T972" s="46">
        <v>-18.876100000000001</v>
      </c>
    </row>
    <row r="973" spans="16:20" x14ac:dyDescent="0.25">
      <c r="P973" s="18">
        <v>972</v>
      </c>
      <c r="Q973" s="50">
        <v>209.72030000000001</v>
      </c>
      <c r="R973" s="50">
        <v>109.72029999999999</v>
      </c>
      <c r="S973" s="50">
        <v>94.957599999999999</v>
      </c>
      <c r="T973" s="46">
        <v>-14.762600000000001</v>
      </c>
    </row>
    <row r="974" spans="16:20" x14ac:dyDescent="0.25">
      <c r="P974" s="18">
        <v>973</v>
      </c>
      <c r="Q974" s="50">
        <v>200.17349999999999</v>
      </c>
      <c r="R974" s="50">
        <v>100.1735</v>
      </c>
      <c r="S974" s="50">
        <v>83.905000000000001</v>
      </c>
      <c r="T974" s="46">
        <v>-16.2685</v>
      </c>
    </row>
    <row r="975" spans="16:20" x14ac:dyDescent="0.25">
      <c r="P975" s="18">
        <v>974</v>
      </c>
      <c r="Q975" s="50">
        <v>77.892200000000003</v>
      </c>
      <c r="R975" s="50">
        <v>0</v>
      </c>
      <c r="S975" s="50">
        <v>-15.257400000000001</v>
      </c>
      <c r="T975" s="46">
        <v>-15.257400000000001</v>
      </c>
    </row>
    <row r="976" spans="16:20" x14ac:dyDescent="0.25">
      <c r="P976" s="18">
        <v>975</v>
      </c>
      <c r="Q976" s="50">
        <v>66.138400000000004</v>
      </c>
      <c r="R976" s="50">
        <v>0</v>
      </c>
      <c r="S976" s="50">
        <v>-15.1479</v>
      </c>
      <c r="T976" s="46">
        <v>-15.1479</v>
      </c>
    </row>
    <row r="977" spans="16:20" x14ac:dyDescent="0.25">
      <c r="P977" s="18">
        <v>976</v>
      </c>
      <c r="Q977" s="50">
        <v>119.7816</v>
      </c>
      <c r="R977" s="50">
        <v>19.781600000000001</v>
      </c>
      <c r="S977" s="50">
        <v>5.3762999999999996</v>
      </c>
      <c r="T977" s="46">
        <v>-14.405200000000001</v>
      </c>
    </row>
    <row r="978" spans="16:20" x14ac:dyDescent="0.25">
      <c r="P978" s="18">
        <v>977</v>
      </c>
      <c r="Q978" s="50">
        <v>80.746399999999994</v>
      </c>
      <c r="R978" s="50">
        <v>0</v>
      </c>
      <c r="S978" s="50">
        <v>-13.1279</v>
      </c>
      <c r="T978" s="46">
        <v>-13.1279</v>
      </c>
    </row>
    <row r="979" spans="16:20" x14ac:dyDescent="0.25">
      <c r="P979" s="18">
        <v>978</v>
      </c>
      <c r="Q979" s="50">
        <v>91.835499999999996</v>
      </c>
      <c r="R979" s="50">
        <v>0</v>
      </c>
      <c r="S979" s="50">
        <v>-11.4047</v>
      </c>
      <c r="T979" s="46">
        <v>-11.4047</v>
      </c>
    </row>
    <row r="980" spans="16:20" x14ac:dyDescent="0.25">
      <c r="P980" s="18">
        <v>979</v>
      </c>
      <c r="Q980" s="50">
        <v>99.014499999999998</v>
      </c>
      <c r="R980" s="50">
        <v>0</v>
      </c>
      <c r="S980" s="50">
        <v>-9.8983000000000008</v>
      </c>
      <c r="T980" s="46">
        <v>-9.8983000000000008</v>
      </c>
    </row>
    <row r="981" spans="16:20" x14ac:dyDescent="0.25">
      <c r="P981" s="18">
        <v>980</v>
      </c>
      <c r="Q981" s="50">
        <v>70.245800000000003</v>
      </c>
      <c r="R981" s="50">
        <v>0</v>
      </c>
      <c r="S981" s="50">
        <v>-13.554600000000001</v>
      </c>
      <c r="T981" s="46">
        <v>-13.554600000000001</v>
      </c>
    </row>
    <row r="982" spans="16:20" x14ac:dyDescent="0.25">
      <c r="P982" s="18">
        <v>981</v>
      </c>
      <c r="Q982" s="50">
        <v>101.06740000000001</v>
      </c>
      <c r="R982" s="50">
        <v>1.0673999999999999</v>
      </c>
      <c r="S982" s="50">
        <v>-11.688499999999999</v>
      </c>
      <c r="T982" s="46">
        <v>-12.7559</v>
      </c>
    </row>
    <row r="983" spans="16:20" x14ac:dyDescent="0.25">
      <c r="P983" s="18">
        <v>982</v>
      </c>
      <c r="Q983" s="50">
        <v>162.77010000000001</v>
      </c>
      <c r="R983" s="50">
        <v>62.770099999999999</v>
      </c>
      <c r="S983" s="50">
        <v>48.331400000000002</v>
      </c>
      <c r="T983" s="46">
        <v>-14.438700000000001</v>
      </c>
    </row>
    <row r="984" spans="16:20" x14ac:dyDescent="0.25">
      <c r="P984" s="18">
        <v>983</v>
      </c>
      <c r="Q984" s="50">
        <v>83.949100000000001</v>
      </c>
      <c r="R984" s="50">
        <v>0</v>
      </c>
      <c r="S984" s="50">
        <v>-15.916600000000001</v>
      </c>
      <c r="T984" s="46">
        <v>-15.916600000000001</v>
      </c>
    </row>
    <row r="985" spans="16:20" x14ac:dyDescent="0.25">
      <c r="P985" s="18">
        <v>984</v>
      </c>
      <c r="Q985" s="50">
        <v>87.882599999999996</v>
      </c>
      <c r="R985" s="50">
        <v>0</v>
      </c>
      <c r="S985" s="50">
        <v>-13.174300000000001</v>
      </c>
      <c r="T985" s="46">
        <v>-13.174300000000001</v>
      </c>
    </row>
    <row r="986" spans="16:20" x14ac:dyDescent="0.25">
      <c r="P986" s="18">
        <v>985</v>
      </c>
      <c r="Q986" s="50">
        <v>74.248099999999994</v>
      </c>
      <c r="R986" s="50">
        <v>0</v>
      </c>
      <c r="S986" s="50">
        <v>-13.8863</v>
      </c>
      <c r="T986" s="46">
        <v>-13.8863</v>
      </c>
    </row>
    <row r="987" spans="16:20" x14ac:dyDescent="0.25">
      <c r="P987" s="18">
        <v>986</v>
      </c>
      <c r="Q987" s="50">
        <v>88.096800000000002</v>
      </c>
      <c r="R987" s="50">
        <v>0</v>
      </c>
      <c r="S987" s="50">
        <v>-12.8767</v>
      </c>
      <c r="T987" s="46">
        <v>-12.8767</v>
      </c>
    </row>
    <row r="988" spans="16:20" x14ac:dyDescent="0.25">
      <c r="P988" s="18">
        <v>987</v>
      </c>
      <c r="Q988" s="50">
        <v>121.6383</v>
      </c>
      <c r="R988" s="50">
        <v>21.638300000000001</v>
      </c>
      <c r="S988" s="50">
        <v>8.4504999999999999</v>
      </c>
      <c r="T988" s="46">
        <v>-13.187900000000001</v>
      </c>
    </row>
    <row r="989" spans="16:20" x14ac:dyDescent="0.25">
      <c r="P989" s="18">
        <v>988</v>
      </c>
      <c r="Q989" s="50">
        <v>94.7346</v>
      </c>
      <c r="R989" s="50">
        <v>0</v>
      </c>
      <c r="S989" s="50">
        <v>-8.9273000000000007</v>
      </c>
      <c r="T989" s="46">
        <v>-8.9273000000000007</v>
      </c>
    </row>
    <row r="990" spans="16:20" x14ac:dyDescent="0.25">
      <c r="P990" s="18">
        <v>989</v>
      </c>
      <c r="Q990" s="50">
        <v>105.1741</v>
      </c>
      <c r="R990" s="50">
        <v>5.1741000000000001</v>
      </c>
      <c r="S990" s="50">
        <v>-9.2617999999999991</v>
      </c>
      <c r="T990" s="46">
        <v>-14.4359</v>
      </c>
    </row>
    <row r="991" spans="16:20" x14ac:dyDescent="0.25">
      <c r="P991" s="18">
        <v>990</v>
      </c>
      <c r="Q991" s="50">
        <v>110.82550000000001</v>
      </c>
      <c r="R991" s="50">
        <v>10.8255</v>
      </c>
      <c r="S991" s="50">
        <v>0.72650000000000003</v>
      </c>
      <c r="T991" s="46">
        <v>-10.099</v>
      </c>
    </row>
    <row r="992" spans="16:20" x14ac:dyDescent="0.25">
      <c r="P992" s="18">
        <v>991</v>
      </c>
      <c r="Q992" s="50">
        <v>72.889499999999998</v>
      </c>
      <c r="R992" s="50">
        <v>0</v>
      </c>
      <c r="S992" s="50">
        <v>-12.7979</v>
      </c>
      <c r="T992" s="46">
        <v>-12.7979</v>
      </c>
    </row>
    <row r="993" spans="16:20" x14ac:dyDescent="0.25">
      <c r="P993" s="18">
        <v>992</v>
      </c>
      <c r="Q993" s="50">
        <v>120.238</v>
      </c>
      <c r="R993" s="50">
        <v>20.238</v>
      </c>
      <c r="S993" s="50">
        <v>8.0310000000000006</v>
      </c>
      <c r="T993" s="46">
        <v>-12.206899999999999</v>
      </c>
    </row>
    <row r="994" spans="16:20" x14ac:dyDescent="0.25">
      <c r="P994" s="18">
        <v>993</v>
      </c>
      <c r="Q994" s="50">
        <v>112.5415</v>
      </c>
      <c r="R994" s="50">
        <v>12.541499999999999</v>
      </c>
      <c r="S994" s="50">
        <v>-0.32529999999999998</v>
      </c>
      <c r="T994" s="46">
        <v>-12.8668</v>
      </c>
    </row>
    <row r="995" spans="16:20" x14ac:dyDescent="0.25">
      <c r="P995" s="18">
        <v>994</v>
      </c>
      <c r="Q995" s="50">
        <v>97.208200000000005</v>
      </c>
      <c r="R995" s="50">
        <v>0</v>
      </c>
      <c r="S995" s="50">
        <v>-13.77</v>
      </c>
      <c r="T995" s="46">
        <v>-13.77</v>
      </c>
    </row>
    <row r="996" spans="16:20" x14ac:dyDescent="0.25">
      <c r="P996" s="18">
        <v>995</v>
      </c>
      <c r="Q996" s="50">
        <v>91.183099999999996</v>
      </c>
      <c r="R996" s="50">
        <v>0</v>
      </c>
      <c r="S996" s="50">
        <v>-11.742900000000001</v>
      </c>
      <c r="T996" s="46">
        <v>-11.742900000000001</v>
      </c>
    </row>
    <row r="997" spans="16:20" x14ac:dyDescent="0.25">
      <c r="P997" s="18">
        <v>996</v>
      </c>
      <c r="Q997" s="50">
        <v>93.304900000000004</v>
      </c>
      <c r="R997" s="50">
        <v>0</v>
      </c>
      <c r="S997" s="50">
        <v>-12.1778</v>
      </c>
      <c r="T997" s="46">
        <v>-12.1778</v>
      </c>
    </row>
    <row r="998" spans="16:20" x14ac:dyDescent="0.25">
      <c r="P998" s="18">
        <v>997</v>
      </c>
      <c r="Q998" s="50">
        <v>78.270099999999999</v>
      </c>
      <c r="R998" s="50">
        <v>0</v>
      </c>
      <c r="S998" s="50">
        <v>-13.641500000000001</v>
      </c>
      <c r="T998" s="46">
        <v>-13.641500000000001</v>
      </c>
    </row>
    <row r="999" spans="16:20" x14ac:dyDescent="0.25">
      <c r="P999" s="18">
        <v>998</v>
      </c>
      <c r="Q999" s="50">
        <v>53.053400000000003</v>
      </c>
      <c r="R999" s="50">
        <v>0</v>
      </c>
      <c r="S999" s="50">
        <v>-14.5786</v>
      </c>
      <c r="T999" s="46">
        <v>-14.5786</v>
      </c>
    </row>
    <row r="1000" spans="16:20" x14ac:dyDescent="0.25">
      <c r="P1000" s="18">
        <v>999</v>
      </c>
      <c r="Q1000" s="50">
        <v>99.516000000000005</v>
      </c>
      <c r="R1000" s="50">
        <v>0</v>
      </c>
      <c r="S1000" s="50">
        <v>-12.8894</v>
      </c>
      <c r="T1000" s="46">
        <v>-12.8894</v>
      </c>
    </row>
    <row r="1001" spans="16:20" ht="15.75" thickBot="1" x14ac:dyDescent="0.3">
      <c r="P1001" s="19">
        <v>1000</v>
      </c>
      <c r="Q1001" s="51">
        <v>110.1938</v>
      </c>
      <c r="R1001" s="51">
        <v>10.1938</v>
      </c>
      <c r="S1001" s="51">
        <v>-2.2320000000000002</v>
      </c>
      <c r="T1001" s="52">
        <v>-12.425700000000001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W1001"/>
  <sheetViews>
    <sheetView workbookViewId="0">
      <selection activeCell="J3" sqref="J3"/>
    </sheetView>
  </sheetViews>
  <sheetFormatPr defaultRowHeight="15" x14ac:dyDescent="0.25"/>
  <cols>
    <col min="1" max="1" width="8.7109375" style="1" bestFit="1" customWidth="1"/>
    <col min="2" max="2" width="9.140625" style="1"/>
    <col min="3" max="3" width="2.140625" style="1" customWidth="1"/>
    <col min="4" max="6" width="8.42578125" style="1" customWidth="1"/>
    <col min="7" max="7" width="8.42578125" style="3" customWidth="1"/>
    <col min="8" max="14" width="8.42578125" style="1" customWidth="1"/>
    <col min="15" max="15" width="2" style="1" customWidth="1"/>
    <col min="16" max="20" width="10.5703125" style="1" customWidth="1"/>
    <col min="21" max="16384" width="9.140625" style="1"/>
  </cols>
  <sheetData>
    <row r="1" spans="1:23" s="2" customFormat="1" ht="18" x14ac:dyDescent="0.35">
      <c r="D1" s="7" t="s">
        <v>4</v>
      </c>
      <c r="E1" s="8" t="s">
        <v>4</v>
      </c>
      <c r="F1" s="9" t="s">
        <v>15</v>
      </c>
      <c r="G1" s="24" t="s">
        <v>17</v>
      </c>
      <c r="H1" s="9" t="s">
        <v>9</v>
      </c>
      <c r="I1" s="9" t="s">
        <v>10</v>
      </c>
      <c r="J1" s="57" t="s">
        <v>26</v>
      </c>
      <c r="K1" s="56" t="s">
        <v>14</v>
      </c>
      <c r="L1" s="9" t="s">
        <v>6</v>
      </c>
      <c r="M1" s="9" t="s">
        <v>7</v>
      </c>
      <c r="N1" s="10" t="s">
        <v>8</v>
      </c>
      <c r="P1" s="7" t="s">
        <v>16</v>
      </c>
      <c r="Q1" s="9" t="s">
        <v>17</v>
      </c>
      <c r="R1" s="9" t="s">
        <v>26</v>
      </c>
      <c r="S1" s="9" t="s">
        <v>8</v>
      </c>
      <c r="T1" s="10" t="s">
        <v>19</v>
      </c>
      <c r="V1" s="2" t="s">
        <v>34</v>
      </c>
      <c r="W1" s="2" t="s">
        <v>35</v>
      </c>
    </row>
    <row r="2" spans="1:23" x14ac:dyDescent="0.25">
      <c r="D2" s="45">
        <v>0</v>
      </c>
      <c r="E2" s="43">
        <f>$B$8-D2</f>
        <v>1</v>
      </c>
      <c r="F2" s="43"/>
      <c r="G2" s="43">
        <v>100</v>
      </c>
      <c r="H2" s="43">
        <f>(LN(G2/$B$5)+($B$6+($B$7^2)/2)*E2)/($B$7*SQRT(E2))</f>
        <v>0.28333333333333333</v>
      </c>
      <c r="I2" s="43">
        <f>(LN(G2/$B$5)+($B$6+($B$7^2)/2)*E2)/($B$7*SQRT(E2))-$B$7*SQRT(E2)</f>
        <v>-1.6666666666666663E-2</v>
      </c>
      <c r="J2" s="53">
        <f>G2*NORMSDIST(H2)</f>
        <v>61.153933629473386</v>
      </c>
      <c r="K2" s="43">
        <f>NORMSDIST(H2)+NORMDIST(H2,0,1,FALSE)/($B$7*SQRT(E2))</f>
        <v>1.8890269946014226</v>
      </c>
      <c r="L2" s="43"/>
      <c r="M2" s="43">
        <f>-(J2-K2*G2)</f>
        <v>127.74876583066887</v>
      </c>
      <c r="N2" s="46">
        <f>K2*G2-M2</f>
        <v>61.153933629473386</v>
      </c>
      <c r="P2" s="18">
        <v>1</v>
      </c>
      <c r="Q2" s="50">
        <v>78.589399999999998</v>
      </c>
      <c r="R2" s="50">
        <v>0</v>
      </c>
      <c r="S2" s="50">
        <v>4.4783999999999997</v>
      </c>
      <c r="T2" s="46">
        <v>4.4783999999999997</v>
      </c>
      <c r="V2" s="58">
        <f>MIN($T$2:$T$1001)</f>
        <v>-79.984999999999999</v>
      </c>
    </row>
    <row r="3" spans="1:23" ht="15.75" thickBot="1" x14ac:dyDescent="0.3">
      <c r="D3" s="45">
        <f>(D2)+$B$8/19</f>
        <v>5.2631578947368418E-2</v>
      </c>
      <c r="E3" s="43">
        <f t="shared" ref="E3:E20" si="0">$B$8-D3</f>
        <v>0.94736842105263164</v>
      </c>
      <c r="F3" s="43">
        <f ca="1">NORMINV(RAND(),0,1)</f>
        <v>-0.83285314564738122</v>
      </c>
      <c r="G3" s="43">
        <f ca="1">G2*EXP((($B$6-0.5*$B$7^2))*$B$9+$B$7*SQRT($B$9)*F4)</f>
        <v>110.96613271692217</v>
      </c>
      <c r="H3" s="43">
        <f ca="1">(LN(G3/$B$5)+($B$6+($B$7^2)/2)*E3)/($B$7*SQRT(E3))</f>
        <v>0.63213042948407527</v>
      </c>
      <c r="I3" s="43">
        <f t="shared" ref="I3:I21" ca="1" si="1">(LN(G3/$B$5)+($B$6+($B$7^2)/2)*E3)/($B$7*SQRT(E3))-$B$7*SQRT(E3)</f>
        <v>0.34013187144870272</v>
      </c>
      <c r="J3" s="53">
        <f t="shared" ref="J3:J21" ca="1" si="2">G3*NORMSDIST(H3)</f>
        <v>81.709820124170705</v>
      </c>
      <c r="K3" s="43">
        <f t="shared" ref="K3:K21" ca="1" si="3">NORMSDIST(H3)+NORMDIST(H3,0,1,FALSE)/($B$7*SQRT(E3))</f>
        <v>1.8551679242574375</v>
      </c>
      <c r="L3" s="43">
        <f ca="1">(K3-K2)*G3</f>
        <v>-3.7572100934622616</v>
      </c>
      <c r="M3" s="43">
        <f ca="1">M2*EXP($B$6*$B$9)+L3</f>
        <v>124.2607838059056</v>
      </c>
      <c r="N3" s="46">
        <f t="shared" ref="N3:N21" ca="1" si="4">K3*G3-M3</f>
        <v>81.600026289422217</v>
      </c>
      <c r="P3" s="18">
        <v>2</v>
      </c>
      <c r="Q3" s="50">
        <v>92.377200000000002</v>
      </c>
      <c r="R3" s="50">
        <v>0</v>
      </c>
      <c r="S3" s="50">
        <v>20.444900000000001</v>
      </c>
      <c r="T3" s="46">
        <v>20.444900000000001</v>
      </c>
      <c r="V3" s="1">
        <f>V2+(($V$21-$V$2)/19)</f>
        <v>-72.426026315789471</v>
      </c>
    </row>
    <row r="4" spans="1:23" x14ac:dyDescent="0.25">
      <c r="A4" s="20" t="s">
        <v>0</v>
      </c>
      <c r="B4" s="11">
        <v>100</v>
      </c>
      <c r="D4" s="45">
        <f t="shared" ref="D4:D21" si="5">(D3)+$B$8/19</f>
        <v>0.10526315789473684</v>
      </c>
      <c r="E4" s="43">
        <f t="shared" si="0"/>
        <v>0.89473684210526316</v>
      </c>
      <c r="F4" s="43">
        <f t="shared" ref="F4:F21" ca="1" si="6">NORMINV(RAND(),0,1)</f>
        <v>1.5157056325199694</v>
      </c>
      <c r="G4" s="43">
        <f t="shared" ref="G4:G21" ca="1" si="7">G3*EXP((($B$6-0.5*$B$7^2))*$B$9+$B$7*SQRT($B$9)*F5)</f>
        <v>111.2027420056223</v>
      </c>
      <c r="H4" s="43">
        <f ca="1">(LN(G4/$B$5)+($B$6+($B$7^2)/2)*E4)/($B$7*SQRT(E4))</f>
        <v>0.64219777907777931</v>
      </c>
      <c r="I4" s="43">
        <f t="shared" ca="1" si="1"/>
        <v>0.35842618819970412</v>
      </c>
      <c r="J4" s="53">
        <f t="shared" ca="1" si="2"/>
        <v>82.248618580925594</v>
      </c>
      <c r="K4" s="43">
        <f t="shared" ca="1" si="3"/>
        <v>1.8835214565757146</v>
      </c>
      <c r="L4" s="43">
        <f t="shared" ref="L4:L21" ca="1" si="8">(K4-K3)*G4</f>
        <v>3.1529905393374409</v>
      </c>
      <c r="M4" s="43">
        <f ca="1">M3*EXP($B$6*$B$9)+L4</f>
        <v>127.67565155886271</v>
      </c>
      <c r="N4" s="46">
        <f t="shared" ca="1" si="4"/>
        <v>81.777099038780392</v>
      </c>
      <c r="P4" s="18">
        <v>3</v>
      </c>
      <c r="Q4" s="50">
        <v>169.07560000000001</v>
      </c>
      <c r="R4" s="50">
        <v>169.07560000000001</v>
      </c>
      <c r="S4" s="50">
        <v>164.49979999999999</v>
      </c>
      <c r="T4" s="46">
        <v>-4.5758000000000001</v>
      </c>
      <c r="V4" s="1">
        <f t="shared" ref="V4:V20" si="9">V3+(($V$21-$V$2)/19)</f>
        <v>-64.867052631578943</v>
      </c>
    </row>
    <row r="5" spans="1:23" x14ac:dyDescent="0.25">
      <c r="A5" s="21" t="s">
        <v>1</v>
      </c>
      <c r="B5" s="12">
        <v>100</v>
      </c>
      <c r="D5" s="45">
        <f t="shared" si="5"/>
        <v>0.15789473684210525</v>
      </c>
      <c r="E5" s="43">
        <f t="shared" si="0"/>
        <v>0.84210526315789469</v>
      </c>
      <c r="F5" s="43">
        <f t="shared" ca="1" si="6"/>
        <v>3.4771716140602399E-2</v>
      </c>
      <c r="G5" s="43">
        <f t="shared" ca="1" si="7"/>
        <v>110.0207636640673</v>
      </c>
      <c r="H5" s="43">
        <f t="shared" ref="H5:H20" ca="1" si="10">(LN(G5/$B$5)+($B$6+($B$7^2)/2)*E5)/($B$7*SQRT(E5))</f>
        <v>0.60689629231651221</v>
      </c>
      <c r="I5" s="43">
        <f t="shared" ca="1" si="1"/>
        <v>0.33159741167183809</v>
      </c>
      <c r="J5" s="53">
        <f t="shared" ca="1" si="2"/>
        <v>80.099531144187267</v>
      </c>
      <c r="K5" s="43">
        <f t="shared" ca="1" si="3"/>
        <v>1.9334237164003538</v>
      </c>
      <c r="L5" s="43">
        <f t="shared" ca="1" si="8"/>
        <v>5.4902847344695154</v>
      </c>
      <c r="M5" s="43">
        <f t="shared" ref="M5:M21" ca="1" si="11">M4*EXP($B$6*$B$9)+L5</f>
        <v>133.43501027510862</v>
      </c>
      <c r="N5" s="46">
        <f t="shared" ca="1" si="4"/>
        <v>79.281743489477378</v>
      </c>
      <c r="P5" s="18">
        <v>4</v>
      </c>
      <c r="Q5" s="50">
        <v>77.093999999999994</v>
      </c>
      <c r="R5" s="50">
        <v>0</v>
      </c>
      <c r="S5" s="50">
        <v>3.6135999999999999</v>
      </c>
      <c r="T5" s="46">
        <v>3.6135999999999999</v>
      </c>
      <c r="V5" s="1">
        <f t="shared" si="9"/>
        <v>-57.308078947368415</v>
      </c>
    </row>
    <row r="6" spans="1:23" x14ac:dyDescent="0.25">
      <c r="A6" s="21" t="s">
        <v>2</v>
      </c>
      <c r="B6" s="13">
        <v>0.04</v>
      </c>
      <c r="D6" s="45">
        <f t="shared" si="5"/>
        <v>0.21052631578947367</v>
      </c>
      <c r="E6" s="43">
        <f t="shared" si="0"/>
        <v>0.78947368421052633</v>
      </c>
      <c r="F6" s="43">
        <f t="shared" ca="1" si="6"/>
        <v>-0.15143938624754111</v>
      </c>
      <c r="G6" s="43">
        <f t="shared" ca="1" si="7"/>
        <v>106.50002522498173</v>
      </c>
      <c r="H6" s="43">
        <f t="shared" ca="1" si="10"/>
        <v>0.48800182181543167</v>
      </c>
      <c r="I6" s="43">
        <f t="shared" ca="1" si="1"/>
        <v>0.22144482682384009</v>
      </c>
      <c r="J6" s="53">
        <f t="shared" ca="1" si="2"/>
        <v>73.189557013202474</v>
      </c>
      <c r="K6" s="43">
        <f t="shared" ca="1" si="3"/>
        <v>2.0158656030127426</v>
      </c>
      <c r="L6" s="43">
        <f t="shared" ca="1" si="8"/>
        <v>8.7800630038144938</v>
      </c>
      <c r="M6" s="43">
        <f t="shared" ca="1" si="11"/>
        <v>142.49628499850101</v>
      </c>
      <c r="N6" s="46">
        <f t="shared" ca="1" si="4"/>
        <v>72.193452572529083</v>
      </c>
      <c r="P6" s="18">
        <v>5</v>
      </c>
      <c r="Q6" s="50">
        <v>94.879099999999994</v>
      </c>
      <c r="R6" s="50">
        <v>0</v>
      </c>
      <c r="S6" s="50">
        <v>35.970700000000001</v>
      </c>
      <c r="T6" s="46">
        <v>35.970700000000001</v>
      </c>
      <c r="V6" s="1">
        <f t="shared" si="9"/>
        <v>-49.749105263157887</v>
      </c>
    </row>
    <row r="7" spans="1:23" x14ac:dyDescent="0.25">
      <c r="A7" s="22" t="s">
        <v>11</v>
      </c>
      <c r="B7" s="14">
        <v>0.3</v>
      </c>
      <c r="D7" s="45">
        <f>(D6)+$B$8/19</f>
        <v>0.26315789473684209</v>
      </c>
      <c r="E7" s="43">
        <f t="shared" si="0"/>
        <v>0.73684210526315796</v>
      </c>
      <c r="F7" s="43">
        <f t="shared" ca="1" si="6"/>
        <v>-0.46873752029483279</v>
      </c>
      <c r="G7" s="43">
        <f t="shared" ca="1" si="7"/>
        <v>100.60030930615054</v>
      </c>
      <c r="H7" s="43">
        <f t="shared" ca="1" si="10"/>
        <v>0.26645355272148774</v>
      </c>
      <c r="I7" s="43">
        <f t="shared" ca="1" si="1"/>
        <v>8.9350301378021135E-3</v>
      </c>
      <c r="J7" s="53">
        <f t="shared" ca="1" si="2"/>
        <v>60.868723856477942</v>
      </c>
      <c r="K7" s="43">
        <f t="shared" ca="1" si="3"/>
        <v>2.100204755424484</v>
      </c>
      <c r="L7" s="43">
        <f t="shared" ca="1" si="8"/>
        <v>8.4845448192397566</v>
      </c>
      <c r="M7" s="43">
        <f t="shared" ca="1" si="11"/>
        <v>151.28113799964351</v>
      </c>
      <c r="N7" s="46">
        <f t="shared" ca="1" si="4"/>
        <v>60.000110002307821</v>
      </c>
      <c r="P7" s="18">
        <v>6</v>
      </c>
      <c r="Q7" s="50">
        <v>133.9563</v>
      </c>
      <c r="R7" s="50">
        <v>133.9563</v>
      </c>
      <c r="S7" s="50">
        <v>137.19820000000001</v>
      </c>
      <c r="T7" s="46">
        <v>3.2418999999999998</v>
      </c>
      <c r="V7" s="1">
        <f t="shared" si="9"/>
        <v>-42.190131578947359</v>
      </c>
    </row>
    <row r="8" spans="1:23" x14ac:dyDescent="0.25">
      <c r="A8" s="21" t="s">
        <v>3</v>
      </c>
      <c r="B8" s="15">
        <v>1</v>
      </c>
      <c r="D8" s="45">
        <f t="shared" si="5"/>
        <v>0.31578947368421051</v>
      </c>
      <c r="E8" s="43">
        <f t="shared" si="0"/>
        <v>0.68421052631578949</v>
      </c>
      <c r="F8" s="43">
        <f t="shared" ca="1" si="6"/>
        <v>-0.82422030487636366</v>
      </c>
      <c r="G8" s="43">
        <f t="shared" ca="1" si="7"/>
        <v>89.67130600620861</v>
      </c>
      <c r="H8" s="43">
        <f t="shared" ca="1" si="10"/>
        <v>-0.20496169675753154</v>
      </c>
      <c r="I8" s="43">
        <f t="shared" ca="1" si="1"/>
        <v>-0.45311275431808484</v>
      </c>
      <c r="J8" s="53">
        <f t="shared" ca="1" si="2"/>
        <v>37.554434923785671</v>
      </c>
      <c r="K8" s="43">
        <f t="shared" ca="1" si="3"/>
        <v>1.9930438864376518</v>
      </c>
      <c r="L8" s="43">
        <f t="shared" ca="1" si="8"/>
        <v>-9.6092550748094592</v>
      </c>
      <c r="M8" s="43">
        <f t="shared" ca="1" si="11"/>
        <v>141.99070501559473</v>
      </c>
      <c r="N8" s="46">
        <f t="shared" ca="1" si="4"/>
        <v>36.728143208959239</v>
      </c>
      <c r="P8" s="18">
        <v>7</v>
      </c>
      <c r="Q8" s="50">
        <v>72.2303</v>
      </c>
      <c r="R8" s="50">
        <v>0</v>
      </c>
      <c r="S8" s="50">
        <v>-2.6867999999999999</v>
      </c>
      <c r="T8" s="46">
        <v>-2.6867999999999999</v>
      </c>
      <c r="V8" s="1">
        <f t="shared" si="9"/>
        <v>-34.63115789473683</v>
      </c>
    </row>
    <row r="9" spans="1:23" x14ac:dyDescent="0.25">
      <c r="A9" s="22" t="s">
        <v>12</v>
      </c>
      <c r="B9" s="16">
        <f>B8/19</f>
        <v>5.2631578947368418E-2</v>
      </c>
      <c r="D9" s="45">
        <f t="shared" si="5"/>
        <v>0.36842105263157893</v>
      </c>
      <c r="E9" s="43">
        <f t="shared" si="0"/>
        <v>0.63157894736842102</v>
      </c>
      <c r="F9" s="43">
        <f t="shared" ca="1" si="6"/>
        <v>-1.6671530907767256</v>
      </c>
      <c r="G9" s="43">
        <f t="shared" ca="1" si="7"/>
        <v>86.435743207388938</v>
      </c>
      <c r="H9" s="43">
        <f t="shared" ca="1" si="10"/>
        <v>-0.38623564921113152</v>
      </c>
      <c r="I9" s="43">
        <f t="shared" ca="1" si="1"/>
        <v>-0.62465147348283945</v>
      </c>
      <c r="J9" s="53">
        <f t="shared" ca="1" si="2"/>
        <v>30.223215062074392</v>
      </c>
      <c r="K9" s="43">
        <f t="shared" ca="1" si="3"/>
        <v>1.9026966462162935</v>
      </c>
      <c r="L9" s="43">
        <f t="shared" ca="1" si="8"/>
        <v>-7.8092308552696084</v>
      </c>
      <c r="M9" s="43">
        <f ca="1">M8*EXP($B$6*$B$9)+L9</f>
        <v>134.48071684213096</v>
      </c>
      <c r="N9" s="46">
        <f t="shared" ca="1" si="4"/>
        <v>29.980281871780761</v>
      </c>
      <c r="P9" s="18">
        <v>8</v>
      </c>
      <c r="Q9" s="50">
        <v>56.083500000000001</v>
      </c>
      <c r="R9" s="50">
        <v>0</v>
      </c>
      <c r="S9" s="50">
        <v>2.3443000000000001</v>
      </c>
      <c r="T9" s="46">
        <v>2.3443000000000001</v>
      </c>
      <c r="V9" s="1">
        <f t="shared" si="9"/>
        <v>-27.072184210526306</v>
      </c>
    </row>
    <row r="10" spans="1:23" x14ac:dyDescent="0.25">
      <c r="A10" s="21" t="s">
        <v>5</v>
      </c>
      <c r="B10" s="17">
        <v>9.9999999999999995E-7</v>
      </c>
      <c r="D10" s="45">
        <f t="shared" si="5"/>
        <v>0.42105263157894735</v>
      </c>
      <c r="E10" s="43">
        <f t="shared" si="0"/>
        <v>0.57894736842105265</v>
      </c>
      <c r="F10" s="43">
        <f t="shared" ca="1" si="6"/>
        <v>-0.53013490892951098</v>
      </c>
      <c r="G10" s="43">
        <f t="shared" ca="1" si="7"/>
        <v>84.435650285920076</v>
      </c>
      <c r="H10" s="43">
        <f t="shared" ca="1" si="10"/>
        <v>-0.52557134994713939</v>
      </c>
      <c r="I10" s="43">
        <f t="shared" ca="1" si="1"/>
        <v>-0.75383712302294403</v>
      </c>
      <c r="J10" s="53">
        <f t="shared" ca="1" si="2"/>
        <v>25.296332611584901</v>
      </c>
      <c r="K10" s="43">
        <f t="shared" ca="1" si="3"/>
        <v>1.8218491208523975</v>
      </c>
      <c r="L10" s="43">
        <f t="shared" ca="1" si="8"/>
        <v>-6.826413378107981</v>
      </c>
      <c r="M10" s="43">
        <f ca="1">M9*EXP($B$6*$B$9)+L10</f>
        <v>127.93771899009275</v>
      </c>
      <c r="N10" s="46">
        <f t="shared" ca="1" si="4"/>
        <v>25.891296251911228</v>
      </c>
      <c r="P10" s="18">
        <v>9</v>
      </c>
      <c r="Q10" s="50">
        <v>64.493200000000002</v>
      </c>
      <c r="R10" s="50">
        <v>0</v>
      </c>
      <c r="S10" s="50">
        <v>0.92800000000000005</v>
      </c>
      <c r="T10" s="46">
        <v>0.92800000000000005</v>
      </c>
      <c r="V10" s="1">
        <f t="shared" si="9"/>
        <v>-19.513210526315781</v>
      </c>
    </row>
    <row r="11" spans="1:23" ht="15.75" thickBot="1" x14ac:dyDescent="0.3">
      <c r="A11" s="23" t="s">
        <v>20</v>
      </c>
      <c r="B11" s="6">
        <f ca="1">N21-J21</f>
        <v>9.0532690562329208</v>
      </c>
      <c r="D11" s="45">
        <f t="shared" si="5"/>
        <v>0.47368421052631576</v>
      </c>
      <c r="E11" s="43">
        <f t="shared" si="0"/>
        <v>0.52631578947368429</v>
      </c>
      <c r="F11" s="43">
        <f t="shared" ca="1" si="6"/>
        <v>-0.33633871191800602</v>
      </c>
      <c r="G11" s="43">
        <f t="shared" ca="1" si="7"/>
        <v>90.450933117069567</v>
      </c>
      <c r="H11" s="43">
        <f ca="1">(LN(G11/$B$5)+($B$6+($B$7^2)/2)*E11)/($B$7*SQRT(E11))</f>
        <v>-0.25558298520358375</v>
      </c>
      <c r="I11" s="43">
        <f t="shared" ca="1" si="1"/>
        <v>-0.47322586023658725</v>
      </c>
      <c r="J11" s="53">
        <f t="shared" ca="1" si="2"/>
        <v>36.102262442869332</v>
      </c>
      <c r="K11" s="43">
        <f t="shared" ca="1" si="3"/>
        <v>2.173248193012288</v>
      </c>
      <c r="L11" s="43">
        <f t="shared" ca="1" si="8"/>
        <v>31.78437397333456</v>
      </c>
      <c r="M11" s="43">
        <f ca="1">M10*EXP($B$6*$B$9)+L11</f>
        <v>159.99171924727818</v>
      </c>
      <c r="N11" s="46">
        <f t="shared" ca="1" si="4"/>
        <v>36.580607705668569</v>
      </c>
      <c r="P11" s="18">
        <v>10</v>
      </c>
      <c r="Q11" s="50">
        <v>91.530299999999997</v>
      </c>
      <c r="R11" s="50">
        <v>0</v>
      </c>
      <c r="S11" s="50">
        <v>26.718800000000002</v>
      </c>
      <c r="T11" s="46">
        <v>26.718800000000002</v>
      </c>
      <c r="V11" s="1">
        <f t="shared" si="9"/>
        <v>-11.954236842105256</v>
      </c>
    </row>
    <row r="12" spans="1:23" x14ac:dyDescent="0.25">
      <c r="D12" s="45">
        <f t="shared" si="5"/>
        <v>0.52631578947368418</v>
      </c>
      <c r="E12" s="43">
        <f t="shared" si="0"/>
        <v>0.47368421052631582</v>
      </c>
      <c r="F12" s="43">
        <f t="shared" ca="1" si="6"/>
        <v>1.0037233240679677</v>
      </c>
      <c r="G12" s="43">
        <f t="shared" ca="1" si="7"/>
        <v>95.400138307539763</v>
      </c>
      <c r="H12" s="43">
        <f t="shared" ca="1" si="10"/>
        <v>-3.3064669494768321E-2</v>
      </c>
      <c r="I12" s="43">
        <f t="shared" ca="1" si="1"/>
        <v>-0.23953882997827391</v>
      </c>
      <c r="J12" s="53">
        <f t="shared" ca="1" si="2"/>
        <v>46.441885240319365</v>
      </c>
      <c r="K12" s="43">
        <f t="shared" ca="1" si="3"/>
        <v>2.4179212549907945</v>
      </c>
      <c r="L12" s="43">
        <f t="shared" ca="1" si="8"/>
        <v>23.341843952878765</v>
      </c>
      <c r="M12" s="43">
        <f ca="1">M11*EXP($B$6*$B$9)+L12</f>
        <v>183.67074267348252</v>
      </c>
      <c r="N12" s="46">
        <f t="shared" ca="1" si="4"/>
        <v>46.999279469379388</v>
      </c>
      <c r="P12" s="18">
        <v>11</v>
      </c>
      <c r="Q12" s="50">
        <v>77.169499999999999</v>
      </c>
      <c r="R12" s="50">
        <v>0</v>
      </c>
      <c r="S12" s="50">
        <v>-6.2222999999999997</v>
      </c>
      <c r="T12" s="46">
        <v>-6.2222999999999997</v>
      </c>
      <c r="V12" s="1">
        <f t="shared" si="9"/>
        <v>-4.395263157894731</v>
      </c>
    </row>
    <row r="13" spans="1:23" x14ac:dyDescent="0.25">
      <c r="D13" s="45">
        <f t="shared" si="5"/>
        <v>0.57894736842105265</v>
      </c>
      <c r="E13" s="43">
        <f t="shared" si="0"/>
        <v>0.42105263157894735</v>
      </c>
      <c r="F13" s="43">
        <f t="shared" ca="1" si="6"/>
        <v>0.77785507610530102</v>
      </c>
      <c r="G13" s="43">
        <f t="shared" ca="1" si="7"/>
        <v>90.841089314131125</v>
      </c>
      <c r="H13" s="43">
        <f t="shared" ca="1" si="10"/>
        <v>-0.30960257462342794</v>
      </c>
      <c r="I13" s="43">
        <f t="shared" ca="1" si="1"/>
        <v>-0.50426827998034296</v>
      </c>
      <c r="J13" s="53">
        <f t="shared" ca="1" si="2"/>
        <v>34.377138691789938</v>
      </c>
      <c r="K13" s="43">
        <f t="shared" ca="1" si="3"/>
        <v>2.3318993221496869</v>
      </c>
      <c r="L13" s="43">
        <f ca="1">(K13-K12)*G13</f>
        <v>-7.8143260841932447</v>
      </c>
      <c r="M13" s="43">
        <f ca="1">M12*EXP($B$6*$B$9)+L13</f>
        <v>176.24349914938253</v>
      </c>
      <c r="N13" s="46">
        <f t="shared" ca="1" si="4"/>
        <v>35.588775445579017</v>
      </c>
      <c r="P13" s="18">
        <v>12</v>
      </c>
      <c r="Q13" s="50">
        <v>102.0684</v>
      </c>
      <c r="R13" s="50">
        <v>102.0684</v>
      </c>
      <c r="S13" s="50">
        <v>65.590900000000005</v>
      </c>
      <c r="T13" s="46">
        <v>-36.477499999999999</v>
      </c>
      <c r="V13" s="1">
        <f t="shared" si="9"/>
        <v>3.1637105263157945</v>
      </c>
    </row>
    <row r="14" spans="1:23" x14ac:dyDescent="0.25">
      <c r="D14" s="45">
        <f t="shared" si="5"/>
        <v>0.63157894736842102</v>
      </c>
      <c r="E14" s="43">
        <f t="shared" si="0"/>
        <v>0.36842105263157898</v>
      </c>
      <c r="F14" s="43">
        <f t="shared" ca="1" si="6"/>
        <v>-0.70766959131068763</v>
      </c>
      <c r="G14" s="43">
        <f t="shared" ca="1" si="7"/>
        <v>92.087033649440215</v>
      </c>
      <c r="H14" s="43">
        <f t="shared" ca="1" si="10"/>
        <v>-0.28073688968068805</v>
      </c>
      <c r="I14" s="43">
        <f ca="1">(LN(G14/$B$5)+($B$6+($B$7^2)/2)*E14)/($B$7*SQRT(E14))-$B$7*SQRT(E14)</f>
        <v>-0.46282998328075325</v>
      </c>
      <c r="J14" s="53">
        <f t="shared" ca="1" si="2"/>
        <v>35.863857548491289</v>
      </c>
      <c r="K14" s="43">
        <f t="shared" ca="1" si="3"/>
        <v>2.4956702379158711</v>
      </c>
      <c r="L14" s="43">
        <f t="shared" ca="1" si="8"/>
        <v>15.081177830960243</v>
      </c>
      <c r="M14" s="43">
        <f t="shared" ca="1" si="11"/>
        <v>191.69610676745816</v>
      </c>
      <c r="N14" s="46">
        <f t="shared" ca="1" si="4"/>
        <v>38.12276240940713</v>
      </c>
      <c r="P14" s="18">
        <v>13</v>
      </c>
      <c r="Q14" s="50">
        <v>141.10130000000001</v>
      </c>
      <c r="R14" s="50">
        <v>141.10130000000001</v>
      </c>
      <c r="S14" s="50">
        <v>144.7782</v>
      </c>
      <c r="T14" s="46">
        <v>3.6768999999999998</v>
      </c>
      <c r="V14" s="1">
        <f t="shared" si="9"/>
        <v>10.722684210526321</v>
      </c>
    </row>
    <row r="15" spans="1:23" x14ac:dyDescent="0.25">
      <c r="D15" s="45">
        <f t="shared" si="5"/>
        <v>0.68421052631578938</v>
      </c>
      <c r="E15" s="43">
        <f t="shared" si="0"/>
        <v>0.31578947368421062</v>
      </c>
      <c r="F15" s="43">
        <f t="shared" ca="1" si="6"/>
        <v>0.20175304618045437</v>
      </c>
      <c r="G15" s="43">
        <f t="shared" ca="1" si="7"/>
        <v>95.574092465698143</v>
      </c>
      <c r="H15" s="43">
        <f t="shared" ca="1" si="10"/>
        <v>-0.10929945102170797</v>
      </c>
      <c r="I15" s="43">
        <f t="shared" ca="1" si="1"/>
        <v>-0.2778848971064129</v>
      </c>
      <c r="J15" s="53">
        <f t="shared" ca="1" si="2"/>
        <v>43.627899804237941</v>
      </c>
      <c r="K15" s="43">
        <f t="shared" ca="1" si="3"/>
        <v>2.8087995879847831</v>
      </c>
      <c r="L15" s="43">
        <f t="shared" ca="1" si="8"/>
        <v>29.927053457210164</v>
      </c>
      <c r="M15" s="43">
        <f t="shared" ca="1" si="11"/>
        <v>222.02715608534481</v>
      </c>
      <c r="N15" s="46">
        <f ca="1">K15*G15-M15</f>
        <v>46.421315454327726</v>
      </c>
      <c r="P15" s="18">
        <v>14</v>
      </c>
      <c r="Q15" s="50">
        <v>90.763000000000005</v>
      </c>
      <c r="R15" s="50">
        <v>0</v>
      </c>
      <c r="S15" s="50">
        <v>24.369800000000001</v>
      </c>
      <c r="T15" s="46">
        <v>24.369800000000001</v>
      </c>
      <c r="V15" s="1">
        <f t="shared" si="9"/>
        <v>18.281657894736846</v>
      </c>
    </row>
    <row r="16" spans="1:23" x14ac:dyDescent="0.25">
      <c r="D16" s="45">
        <f t="shared" si="5"/>
        <v>0.73684210526315774</v>
      </c>
      <c r="E16" s="43">
        <f t="shared" si="0"/>
        <v>0.26315789473684226</v>
      </c>
      <c r="F16" s="43">
        <f t="shared" ca="1" si="6"/>
        <v>0.54385682992853901</v>
      </c>
      <c r="G16" s="43">
        <f t="shared" ca="1" si="7"/>
        <v>83.192523690012251</v>
      </c>
      <c r="H16" s="43">
        <f t="shared" ca="1" si="10"/>
        <v>-1.0503423736146043</v>
      </c>
      <c r="I16" s="43">
        <f t="shared" ca="1" si="1"/>
        <v>-1.2042391264273773</v>
      </c>
      <c r="J16" s="53">
        <f t="shared" ca="1" si="2"/>
        <v>12.211028987776102</v>
      </c>
      <c r="K16" s="43">
        <f t="shared" ca="1" si="3"/>
        <v>1.6399860174984009</v>
      </c>
      <c r="L16" s="43">
        <f t="shared" ca="1" si="8"/>
        <v>-97.236550651896152</v>
      </c>
      <c r="M16" s="43">
        <f ca="1">M15*EXP($B$6*$B$9)+L16</f>
        <v>125.25852339760982</v>
      </c>
      <c r="N16" s="46">
        <f t="shared" ca="1" si="4"/>
        <v>11.176052214414739</v>
      </c>
      <c r="P16" s="18">
        <v>15</v>
      </c>
      <c r="Q16" s="50">
        <v>73.142099999999999</v>
      </c>
      <c r="R16" s="50">
        <v>0</v>
      </c>
      <c r="S16" s="50">
        <v>-5.2454999999999998</v>
      </c>
      <c r="T16" s="46">
        <v>-5.2454999999999998</v>
      </c>
      <c r="V16" s="1">
        <f t="shared" si="9"/>
        <v>25.84063157894737</v>
      </c>
    </row>
    <row r="17" spans="4:23" x14ac:dyDescent="0.25">
      <c r="D17" s="45">
        <f t="shared" si="5"/>
        <v>0.78947368421052611</v>
      </c>
      <c r="E17" s="43">
        <f t="shared" si="0"/>
        <v>0.21052631578947389</v>
      </c>
      <c r="F17" s="43">
        <f t="shared" ca="1" si="6"/>
        <v>-2.0120843427200628</v>
      </c>
      <c r="G17" s="43">
        <f t="shared" ca="1" si="7"/>
        <v>81.142135003707196</v>
      </c>
      <c r="H17" s="43">
        <f t="shared" ca="1" si="10"/>
        <v>-1.3881137378728838</v>
      </c>
      <c r="I17" s="43">
        <f t="shared" ca="1" si="1"/>
        <v>-1.525763178195221</v>
      </c>
      <c r="J17" s="53">
        <f t="shared" ca="1" si="2"/>
        <v>6.6983811808046845</v>
      </c>
      <c r="K17" s="43">
        <f t="shared" ca="1" si="3"/>
        <v>1.188470253398392</v>
      </c>
      <c r="L17" s="43">
        <f t="shared" ca="1" si="8"/>
        <v>-36.636953086904938</v>
      </c>
      <c r="M17" s="43">
        <f ca="1">M16*EXP($B$6*$B$9)+L17</f>
        <v>88.885550241337839</v>
      </c>
      <c r="N17" s="46">
        <f t="shared" ca="1" si="4"/>
        <v>7.5494635078045889</v>
      </c>
      <c r="P17" s="18">
        <v>16</v>
      </c>
      <c r="Q17" s="50">
        <v>100.86409999999999</v>
      </c>
      <c r="R17" s="50">
        <v>100.86409999999999</v>
      </c>
      <c r="S17" s="50">
        <v>55.008400000000002</v>
      </c>
      <c r="T17" s="46">
        <v>-45.855800000000002</v>
      </c>
      <c r="V17" s="1">
        <f t="shared" si="9"/>
        <v>33.399605263157895</v>
      </c>
    </row>
    <row r="18" spans="4:23" x14ac:dyDescent="0.25">
      <c r="D18" s="45">
        <f t="shared" si="5"/>
        <v>0.84210526315789447</v>
      </c>
      <c r="E18" s="43">
        <f t="shared" si="0"/>
        <v>0.15789473684210553</v>
      </c>
      <c r="F18" s="43">
        <f t="shared" ca="1" si="6"/>
        <v>-0.35876580853386147</v>
      </c>
      <c r="G18" s="43">
        <f t="shared" ca="1" si="7"/>
        <v>78.703197391133514</v>
      </c>
      <c r="H18" s="43">
        <f ca="1">(LN(G18/$B$5)+($B$6+($B$7^2)/2)*E18)/($B$7*SQRT(E18))</f>
        <v>-1.8963955254357165</v>
      </c>
      <c r="I18" s="43">
        <f t="shared" ca="1" si="1"/>
        <v>-2.0156034375715706</v>
      </c>
      <c r="J18" s="53">
        <f t="shared" ca="1" si="2"/>
        <v>2.2787630556539562</v>
      </c>
      <c r="K18" s="43">
        <f t="shared" ca="1" si="3"/>
        <v>0.5831645602530181</v>
      </c>
      <c r="L18" s="43">
        <f t="shared" ca="1" si="8"/>
        <v>-47.639493449597254</v>
      </c>
      <c r="M18" s="43">
        <f t="shared" ca="1" si="11"/>
        <v>41.433381380523244</v>
      </c>
      <c r="N18" s="46">
        <f t="shared" ca="1" si="4"/>
        <v>4.4635341165836167</v>
      </c>
      <c r="P18" s="18">
        <v>17</v>
      </c>
      <c r="Q18" s="50">
        <v>83.646600000000007</v>
      </c>
      <c r="R18" s="50">
        <v>0</v>
      </c>
      <c r="S18" s="50">
        <v>8.7239000000000004</v>
      </c>
      <c r="T18" s="46">
        <v>8.7239000000000004</v>
      </c>
      <c r="V18" s="1">
        <f t="shared" si="9"/>
        <v>40.958578947368423</v>
      </c>
    </row>
    <row r="19" spans="4:23" x14ac:dyDescent="0.25">
      <c r="D19" s="45">
        <f t="shared" si="5"/>
        <v>0.89473684210526283</v>
      </c>
      <c r="E19" s="43">
        <f t="shared" si="0"/>
        <v>0.10526315789473717</v>
      </c>
      <c r="F19" s="43">
        <f t="shared" ca="1" si="6"/>
        <v>-0.43960120539400421</v>
      </c>
      <c r="G19" s="43">
        <f t="shared" ca="1" si="7"/>
        <v>86.788029484435427</v>
      </c>
      <c r="H19" s="43">
        <f t="shared" ca="1" si="10"/>
        <v>-1.3639188714125714</v>
      </c>
      <c r="I19" s="43">
        <f t="shared" ca="1" si="1"/>
        <v>-1.461251724091029</v>
      </c>
      <c r="J19" s="53">
        <f t="shared" ca="1" si="2"/>
        <v>7.4895075563141384</v>
      </c>
      <c r="K19" s="43">
        <f t="shared" ca="1" si="3"/>
        <v>1.7032484387391285</v>
      </c>
      <c r="L19" s="43">
        <f t="shared" ca="1" si="8"/>
        <v>97.209872671093322</v>
      </c>
      <c r="M19" s="43">
        <f t="shared" ca="1" si="11"/>
        <v>138.7305741065401</v>
      </c>
      <c r="N19" s="46">
        <f t="shared" ca="1" si="4"/>
        <v>9.0910016140699952</v>
      </c>
      <c r="P19" s="18">
        <v>18</v>
      </c>
      <c r="Q19" s="50">
        <v>102.36799999999999</v>
      </c>
      <c r="R19" s="50">
        <v>102.36799999999999</v>
      </c>
      <c r="S19" s="50">
        <v>56.876100000000001</v>
      </c>
      <c r="T19" s="46">
        <v>-45.491799999999998</v>
      </c>
      <c r="V19" s="1">
        <f t="shared" si="9"/>
        <v>48.517552631578951</v>
      </c>
    </row>
    <row r="20" spans="4:23" x14ac:dyDescent="0.25">
      <c r="D20" s="45">
        <f t="shared" si="5"/>
        <v>0.94736842105263119</v>
      </c>
      <c r="E20" s="43">
        <f t="shared" si="0"/>
        <v>5.2631578947368807E-2</v>
      </c>
      <c r="F20" s="43">
        <f t="shared" ca="1" si="6"/>
        <v>1.4246055555338435</v>
      </c>
      <c r="G20" s="43">
        <f t="shared" ca="1" si="7"/>
        <v>87.033517655084864</v>
      </c>
      <c r="H20" s="43">
        <f t="shared" ca="1" si="10"/>
        <v>-1.9528331767816132</v>
      </c>
      <c r="I20" s="43">
        <f t="shared" ca="1" si="1"/>
        <v>-2.0216578969427821</v>
      </c>
      <c r="J20" s="53">
        <f t="shared" ca="1" si="2"/>
        <v>2.212364425033567</v>
      </c>
      <c r="K20" s="43">
        <f t="shared" ca="1" si="3"/>
        <v>0.88653663801913463</v>
      </c>
      <c r="L20" s="43">
        <f t="shared" ca="1" si="8"/>
        <v>-71.081300927079738</v>
      </c>
      <c r="M20" s="43">
        <f t="shared" ca="1" si="11"/>
        <v>67.941645198034038</v>
      </c>
      <c r="N20" s="46">
        <f t="shared" ca="1" si="4"/>
        <v>9.2167569388838899</v>
      </c>
      <c r="P20" s="18">
        <v>19</v>
      </c>
      <c r="Q20" s="50">
        <v>100.5759</v>
      </c>
      <c r="R20" s="50">
        <v>100.5759</v>
      </c>
      <c r="S20" s="50">
        <v>38.190600000000003</v>
      </c>
      <c r="T20" s="46">
        <v>-62.385300000000001</v>
      </c>
      <c r="V20" s="1">
        <f>V19+(($V$21-$V$2)/19)</f>
        <v>56.076526315789479</v>
      </c>
      <c r="W20" s="58"/>
    </row>
    <row r="21" spans="4:23" ht="15.75" thickBot="1" x14ac:dyDescent="0.3">
      <c r="D21" s="47">
        <f t="shared" si="5"/>
        <v>0.99999999999999956</v>
      </c>
      <c r="E21" s="44">
        <f>$B$8-D21+B10</f>
        <v>1.0000000004440892E-6</v>
      </c>
      <c r="F21" s="44">
        <f t="shared" ca="1" si="6"/>
        <v>4.4864109307813087E-2</v>
      </c>
      <c r="G21" s="48">
        <f t="shared" ca="1" si="7"/>
        <v>87.010617111168827</v>
      </c>
      <c r="H21" s="44">
        <f ca="1">(LN(G21/$B$5)+($B$6+($B$7^2)/2)*E21)/($B$7*SQRT(E21))</f>
        <v>-463.79984662602908</v>
      </c>
      <c r="I21" s="44">
        <f t="shared" ca="1" si="1"/>
        <v>-463.80014662602912</v>
      </c>
      <c r="J21" s="54">
        <f t="shared" ca="1" si="2"/>
        <v>0</v>
      </c>
      <c r="K21" s="44">
        <f t="shared" ca="1" si="3"/>
        <v>0</v>
      </c>
      <c r="L21" s="44">
        <f t="shared" ca="1" si="8"/>
        <v>-77.138099965705806</v>
      </c>
      <c r="M21" s="44">
        <f t="shared" ca="1" si="11"/>
        <v>-9.0532690562329208</v>
      </c>
      <c r="N21" s="49">
        <f t="shared" ca="1" si="4"/>
        <v>9.0532690562329208</v>
      </c>
      <c r="P21" s="18">
        <v>20</v>
      </c>
      <c r="Q21" s="50">
        <v>110.24039999999999</v>
      </c>
      <c r="R21" s="50">
        <v>110.24039999999999</v>
      </c>
      <c r="S21" s="50">
        <v>94.2928</v>
      </c>
      <c r="T21" s="46">
        <v>-15.9476</v>
      </c>
      <c r="V21" s="58">
        <f>MAX($T$2:$T$1001)</f>
        <v>63.6355</v>
      </c>
      <c r="W21" s="58"/>
    </row>
    <row r="22" spans="4:23" x14ac:dyDescent="0.25">
      <c r="D22" s="4"/>
      <c r="J22" s="5"/>
      <c r="P22" s="18">
        <v>21</v>
      </c>
      <c r="Q22" s="50">
        <v>70.857900000000001</v>
      </c>
      <c r="R22" s="50">
        <v>0</v>
      </c>
      <c r="S22" s="50">
        <v>5.6604000000000001</v>
      </c>
      <c r="T22" s="46">
        <v>5.6604000000000001</v>
      </c>
    </row>
    <row r="23" spans="4:23" x14ac:dyDescent="0.25">
      <c r="D23" s="4"/>
      <c r="P23" s="18">
        <v>22</v>
      </c>
      <c r="Q23" s="50">
        <v>128.45670000000001</v>
      </c>
      <c r="R23" s="50">
        <v>128.45670000000001</v>
      </c>
      <c r="S23" s="50">
        <v>125.2987</v>
      </c>
      <c r="T23" s="46">
        <v>-3.1579999999999999</v>
      </c>
    </row>
    <row r="24" spans="4:23" x14ac:dyDescent="0.25">
      <c r="P24" s="18">
        <v>23</v>
      </c>
      <c r="Q24" s="50">
        <v>142.25899999999999</v>
      </c>
      <c r="R24" s="50">
        <v>142.25899999999999</v>
      </c>
      <c r="S24" s="50">
        <v>135.45939999999999</v>
      </c>
      <c r="T24" s="46">
        <v>-6.7995999999999999</v>
      </c>
    </row>
    <row r="25" spans="4:23" x14ac:dyDescent="0.25">
      <c r="P25" s="18">
        <v>24</v>
      </c>
      <c r="Q25" s="50">
        <v>108.7974</v>
      </c>
      <c r="R25" s="50">
        <v>108.7974</v>
      </c>
      <c r="S25" s="50">
        <v>83.007000000000005</v>
      </c>
      <c r="T25" s="46">
        <v>-25.790400000000002</v>
      </c>
    </row>
    <row r="26" spans="4:23" x14ac:dyDescent="0.25">
      <c r="P26" s="18">
        <v>25</v>
      </c>
      <c r="Q26" s="50">
        <v>133.20079999999999</v>
      </c>
      <c r="R26" s="50">
        <v>133.20079999999999</v>
      </c>
      <c r="S26" s="50">
        <v>135.65039999999999</v>
      </c>
      <c r="T26" s="46">
        <v>2.4496000000000002</v>
      </c>
    </row>
    <row r="27" spans="4:23" x14ac:dyDescent="0.25">
      <c r="P27" s="18">
        <v>26</v>
      </c>
      <c r="Q27" s="50">
        <v>146.89250000000001</v>
      </c>
      <c r="R27" s="50">
        <v>146.89250000000001</v>
      </c>
      <c r="S27" s="50">
        <v>143.1558</v>
      </c>
      <c r="T27" s="46">
        <v>-3.7368000000000001</v>
      </c>
    </row>
    <row r="28" spans="4:23" x14ac:dyDescent="0.25">
      <c r="P28" s="18">
        <v>27</v>
      </c>
      <c r="Q28" s="50">
        <v>72.296599999999998</v>
      </c>
      <c r="R28" s="50">
        <v>0</v>
      </c>
      <c r="S28" s="50">
        <v>2.3412000000000002</v>
      </c>
      <c r="T28" s="46">
        <v>2.3412000000000002</v>
      </c>
    </row>
    <row r="29" spans="4:23" x14ac:dyDescent="0.25">
      <c r="P29" s="18">
        <v>28</v>
      </c>
      <c r="Q29" s="50">
        <v>114.5347</v>
      </c>
      <c r="R29" s="50">
        <v>114.5347</v>
      </c>
      <c r="S29" s="50">
        <v>119.4246</v>
      </c>
      <c r="T29" s="46">
        <v>4.8898999999999999</v>
      </c>
    </row>
    <row r="30" spans="4:23" x14ac:dyDescent="0.25">
      <c r="P30" s="18">
        <v>29</v>
      </c>
      <c r="Q30" s="50">
        <v>133.16149999999999</v>
      </c>
      <c r="R30" s="50">
        <v>133.16149999999999</v>
      </c>
      <c r="S30" s="50">
        <v>134.16120000000001</v>
      </c>
      <c r="T30" s="46">
        <v>0.99970000000000003</v>
      </c>
    </row>
    <row r="31" spans="4:23" x14ac:dyDescent="0.25">
      <c r="P31" s="18">
        <v>30</v>
      </c>
      <c r="Q31" s="50">
        <v>168.21459999999999</v>
      </c>
      <c r="R31" s="50">
        <v>168.21459999999999</v>
      </c>
      <c r="S31" s="50">
        <v>173.43690000000001</v>
      </c>
      <c r="T31" s="46">
        <v>5.2222999999999997</v>
      </c>
    </row>
    <row r="32" spans="4:23" x14ac:dyDescent="0.25">
      <c r="P32" s="18">
        <v>31</v>
      </c>
      <c r="Q32" s="50">
        <v>157.3091</v>
      </c>
      <c r="R32" s="50">
        <v>157.3091</v>
      </c>
      <c r="S32" s="50">
        <v>156.36429999999999</v>
      </c>
      <c r="T32" s="46">
        <v>-0.94479999999999997</v>
      </c>
    </row>
    <row r="33" spans="16:20" x14ac:dyDescent="0.25">
      <c r="P33" s="18">
        <v>32</v>
      </c>
      <c r="Q33" s="50">
        <v>104.1093</v>
      </c>
      <c r="R33" s="50">
        <v>104.1093</v>
      </c>
      <c r="S33" s="50">
        <v>24.265599999999999</v>
      </c>
      <c r="T33" s="46">
        <v>-79.843699999999998</v>
      </c>
    </row>
    <row r="34" spans="16:20" x14ac:dyDescent="0.25">
      <c r="P34" s="18">
        <v>33</v>
      </c>
      <c r="Q34" s="50">
        <v>112.70650000000001</v>
      </c>
      <c r="R34" s="50">
        <v>112.70650000000001</v>
      </c>
      <c r="S34" s="50">
        <v>109.8105</v>
      </c>
      <c r="T34" s="46">
        <v>-2.8959999999999999</v>
      </c>
    </row>
    <row r="35" spans="16:20" x14ac:dyDescent="0.25">
      <c r="P35" s="18">
        <v>34</v>
      </c>
      <c r="Q35" s="50">
        <v>101.9491</v>
      </c>
      <c r="R35" s="50">
        <v>101.9491</v>
      </c>
      <c r="S35" s="50">
        <v>60.310099999999998</v>
      </c>
      <c r="T35" s="46">
        <v>-41.639000000000003</v>
      </c>
    </row>
    <row r="36" spans="16:20" x14ac:dyDescent="0.25">
      <c r="P36" s="18">
        <v>35</v>
      </c>
      <c r="Q36" s="50">
        <v>79.515000000000001</v>
      </c>
      <c r="R36" s="50">
        <v>0</v>
      </c>
      <c r="S36" s="50">
        <v>4.0262000000000002</v>
      </c>
      <c r="T36" s="46">
        <v>4.0262000000000002</v>
      </c>
    </row>
    <row r="37" spans="16:20" x14ac:dyDescent="0.25">
      <c r="P37" s="18">
        <v>36</v>
      </c>
      <c r="Q37" s="50">
        <v>79.402799999999999</v>
      </c>
      <c r="R37" s="50">
        <v>0</v>
      </c>
      <c r="S37" s="50">
        <v>9.4076000000000004</v>
      </c>
      <c r="T37" s="46">
        <v>9.4076000000000004</v>
      </c>
    </row>
    <row r="38" spans="16:20" x14ac:dyDescent="0.25">
      <c r="P38" s="18">
        <v>37</v>
      </c>
      <c r="Q38" s="50">
        <v>108.84229999999999</v>
      </c>
      <c r="R38" s="50">
        <v>108.84229999999999</v>
      </c>
      <c r="S38" s="50">
        <v>92.7864</v>
      </c>
      <c r="T38" s="46">
        <v>-16.055900000000001</v>
      </c>
    </row>
    <row r="39" spans="16:20" x14ac:dyDescent="0.25">
      <c r="P39" s="18">
        <v>38</v>
      </c>
      <c r="Q39" s="50">
        <v>67.859300000000005</v>
      </c>
      <c r="R39" s="50">
        <v>0</v>
      </c>
      <c r="S39" s="50">
        <v>3.4424000000000001</v>
      </c>
      <c r="T39" s="46">
        <v>3.4424000000000001</v>
      </c>
    </row>
    <row r="40" spans="16:20" x14ac:dyDescent="0.25">
      <c r="P40" s="18">
        <v>39</v>
      </c>
      <c r="Q40" s="50">
        <v>120.6168</v>
      </c>
      <c r="R40" s="50">
        <v>120.6168</v>
      </c>
      <c r="S40" s="50">
        <v>116.15089999999999</v>
      </c>
      <c r="T40" s="46">
        <v>-4.4659000000000004</v>
      </c>
    </row>
    <row r="41" spans="16:20" x14ac:dyDescent="0.25">
      <c r="P41" s="18">
        <v>40</v>
      </c>
      <c r="Q41" s="50">
        <v>51.927100000000003</v>
      </c>
      <c r="R41" s="50">
        <v>0</v>
      </c>
      <c r="S41" s="50">
        <v>-4.4284999999999997</v>
      </c>
      <c r="T41" s="46">
        <v>-4.4284999999999997</v>
      </c>
    </row>
    <row r="42" spans="16:20" x14ac:dyDescent="0.25">
      <c r="P42" s="18">
        <v>41</v>
      </c>
      <c r="Q42" s="50">
        <v>90.278999999999996</v>
      </c>
      <c r="R42" s="50">
        <v>0</v>
      </c>
      <c r="S42" s="50">
        <v>10.6775</v>
      </c>
      <c r="T42" s="46">
        <v>10.6775</v>
      </c>
    </row>
    <row r="43" spans="16:20" x14ac:dyDescent="0.25">
      <c r="P43" s="18">
        <v>42</v>
      </c>
      <c r="Q43" s="50">
        <v>143.7158</v>
      </c>
      <c r="R43" s="50">
        <v>143.7158</v>
      </c>
      <c r="S43" s="50">
        <v>139.5437</v>
      </c>
      <c r="T43" s="46">
        <v>-4.1722000000000001</v>
      </c>
    </row>
    <row r="44" spans="16:20" x14ac:dyDescent="0.25">
      <c r="P44" s="18">
        <v>43</v>
      </c>
      <c r="Q44" s="50">
        <v>112.6417</v>
      </c>
      <c r="R44" s="50">
        <v>112.6417</v>
      </c>
      <c r="S44" s="50">
        <v>95.207099999999997</v>
      </c>
      <c r="T44" s="46">
        <v>-17.4346</v>
      </c>
    </row>
    <row r="45" spans="16:20" x14ac:dyDescent="0.25">
      <c r="P45" s="18">
        <v>44</v>
      </c>
      <c r="Q45" s="50">
        <v>64.528899999999993</v>
      </c>
      <c r="R45" s="50">
        <v>0</v>
      </c>
      <c r="S45" s="50">
        <v>0.52310000000000001</v>
      </c>
      <c r="T45" s="46">
        <v>0.52310000000000001</v>
      </c>
    </row>
    <row r="46" spans="16:20" x14ac:dyDescent="0.25">
      <c r="P46" s="18">
        <v>45</v>
      </c>
      <c r="Q46" s="50">
        <v>129.02699999999999</v>
      </c>
      <c r="R46" s="50">
        <v>129.02699999999999</v>
      </c>
      <c r="S46" s="50">
        <v>131.2998</v>
      </c>
      <c r="T46" s="46">
        <v>2.2728000000000002</v>
      </c>
    </row>
    <row r="47" spans="16:20" x14ac:dyDescent="0.25">
      <c r="P47" s="18">
        <v>46</v>
      </c>
      <c r="Q47" s="50">
        <v>113.8621</v>
      </c>
      <c r="R47" s="50">
        <v>113.8621</v>
      </c>
      <c r="S47" s="50">
        <v>99.0792</v>
      </c>
      <c r="T47" s="46">
        <v>-14.7829</v>
      </c>
    </row>
    <row r="48" spans="16:20" x14ac:dyDescent="0.25">
      <c r="P48" s="18">
        <v>47</v>
      </c>
      <c r="Q48" s="50">
        <v>113.5844</v>
      </c>
      <c r="R48" s="50">
        <v>113.5844</v>
      </c>
      <c r="S48" s="50">
        <v>91.388199999999998</v>
      </c>
      <c r="T48" s="46">
        <v>-22.196100000000001</v>
      </c>
    </row>
    <row r="49" spans="16:20" x14ac:dyDescent="0.25">
      <c r="P49" s="18">
        <v>48</v>
      </c>
      <c r="Q49" s="50">
        <v>91.094899999999996</v>
      </c>
      <c r="R49" s="50">
        <v>0</v>
      </c>
      <c r="S49" s="50">
        <v>24.7193</v>
      </c>
      <c r="T49" s="46">
        <v>24.7193</v>
      </c>
    </row>
    <row r="50" spans="16:20" x14ac:dyDescent="0.25">
      <c r="P50" s="18">
        <v>49</v>
      </c>
      <c r="Q50" s="50">
        <v>114.5453</v>
      </c>
      <c r="R50" s="50">
        <v>114.5453</v>
      </c>
      <c r="S50" s="50">
        <v>105.83369999999999</v>
      </c>
      <c r="T50" s="46">
        <v>-8.7116000000000007</v>
      </c>
    </row>
    <row r="51" spans="16:20" x14ac:dyDescent="0.25">
      <c r="P51" s="18">
        <v>50</v>
      </c>
      <c r="Q51" s="50">
        <v>121.27370000000001</v>
      </c>
      <c r="R51" s="50">
        <v>121.27370000000001</v>
      </c>
      <c r="S51" s="50">
        <v>115.0577</v>
      </c>
      <c r="T51" s="46">
        <v>-6.2159000000000004</v>
      </c>
    </row>
    <row r="52" spans="16:20" x14ac:dyDescent="0.25">
      <c r="P52" s="18">
        <v>51</v>
      </c>
      <c r="Q52" s="50">
        <v>86.885900000000007</v>
      </c>
      <c r="R52" s="50">
        <v>0</v>
      </c>
      <c r="S52" s="50">
        <v>21.813199999999998</v>
      </c>
      <c r="T52" s="46">
        <v>21.813199999999998</v>
      </c>
    </row>
    <row r="53" spans="16:20" x14ac:dyDescent="0.25">
      <c r="P53" s="18">
        <v>52</v>
      </c>
      <c r="Q53" s="50">
        <v>69.339699999999993</v>
      </c>
      <c r="R53" s="50">
        <v>0</v>
      </c>
      <c r="S53" s="50">
        <v>5.9328000000000003</v>
      </c>
      <c r="T53" s="46">
        <v>5.9328000000000003</v>
      </c>
    </row>
    <row r="54" spans="16:20" x14ac:dyDescent="0.25">
      <c r="P54" s="18">
        <v>53</v>
      </c>
      <c r="Q54" s="50">
        <v>71.402199999999993</v>
      </c>
      <c r="R54" s="50">
        <v>0</v>
      </c>
      <c r="S54" s="50">
        <v>-15.154999999999999</v>
      </c>
      <c r="T54" s="46">
        <v>-15.154999999999999</v>
      </c>
    </row>
    <row r="55" spans="16:20" x14ac:dyDescent="0.25">
      <c r="P55" s="18">
        <v>54</v>
      </c>
      <c r="Q55" s="50">
        <v>81.929400000000001</v>
      </c>
      <c r="R55" s="50">
        <v>0</v>
      </c>
      <c r="S55" s="50">
        <v>9.9268000000000001</v>
      </c>
      <c r="T55" s="46">
        <v>9.9268000000000001</v>
      </c>
    </row>
    <row r="56" spans="16:20" x14ac:dyDescent="0.25">
      <c r="P56" s="18">
        <v>55</v>
      </c>
      <c r="Q56" s="50">
        <v>110.2734</v>
      </c>
      <c r="R56" s="50">
        <v>110.2734</v>
      </c>
      <c r="S56" s="50">
        <v>93.144999999999996</v>
      </c>
      <c r="T56" s="46">
        <v>-17.128399999999999</v>
      </c>
    </row>
    <row r="57" spans="16:20" x14ac:dyDescent="0.25">
      <c r="P57" s="18">
        <v>56</v>
      </c>
      <c r="Q57" s="50">
        <v>70.046899999999994</v>
      </c>
      <c r="R57" s="50">
        <v>0</v>
      </c>
      <c r="S57" s="50">
        <v>-0.19409999999999999</v>
      </c>
      <c r="T57" s="46">
        <v>-0.19409999999999999</v>
      </c>
    </row>
    <row r="58" spans="16:20" x14ac:dyDescent="0.25">
      <c r="P58" s="18">
        <v>57</v>
      </c>
      <c r="Q58" s="50">
        <v>117.4097</v>
      </c>
      <c r="R58" s="50">
        <v>117.4097</v>
      </c>
      <c r="S58" s="50">
        <v>115.7231</v>
      </c>
      <c r="T58" s="46">
        <v>-1.6866000000000001</v>
      </c>
    </row>
    <row r="59" spans="16:20" x14ac:dyDescent="0.25">
      <c r="P59" s="18">
        <v>58</v>
      </c>
      <c r="Q59" s="50">
        <v>82.724299999999999</v>
      </c>
      <c r="R59" s="50">
        <v>0</v>
      </c>
      <c r="S59" s="50">
        <v>7.1805000000000003</v>
      </c>
      <c r="T59" s="46">
        <v>7.1805000000000003</v>
      </c>
    </row>
    <row r="60" spans="16:20" x14ac:dyDescent="0.25">
      <c r="P60" s="18">
        <v>59</v>
      </c>
      <c r="Q60" s="50">
        <v>90.621700000000004</v>
      </c>
      <c r="R60" s="50">
        <v>0</v>
      </c>
      <c r="S60" s="50">
        <v>7.9196</v>
      </c>
      <c r="T60" s="46">
        <v>7.9196</v>
      </c>
    </row>
    <row r="61" spans="16:20" x14ac:dyDescent="0.25">
      <c r="P61" s="18">
        <v>60</v>
      </c>
      <c r="Q61" s="50">
        <v>105.43989999999999</v>
      </c>
      <c r="R61" s="50">
        <v>105.43989999999999</v>
      </c>
      <c r="S61" s="50">
        <v>68.179000000000002</v>
      </c>
      <c r="T61" s="46">
        <v>-37.260899999999999</v>
      </c>
    </row>
    <row r="62" spans="16:20" x14ac:dyDescent="0.25">
      <c r="P62" s="18">
        <v>61</v>
      </c>
      <c r="Q62" s="50">
        <v>113.9418</v>
      </c>
      <c r="R62" s="50">
        <v>113.9418</v>
      </c>
      <c r="S62" s="50">
        <v>101.306</v>
      </c>
      <c r="T62" s="46">
        <v>-12.6358</v>
      </c>
    </row>
    <row r="63" spans="16:20" x14ac:dyDescent="0.25">
      <c r="P63" s="18">
        <v>62</v>
      </c>
      <c r="Q63" s="50">
        <v>86.135800000000003</v>
      </c>
      <c r="R63" s="50">
        <v>0</v>
      </c>
      <c r="S63" s="50">
        <v>14.9908</v>
      </c>
      <c r="T63" s="46">
        <v>14.9908</v>
      </c>
    </row>
    <row r="64" spans="16:20" x14ac:dyDescent="0.25">
      <c r="P64" s="18">
        <v>63</v>
      </c>
      <c r="Q64" s="50">
        <v>108.7195</v>
      </c>
      <c r="R64" s="50">
        <v>108.7195</v>
      </c>
      <c r="S64" s="50">
        <v>78.566400000000002</v>
      </c>
      <c r="T64" s="46">
        <v>-30.153099999999998</v>
      </c>
    </row>
    <row r="65" spans="16:20" x14ac:dyDescent="0.25">
      <c r="P65" s="18">
        <v>64</v>
      </c>
      <c r="Q65" s="50">
        <v>142.59610000000001</v>
      </c>
      <c r="R65" s="50">
        <v>142.59610000000001</v>
      </c>
      <c r="S65" s="50">
        <v>150.66909999999999</v>
      </c>
      <c r="T65" s="46">
        <v>8.0730000000000004</v>
      </c>
    </row>
    <row r="66" spans="16:20" x14ac:dyDescent="0.25">
      <c r="P66" s="18">
        <v>65</v>
      </c>
      <c r="Q66" s="50">
        <v>73.533199999999994</v>
      </c>
      <c r="R66" s="50">
        <v>0</v>
      </c>
      <c r="S66" s="50">
        <v>-4.2949999999999999</v>
      </c>
      <c r="T66" s="46">
        <v>-4.2949999999999999</v>
      </c>
    </row>
    <row r="67" spans="16:20" x14ac:dyDescent="0.25">
      <c r="P67" s="18">
        <v>66</v>
      </c>
      <c r="Q67" s="50">
        <v>102.1065</v>
      </c>
      <c r="R67" s="50">
        <v>102.1065</v>
      </c>
      <c r="S67" s="50">
        <v>22.121500000000001</v>
      </c>
      <c r="T67" s="46">
        <v>-79.984999999999999</v>
      </c>
    </row>
    <row r="68" spans="16:20" x14ac:dyDescent="0.25">
      <c r="P68" s="18">
        <v>67</v>
      </c>
      <c r="Q68" s="50">
        <v>100.5672</v>
      </c>
      <c r="R68" s="50">
        <v>100.5672</v>
      </c>
      <c r="S68" s="50">
        <v>67.165999999999997</v>
      </c>
      <c r="T68" s="46">
        <v>-33.401200000000003</v>
      </c>
    </row>
    <row r="69" spans="16:20" x14ac:dyDescent="0.25">
      <c r="P69" s="18">
        <v>68</v>
      </c>
      <c r="Q69" s="50">
        <v>140.02510000000001</v>
      </c>
      <c r="R69" s="50">
        <v>140.02510000000001</v>
      </c>
      <c r="S69" s="50">
        <v>134.50550000000001</v>
      </c>
      <c r="T69" s="46">
        <v>-5.5195999999999996</v>
      </c>
    </row>
    <row r="70" spans="16:20" x14ac:dyDescent="0.25">
      <c r="P70" s="18">
        <v>69</v>
      </c>
      <c r="Q70" s="50">
        <v>70.035899999999998</v>
      </c>
      <c r="R70" s="50">
        <v>0</v>
      </c>
      <c r="S70" s="50">
        <v>-0.76139999999999997</v>
      </c>
      <c r="T70" s="46">
        <v>-0.76139999999999997</v>
      </c>
    </row>
    <row r="71" spans="16:20" x14ac:dyDescent="0.25">
      <c r="P71" s="18">
        <v>70</v>
      </c>
      <c r="Q71" s="50">
        <v>145.65870000000001</v>
      </c>
      <c r="R71" s="50">
        <v>145.65870000000001</v>
      </c>
      <c r="S71" s="50">
        <v>141.21469999999999</v>
      </c>
      <c r="T71" s="46">
        <v>-4.444</v>
      </c>
    </row>
    <row r="72" spans="16:20" x14ac:dyDescent="0.25">
      <c r="P72" s="18">
        <v>71</v>
      </c>
      <c r="Q72" s="50">
        <v>79.495000000000005</v>
      </c>
      <c r="R72" s="50">
        <v>0</v>
      </c>
      <c r="S72" s="50">
        <v>5.6440000000000001</v>
      </c>
      <c r="T72" s="46">
        <v>5.6440000000000001</v>
      </c>
    </row>
    <row r="73" spans="16:20" x14ac:dyDescent="0.25">
      <c r="P73" s="18">
        <v>72</v>
      </c>
      <c r="Q73" s="50">
        <v>89.553899999999999</v>
      </c>
      <c r="R73" s="50">
        <v>0</v>
      </c>
      <c r="S73" s="50">
        <v>6.6879999999999997</v>
      </c>
      <c r="T73" s="46">
        <v>6.6879999999999997</v>
      </c>
    </row>
    <row r="74" spans="16:20" x14ac:dyDescent="0.25">
      <c r="P74" s="18">
        <v>73</v>
      </c>
      <c r="Q74" s="50">
        <v>101.3502</v>
      </c>
      <c r="R74" s="50">
        <v>101.3502</v>
      </c>
      <c r="S74" s="50">
        <v>63.792700000000004</v>
      </c>
      <c r="T74" s="46">
        <v>-37.557499999999997</v>
      </c>
    </row>
    <row r="75" spans="16:20" x14ac:dyDescent="0.25">
      <c r="P75" s="18">
        <v>74</v>
      </c>
      <c r="Q75" s="50">
        <v>94.299300000000002</v>
      </c>
      <c r="R75" s="50">
        <v>0</v>
      </c>
      <c r="S75" s="50">
        <v>33.2117</v>
      </c>
      <c r="T75" s="46">
        <v>33.2117</v>
      </c>
    </row>
    <row r="76" spans="16:20" x14ac:dyDescent="0.25">
      <c r="P76" s="18">
        <v>75</v>
      </c>
      <c r="Q76" s="50">
        <v>71.534400000000005</v>
      </c>
      <c r="R76" s="50">
        <v>0</v>
      </c>
      <c r="S76" s="50">
        <v>-4.3251999999999997</v>
      </c>
      <c r="T76" s="46">
        <v>-4.3251999999999997</v>
      </c>
    </row>
    <row r="77" spans="16:20" x14ac:dyDescent="0.25">
      <c r="P77" s="18">
        <v>76</v>
      </c>
      <c r="Q77" s="50">
        <v>196.56819999999999</v>
      </c>
      <c r="R77" s="50">
        <v>196.56819999999999</v>
      </c>
      <c r="S77" s="50">
        <v>190.42619999999999</v>
      </c>
      <c r="T77" s="46">
        <v>-6.1420000000000003</v>
      </c>
    </row>
    <row r="78" spans="16:20" x14ac:dyDescent="0.25">
      <c r="P78" s="18">
        <v>77</v>
      </c>
      <c r="Q78" s="50">
        <v>96.1785</v>
      </c>
      <c r="R78" s="50">
        <v>0</v>
      </c>
      <c r="S78" s="50">
        <v>33.7333</v>
      </c>
      <c r="T78" s="46">
        <v>33.7333</v>
      </c>
    </row>
    <row r="79" spans="16:20" x14ac:dyDescent="0.25">
      <c r="P79" s="18">
        <v>78</v>
      </c>
      <c r="Q79" s="50">
        <v>159.8614</v>
      </c>
      <c r="R79" s="50">
        <v>159.8614</v>
      </c>
      <c r="S79" s="50">
        <v>158.97800000000001</v>
      </c>
      <c r="T79" s="46">
        <v>-0.88329999999999997</v>
      </c>
    </row>
    <row r="80" spans="16:20" x14ac:dyDescent="0.25">
      <c r="P80" s="18">
        <v>79</v>
      </c>
      <c r="Q80" s="50">
        <v>79.9465</v>
      </c>
      <c r="R80" s="50">
        <v>0</v>
      </c>
      <c r="S80" s="50">
        <v>8.1217000000000006</v>
      </c>
      <c r="T80" s="46">
        <v>8.1217000000000006</v>
      </c>
    </row>
    <row r="81" spans="16:20" x14ac:dyDescent="0.25">
      <c r="P81" s="18">
        <v>80</v>
      </c>
      <c r="Q81" s="50">
        <v>110.8716</v>
      </c>
      <c r="R81" s="50">
        <v>110.8716</v>
      </c>
      <c r="S81" s="50">
        <v>84.654200000000003</v>
      </c>
      <c r="T81" s="46">
        <v>-26.217300000000002</v>
      </c>
    </row>
    <row r="82" spans="16:20" x14ac:dyDescent="0.25">
      <c r="P82" s="18">
        <v>81</v>
      </c>
      <c r="Q82" s="50">
        <v>87.653300000000002</v>
      </c>
      <c r="R82" s="50">
        <v>0</v>
      </c>
      <c r="S82" s="50">
        <v>8.7207000000000008</v>
      </c>
      <c r="T82" s="46">
        <v>8.7207000000000008</v>
      </c>
    </row>
    <row r="83" spans="16:20" x14ac:dyDescent="0.25">
      <c r="P83" s="18">
        <v>82</v>
      </c>
      <c r="Q83" s="50">
        <v>149.3486</v>
      </c>
      <c r="R83" s="50">
        <v>149.3486</v>
      </c>
      <c r="S83" s="50">
        <v>144.06780000000001</v>
      </c>
      <c r="T83" s="46">
        <v>-5.2808000000000002</v>
      </c>
    </row>
    <row r="84" spans="16:20" x14ac:dyDescent="0.25">
      <c r="P84" s="18">
        <v>83</v>
      </c>
      <c r="Q84" s="50">
        <v>125.3374</v>
      </c>
      <c r="R84" s="50">
        <v>125.3374</v>
      </c>
      <c r="S84" s="50">
        <v>127.3947</v>
      </c>
      <c r="T84" s="46">
        <v>2.0573000000000001</v>
      </c>
    </row>
    <row r="85" spans="16:20" x14ac:dyDescent="0.25">
      <c r="P85" s="18">
        <v>84</v>
      </c>
      <c r="Q85" s="50">
        <v>146.86969999999999</v>
      </c>
      <c r="R85" s="50">
        <v>146.86969999999999</v>
      </c>
      <c r="S85" s="50">
        <v>141.74250000000001</v>
      </c>
      <c r="T85" s="46">
        <v>-5.1272000000000002</v>
      </c>
    </row>
    <row r="86" spans="16:20" x14ac:dyDescent="0.25">
      <c r="P86" s="18">
        <v>85</v>
      </c>
      <c r="Q86" s="50">
        <v>121.0604</v>
      </c>
      <c r="R86" s="50">
        <v>121.0604</v>
      </c>
      <c r="S86" s="50">
        <v>112.6223</v>
      </c>
      <c r="T86" s="46">
        <v>-8.4381000000000004</v>
      </c>
    </row>
    <row r="87" spans="16:20" x14ac:dyDescent="0.25">
      <c r="P87" s="18">
        <v>86</v>
      </c>
      <c r="Q87" s="50">
        <v>115.2576</v>
      </c>
      <c r="R87" s="50">
        <v>115.2576</v>
      </c>
      <c r="S87" s="50">
        <v>109.6551</v>
      </c>
      <c r="T87" s="46">
        <v>-5.6024000000000003</v>
      </c>
    </row>
    <row r="88" spans="16:20" x14ac:dyDescent="0.25">
      <c r="P88" s="18">
        <v>87</v>
      </c>
      <c r="Q88" s="50">
        <v>99.766599999999997</v>
      </c>
      <c r="R88" s="50">
        <v>0</v>
      </c>
      <c r="S88" s="50">
        <v>61.342399999999998</v>
      </c>
      <c r="T88" s="46">
        <v>61.342399999999998</v>
      </c>
    </row>
    <row r="89" spans="16:20" x14ac:dyDescent="0.25">
      <c r="P89" s="18">
        <v>88</v>
      </c>
      <c r="Q89" s="50">
        <v>154.1514</v>
      </c>
      <c r="R89" s="50">
        <v>154.1514</v>
      </c>
      <c r="S89" s="50">
        <v>161.34460000000001</v>
      </c>
      <c r="T89" s="46">
        <v>7.1932</v>
      </c>
    </row>
    <row r="90" spans="16:20" x14ac:dyDescent="0.25">
      <c r="P90" s="18">
        <v>89</v>
      </c>
      <c r="Q90" s="50">
        <v>157.14959999999999</v>
      </c>
      <c r="R90" s="50">
        <v>157.14959999999999</v>
      </c>
      <c r="S90" s="50">
        <v>163.01150000000001</v>
      </c>
      <c r="T90" s="46">
        <v>5.8619000000000003</v>
      </c>
    </row>
    <row r="91" spans="16:20" x14ac:dyDescent="0.25">
      <c r="P91" s="18">
        <v>90</v>
      </c>
      <c r="Q91" s="50">
        <v>176.07839999999999</v>
      </c>
      <c r="R91" s="50">
        <v>176.07839999999999</v>
      </c>
      <c r="S91" s="50">
        <v>175.86500000000001</v>
      </c>
      <c r="T91" s="46">
        <v>-0.21340000000000001</v>
      </c>
    </row>
    <row r="92" spans="16:20" x14ac:dyDescent="0.25">
      <c r="P92" s="18">
        <v>91</v>
      </c>
      <c r="Q92" s="50">
        <v>93.790300000000002</v>
      </c>
      <c r="R92" s="50">
        <v>0</v>
      </c>
      <c r="S92" s="50">
        <v>24.796600000000002</v>
      </c>
      <c r="T92" s="46">
        <v>24.796600000000002</v>
      </c>
    </row>
    <row r="93" spans="16:20" x14ac:dyDescent="0.25">
      <c r="P93" s="18">
        <v>92</v>
      </c>
      <c r="Q93" s="50">
        <v>134.92910000000001</v>
      </c>
      <c r="R93" s="50">
        <v>134.92910000000001</v>
      </c>
      <c r="S93" s="50">
        <v>129.88890000000001</v>
      </c>
      <c r="T93" s="46">
        <v>-5.0401999999999996</v>
      </c>
    </row>
    <row r="94" spans="16:20" x14ac:dyDescent="0.25">
      <c r="P94" s="18">
        <v>93</v>
      </c>
      <c r="Q94" s="50">
        <v>75.308800000000005</v>
      </c>
      <c r="R94" s="50">
        <v>0</v>
      </c>
      <c r="S94" s="50">
        <v>6.1546000000000003</v>
      </c>
      <c r="T94" s="46">
        <v>6.1546000000000003</v>
      </c>
    </row>
    <row r="95" spans="16:20" x14ac:dyDescent="0.25">
      <c r="P95" s="18">
        <v>94</v>
      </c>
      <c r="Q95" s="50">
        <v>162.02809999999999</v>
      </c>
      <c r="R95" s="50">
        <v>162.02809999999999</v>
      </c>
      <c r="S95" s="50">
        <v>161.7364</v>
      </c>
      <c r="T95" s="46">
        <v>-0.29170000000000001</v>
      </c>
    </row>
    <row r="96" spans="16:20" x14ac:dyDescent="0.25">
      <c r="P96" s="18">
        <v>95</v>
      </c>
      <c r="Q96" s="50">
        <v>121.29949999999999</v>
      </c>
      <c r="R96" s="50">
        <v>121.29949999999999</v>
      </c>
      <c r="S96" s="50">
        <v>111.7149</v>
      </c>
      <c r="T96" s="46">
        <v>-9.5846</v>
      </c>
    </row>
    <row r="97" spans="16:20" x14ac:dyDescent="0.25">
      <c r="P97" s="18">
        <v>96</v>
      </c>
      <c r="Q97" s="50">
        <v>89.384699999999995</v>
      </c>
      <c r="R97" s="50">
        <v>0</v>
      </c>
      <c r="S97" s="50">
        <v>14.4659</v>
      </c>
      <c r="T97" s="46">
        <v>14.4659</v>
      </c>
    </row>
    <row r="98" spans="16:20" x14ac:dyDescent="0.25">
      <c r="P98" s="18">
        <v>97</v>
      </c>
      <c r="Q98" s="50">
        <v>82.407799999999995</v>
      </c>
      <c r="R98" s="50">
        <v>0</v>
      </c>
      <c r="S98" s="50">
        <v>5.0324999999999998</v>
      </c>
      <c r="T98" s="46">
        <v>5.0324999999999998</v>
      </c>
    </row>
    <row r="99" spans="16:20" x14ac:dyDescent="0.25">
      <c r="P99" s="18">
        <v>98</v>
      </c>
      <c r="Q99" s="50">
        <v>107.1585</v>
      </c>
      <c r="R99" s="50">
        <v>107.1585</v>
      </c>
      <c r="S99" s="50">
        <v>78.9041</v>
      </c>
      <c r="T99" s="46">
        <v>-28.2544</v>
      </c>
    </row>
    <row r="100" spans="16:20" x14ac:dyDescent="0.25">
      <c r="P100" s="18">
        <v>99</v>
      </c>
      <c r="Q100" s="50">
        <v>150.59870000000001</v>
      </c>
      <c r="R100" s="50">
        <v>150.59870000000001</v>
      </c>
      <c r="S100" s="50">
        <v>150.97730000000001</v>
      </c>
      <c r="T100" s="46">
        <v>0.37859999999999999</v>
      </c>
    </row>
    <row r="101" spans="16:20" x14ac:dyDescent="0.25">
      <c r="P101" s="18">
        <v>100</v>
      </c>
      <c r="Q101" s="50">
        <v>99.442599999999999</v>
      </c>
      <c r="R101" s="50">
        <v>0</v>
      </c>
      <c r="S101" s="50">
        <v>51.171100000000003</v>
      </c>
      <c r="T101" s="46">
        <v>51.171100000000003</v>
      </c>
    </row>
    <row r="102" spans="16:20" x14ac:dyDescent="0.25">
      <c r="P102" s="18">
        <v>101</v>
      </c>
      <c r="Q102" s="50">
        <v>65.859399999999994</v>
      </c>
      <c r="R102" s="50">
        <v>0</v>
      </c>
      <c r="S102" s="50">
        <v>-8.7378</v>
      </c>
      <c r="T102" s="46">
        <v>-8.7378</v>
      </c>
    </row>
    <row r="103" spans="16:20" x14ac:dyDescent="0.25">
      <c r="P103" s="18">
        <v>102</v>
      </c>
      <c r="Q103" s="50">
        <v>127.3869</v>
      </c>
      <c r="R103" s="50">
        <v>127.3869</v>
      </c>
      <c r="S103" s="50">
        <v>131.16749999999999</v>
      </c>
      <c r="T103" s="46">
        <v>3.7805</v>
      </c>
    </row>
    <row r="104" spans="16:20" x14ac:dyDescent="0.25">
      <c r="P104" s="18">
        <v>103</v>
      </c>
      <c r="Q104" s="50">
        <v>74.643600000000006</v>
      </c>
      <c r="R104" s="50">
        <v>0</v>
      </c>
      <c r="S104" s="50">
        <v>8.0394000000000005</v>
      </c>
      <c r="T104" s="46">
        <v>8.0394000000000005</v>
      </c>
    </row>
    <row r="105" spans="16:20" x14ac:dyDescent="0.25">
      <c r="P105" s="18">
        <v>104</v>
      </c>
      <c r="Q105" s="50">
        <v>102.2422</v>
      </c>
      <c r="R105" s="50">
        <v>102.2422</v>
      </c>
      <c r="S105" s="50">
        <v>58.169499999999999</v>
      </c>
      <c r="T105" s="46">
        <v>-44.072600000000001</v>
      </c>
    </row>
    <row r="106" spans="16:20" x14ac:dyDescent="0.25">
      <c r="P106" s="18">
        <v>105</v>
      </c>
      <c r="Q106" s="50">
        <v>76.535700000000006</v>
      </c>
      <c r="R106" s="50">
        <v>0</v>
      </c>
      <c r="S106" s="50">
        <v>-2.3075000000000001</v>
      </c>
      <c r="T106" s="46">
        <v>-2.3075000000000001</v>
      </c>
    </row>
    <row r="107" spans="16:20" x14ac:dyDescent="0.25">
      <c r="P107" s="18">
        <v>106</v>
      </c>
      <c r="Q107" s="50">
        <v>108.90470000000001</v>
      </c>
      <c r="R107" s="50">
        <v>108.90470000000001</v>
      </c>
      <c r="S107" s="50">
        <v>90.1327</v>
      </c>
      <c r="T107" s="46">
        <v>-18.771999999999998</v>
      </c>
    </row>
    <row r="108" spans="16:20" x14ac:dyDescent="0.25">
      <c r="P108" s="18">
        <v>107</v>
      </c>
      <c r="Q108" s="50">
        <v>78.556600000000003</v>
      </c>
      <c r="R108" s="50">
        <v>0</v>
      </c>
      <c r="S108" s="50">
        <v>1.1846000000000001</v>
      </c>
      <c r="T108" s="46">
        <v>1.1846000000000001</v>
      </c>
    </row>
    <row r="109" spans="16:20" x14ac:dyDescent="0.25">
      <c r="P109" s="18">
        <v>108</v>
      </c>
      <c r="Q109" s="50">
        <v>81.685400000000001</v>
      </c>
      <c r="R109" s="50">
        <v>0</v>
      </c>
      <c r="S109" s="50">
        <v>10.4788</v>
      </c>
      <c r="T109" s="46">
        <v>10.4788</v>
      </c>
    </row>
    <row r="110" spans="16:20" x14ac:dyDescent="0.25">
      <c r="P110" s="18">
        <v>109</v>
      </c>
      <c r="Q110" s="50">
        <v>75.696799999999996</v>
      </c>
      <c r="R110" s="50">
        <v>0</v>
      </c>
      <c r="S110" s="50">
        <v>-6.4443999999999999</v>
      </c>
      <c r="T110" s="46">
        <v>-6.4443999999999999</v>
      </c>
    </row>
    <row r="111" spans="16:20" x14ac:dyDescent="0.25">
      <c r="P111" s="18">
        <v>110</v>
      </c>
      <c r="Q111" s="50">
        <v>82.570999999999998</v>
      </c>
      <c r="R111" s="50">
        <v>0</v>
      </c>
      <c r="S111" s="50">
        <v>-2.2578999999999998</v>
      </c>
      <c r="T111" s="46">
        <v>-2.2578999999999998</v>
      </c>
    </row>
    <row r="112" spans="16:20" x14ac:dyDescent="0.25">
      <c r="P112" s="18">
        <v>111</v>
      </c>
      <c r="Q112" s="50">
        <v>62.514800000000001</v>
      </c>
      <c r="R112" s="50">
        <v>0</v>
      </c>
      <c r="S112" s="50">
        <v>-1.2307999999999999</v>
      </c>
      <c r="T112" s="46">
        <v>-1.2307999999999999</v>
      </c>
    </row>
    <row r="113" spans="16:20" x14ac:dyDescent="0.25">
      <c r="P113" s="18">
        <v>112</v>
      </c>
      <c r="Q113" s="50">
        <v>102.95910000000001</v>
      </c>
      <c r="R113" s="50">
        <v>102.95910000000001</v>
      </c>
      <c r="S113" s="50">
        <v>68.095100000000002</v>
      </c>
      <c r="T113" s="46">
        <v>-34.863900000000001</v>
      </c>
    </row>
    <row r="114" spans="16:20" x14ac:dyDescent="0.25">
      <c r="P114" s="18">
        <v>113</v>
      </c>
      <c r="Q114" s="50">
        <v>100.5543</v>
      </c>
      <c r="R114" s="50">
        <v>100.5543</v>
      </c>
      <c r="S114" s="50">
        <v>47.936399999999999</v>
      </c>
      <c r="T114" s="46">
        <v>-52.617899999999999</v>
      </c>
    </row>
    <row r="115" spans="16:20" x14ac:dyDescent="0.25">
      <c r="P115" s="18">
        <v>114</v>
      </c>
      <c r="Q115" s="50">
        <v>101.8732</v>
      </c>
      <c r="R115" s="50">
        <v>101.8732</v>
      </c>
      <c r="S115" s="50">
        <v>63.515300000000003</v>
      </c>
      <c r="T115" s="46">
        <v>-38.357900000000001</v>
      </c>
    </row>
    <row r="116" spans="16:20" x14ac:dyDescent="0.25">
      <c r="P116" s="18">
        <v>115</v>
      </c>
      <c r="Q116" s="50">
        <v>81.607600000000005</v>
      </c>
      <c r="R116" s="50">
        <v>0</v>
      </c>
      <c r="S116" s="50">
        <v>13.704700000000001</v>
      </c>
      <c r="T116" s="46">
        <v>13.704700000000001</v>
      </c>
    </row>
    <row r="117" spans="16:20" x14ac:dyDescent="0.25">
      <c r="P117" s="18">
        <v>116</v>
      </c>
      <c r="Q117" s="50">
        <v>114.2351</v>
      </c>
      <c r="R117" s="50">
        <v>114.2351</v>
      </c>
      <c r="S117" s="50">
        <v>91.938500000000005</v>
      </c>
      <c r="T117" s="46">
        <v>-22.296600000000002</v>
      </c>
    </row>
    <row r="118" spans="16:20" x14ac:dyDescent="0.25">
      <c r="P118" s="18">
        <v>117</v>
      </c>
      <c r="Q118" s="50">
        <v>144.74770000000001</v>
      </c>
      <c r="R118" s="50">
        <v>144.74770000000001</v>
      </c>
      <c r="S118" s="50">
        <v>148.0821</v>
      </c>
      <c r="T118" s="46">
        <v>3.3344</v>
      </c>
    </row>
    <row r="119" spans="16:20" x14ac:dyDescent="0.25">
      <c r="P119" s="18">
        <v>118</v>
      </c>
      <c r="Q119" s="50">
        <v>77.149500000000003</v>
      </c>
      <c r="R119" s="50">
        <v>0</v>
      </c>
      <c r="S119" s="50">
        <v>0.80230000000000001</v>
      </c>
      <c r="T119" s="46">
        <v>0.80230000000000001</v>
      </c>
    </row>
    <row r="120" spans="16:20" x14ac:dyDescent="0.25">
      <c r="P120" s="18">
        <v>119</v>
      </c>
      <c r="Q120" s="50">
        <v>69.350499999999997</v>
      </c>
      <c r="R120" s="50">
        <v>0</v>
      </c>
      <c r="S120" s="50">
        <v>-3.2324000000000002</v>
      </c>
      <c r="T120" s="46">
        <v>-3.2324000000000002</v>
      </c>
    </row>
    <row r="121" spans="16:20" x14ac:dyDescent="0.25">
      <c r="P121" s="18">
        <v>120</v>
      </c>
      <c r="Q121" s="50">
        <v>73.230999999999995</v>
      </c>
      <c r="R121" s="50">
        <v>0</v>
      </c>
      <c r="S121" s="50">
        <v>-4.7622</v>
      </c>
      <c r="T121" s="46">
        <v>-4.7622</v>
      </c>
    </row>
    <row r="122" spans="16:20" x14ac:dyDescent="0.25">
      <c r="P122" s="18">
        <v>121</v>
      </c>
      <c r="Q122" s="50">
        <v>114.8745</v>
      </c>
      <c r="R122" s="50">
        <v>114.8745</v>
      </c>
      <c r="S122" s="50">
        <v>132.37350000000001</v>
      </c>
      <c r="T122" s="46">
        <v>17.498999999999999</v>
      </c>
    </row>
    <row r="123" spans="16:20" x14ac:dyDescent="0.25">
      <c r="P123" s="18">
        <v>122</v>
      </c>
      <c r="Q123" s="50">
        <v>114.8939</v>
      </c>
      <c r="R123" s="50">
        <v>114.8939</v>
      </c>
      <c r="S123" s="50">
        <v>107.79510000000001</v>
      </c>
      <c r="T123" s="46">
        <v>-7.0987999999999998</v>
      </c>
    </row>
    <row r="124" spans="16:20" x14ac:dyDescent="0.25">
      <c r="P124" s="18">
        <v>123</v>
      </c>
      <c r="Q124" s="50">
        <v>81.293499999999995</v>
      </c>
      <c r="R124" s="50">
        <v>0</v>
      </c>
      <c r="S124" s="50">
        <v>-24.092099999999999</v>
      </c>
      <c r="T124" s="46">
        <v>-24.092099999999999</v>
      </c>
    </row>
    <row r="125" spans="16:20" x14ac:dyDescent="0.25">
      <c r="P125" s="18">
        <v>124</v>
      </c>
      <c r="Q125" s="50">
        <v>157.98849999999999</v>
      </c>
      <c r="R125" s="50">
        <v>157.98849999999999</v>
      </c>
      <c r="S125" s="50">
        <v>163.15029999999999</v>
      </c>
      <c r="T125" s="46">
        <v>5.1619000000000002</v>
      </c>
    </row>
    <row r="126" spans="16:20" x14ac:dyDescent="0.25">
      <c r="P126" s="18">
        <v>125</v>
      </c>
      <c r="Q126" s="50">
        <v>118.0526</v>
      </c>
      <c r="R126" s="50">
        <v>118.0526</v>
      </c>
      <c r="S126" s="50">
        <v>116.5668</v>
      </c>
      <c r="T126" s="46">
        <v>-1.4858</v>
      </c>
    </row>
    <row r="127" spans="16:20" x14ac:dyDescent="0.25">
      <c r="P127" s="18">
        <v>126</v>
      </c>
      <c r="Q127" s="50">
        <v>119.4002</v>
      </c>
      <c r="R127" s="50">
        <v>119.4002</v>
      </c>
      <c r="S127" s="50">
        <v>113.01600000000001</v>
      </c>
      <c r="T127" s="46">
        <v>-6.3841999999999999</v>
      </c>
    </row>
    <row r="128" spans="16:20" x14ac:dyDescent="0.25">
      <c r="P128" s="18">
        <v>127</v>
      </c>
      <c r="Q128" s="50">
        <v>83.7303</v>
      </c>
      <c r="R128" s="50">
        <v>0</v>
      </c>
      <c r="S128" s="50">
        <v>-8.1021999999999998</v>
      </c>
      <c r="T128" s="46">
        <v>-8.1021999999999998</v>
      </c>
    </row>
    <row r="129" spans="16:20" x14ac:dyDescent="0.25">
      <c r="P129" s="18">
        <v>128</v>
      </c>
      <c r="Q129" s="50">
        <v>71.985100000000003</v>
      </c>
      <c r="R129" s="50">
        <v>0</v>
      </c>
      <c r="S129" s="50">
        <v>-11.203900000000001</v>
      </c>
      <c r="T129" s="46">
        <v>-11.203900000000001</v>
      </c>
    </row>
    <row r="130" spans="16:20" x14ac:dyDescent="0.25">
      <c r="P130" s="18">
        <v>129</v>
      </c>
      <c r="Q130" s="50">
        <v>74.073999999999998</v>
      </c>
      <c r="R130" s="50">
        <v>0</v>
      </c>
      <c r="S130" s="50">
        <v>-3.0849000000000002</v>
      </c>
      <c r="T130" s="46">
        <v>-3.0849000000000002</v>
      </c>
    </row>
    <row r="131" spans="16:20" x14ac:dyDescent="0.25">
      <c r="P131" s="18">
        <v>130</v>
      </c>
      <c r="Q131" s="50">
        <v>101.25069999999999</v>
      </c>
      <c r="R131" s="50">
        <v>101.25069999999999</v>
      </c>
      <c r="S131" s="50">
        <v>57.592399999999998</v>
      </c>
      <c r="T131" s="46">
        <v>-43.658299999999997</v>
      </c>
    </row>
    <row r="132" spans="16:20" x14ac:dyDescent="0.25">
      <c r="P132" s="18">
        <v>131</v>
      </c>
      <c r="Q132" s="50">
        <v>138.22730000000001</v>
      </c>
      <c r="R132" s="50">
        <v>138.22730000000001</v>
      </c>
      <c r="S132" s="50">
        <v>146.572</v>
      </c>
      <c r="T132" s="46">
        <v>8.3447999999999993</v>
      </c>
    </row>
    <row r="133" spans="16:20" x14ac:dyDescent="0.25">
      <c r="P133" s="18">
        <v>132</v>
      </c>
      <c r="Q133" s="50">
        <v>106.05549999999999</v>
      </c>
      <c r="R133" s="50">
        <v>106.05549999999999</v>
      </c>
      <c r="S133" s="50">
        <v>73.281400000000005</v>
      </c>
      <c r="T133" s="46">
        <v>-32.774099999999997</v>
      </c>
    </row>
    <row r="134" spans="16:20" x14ac:dyDescent="0.25">
      <c r="P134" s="18">
        <v>133</v>
      </c>
      <c r="Q134" s="50">
        <v>129.17449999999999</v>
      </c>
      <c r="R134" s="50">
        <v>129.17449999999999</v>
      </c>
      <c r="S134" s="50">
        <v>128.31909999999999</v>
      </c>
      <c r="T134" s="46">
        <v>-0.85540000000000005</v>
      </c>
    </row>
    <row r="135" spans="16:20" x14ac:dyDescent="0.25">
      <c r="P135" s="18">
        <v>134</v>
      </c>
      <c r="Q135" s="50">
        <v>106.07859999999999</v>
      </c>
      <c r="R135" s="50">
        <v>106.07859999999999</v>
      </c>
      <c r="S135" s="50">
        <v>85.234300000000005</v>
      </c>
      <c r="T135" s="46">
        <v>-20.8443</v>
      </c>
    </row>
    <row r="136" spans="16:20" x14ac:dyDescent="0.25">
      <c r="P136" s="18">
        <v>135</v>
      </c>
      <c r="Q136" s="50">
        <v>84.021900000000002</v>
      </c>
      <c r="R136" s="50">
        <v>0</v>
      </c>
      <c r="S136" s="50">
        <v>6.51</v>
      </c>
      <c r="T136" s="46">
        <v>6.51</v>
      </c>
    </row>
    <row r="137" spans="16:20" x14ac:dyDescent="0.25">
      <c r="P137" s="18">
        <v>136</v>
      </c>
      <c r="Q137" s="50">
        <v>162.4443</v>
      </c>
      <c r="R137" s="50">
        <v>162.4443</v>
      </c>
      <c r="S137" s="50">
        <v>164.11070000000001</v>
      </c>
      <c r="T137" s="46">
        <v>1.6664000000000001</v>
      </c>
    </row>
    <row r="138" spans="16:20" x14ac:dyDescent="0.25">
      <c r="P138" s="18">
        <v>137</v>
      </c>
      <c r="Q138" s="50">
        <v>216.69560000000001</v>
      </c>
      <c r="R138" s="50">
        <v>216.69560000000001</v>
      </c>
      <c r="S138" s="50">
        <v>218.91990000000001</v>
      </c>
      <c r="T138" s="46">
        <v>2.2244000000000002</v>
      </c>
    </row>
    <row r="139" spans="16:20" x14ac:dyDescent="0.25">
      <c r="P139" s="18">
        <v>138</v>
      </c>
      <c r="Q139" s="50">
        <v>123.6902</v>
      </c>
      <c r="R139" s="50">
        <v>123.6902</v>
      </c>
      <c r="S139" s="50">
        <v>120.9239</v>
      </c>
      <c r="T139" s="46">
        <v>-2.7663000000000002</v>
      </c>
    </row>
    <row r="140" spans="16:20" x14ac:dyDescent="0.25">
      <c r="P140" s="18">
        <v>139</v>
      </c>
      <c r="Q140" s="50">
        <v>88.171800000000005</v>
      </c>
      <c r="R140" s="50">
        <v>0</v>
      </c>
      <c r="S140" s="50">
        <v>18.576499999999999</v>
      </c>
      <c r="T140" s="46">
        <v>18.576499999999999</v>
      </c>
    </row>
    <row r="141" spans="16:20" x14ac:dyDescent="0.25">
      <c r="P141" s="18">
        <v>140</v>
      </c>
      <c r="Q141" s="50">
        <v>69.460300000000004</v>
      </c>
      <c r="R141" s="50">
        <v>0</v>
      </c>
      <c r="S141" s="50">
        <v>6.0021000000000004</v>
      </c>
      <c r="T141" s="46">
        <v>6.0021000000000004</v>
      </c>
    </row>
    <row r="142" spans="16:20" x14ac:dyDescent="0.25">
      <c r="P142" s="18">
        <v>141</v>
      </c>
      <c r="Q142" s="50">
        <v>58.509300000000003</v>
      </c>
      <c r="R142" s="50">
        <v>0</v>
      </c>
      <c r="S142" s="50">
        <v>-3.7913000000000001</v>
      </c>
      <c r="T142" s="46">
        <v>-3.7913000000000001</v>
      </c>
    </row>
    <row r="143" spans="16:20" x14ac:dyDescent="0.25">
      <c r="P143" s="18">
        <v>142</v>
      </c>
      <c r="Q143" s="50">
        <v>125.2116</v>
      </c>
      <c r="R143" s="50">
        <v>125.2116</v>
      </c>
      <c r="S143" s="50">
        <v>118.11879999999999</v>
      </c>
      <c r="T143" s="46">
        <v>-7.0928000000000004</v>
      </c>
    </row>
    <row r="144" spans="16:20" x14ac:dyDescent="0.25">
      <c r="P144" s="18">
        <v>143</v>
      </c>
      <c r="Q144" s="50">
        <v>76.105199999999996</v>
      </c>
      <c r="R144" s="50">
        <v>0</v>
      </c>
      <c r="S144" s="50">
        <v>0.68879999999999997</v>
      </c>
      <c r="T144" s="46">
        <v>0.68879999999999997</v>
      </c>
    </row>
    <row r="145" spans="16:20" x14ac:dyDescent="0.25">
      <c r="P145" s="18">
        <v>144</v>
      </c>
      <c r="Q145" s="50">
        <v>204.1575</v>
      </c>
      <c r="R145" s="50">
        <v>204.1575</v>
      </c>
      <c r="S145" s="50">
        <v>210.4419</v>
      </c>
      <c r="T145" s="46">
        <v>6.2843</v>
      </c>
    </row>
    <row r="146" spans="16:20" x14ac:dyDescent="0.25">
      <c r="P146" s="18">
        <v>145</v>
      </c>
      <c r="Q146" s="50">
        <v>118.36060000000001</v>
      </c>
      <c r="R146" s="50">
        <v>118.36060000000001</v>
      </c>
      <c r="S146" s="50">
        <v>114.29389999999999</v>
      </c>
      <c r="T146" s="46">
        <v>-4.0667</v>
      </c>
    </row>
    <row r="147" spans="16:20" x14ac:dyDescent="0.25">
      <c r="P147" s="18">
        <v>146</v>
      </c>
      <c r="Q147" s="50">
        <v>95.381299999999996</v>
      </c>
      <c r="R147" s="50">
        <v>0</v>
      </c>
      <c r="S147" s="50">
        <v>27.044499999999999</v>
      </c>
      <c r="T147" s="46">
        <v>27.044499999999999</v>
      </c>
    </row>
    <row r="148" spans="16:20" x14ac:dyDescent="0.25">
      <c r="P148" s="18">
        <v>147</v>
      </c>
      <c r="Q148" s="50">
        <v>120.2383</v>
      </c>
      <c r="R148" s="50">
        <v>120.2383</v>
      </c>
      <c r="S148" s="50">
        <v>123.545</v>
      </c>
      <c r="T148" s="46">
        <v>3.3067000000000002</v>
      </c>
    </row>
    <row r="149" spans="16:20" x14ac:dyDescent="0.25">
      <c r="P149" s="18">
        <v>148</v>
      </c>
      <c r="Q149" s="50">
        <v>142.25919999999999</v>
      </c>
      <c r="R149" s="50">
        <v>142.25919999999999</v>
      </c>
      <c r="S149" s="50">
        <v>143.9281</v>
      </c>
      <c r="T149" s="46">
        <v>1.6689000000000001</v>
      </c>
    </row>
    <row r="150" spans="16:20" x14ac:dyDescent="0.25">
      <c r="P150" s="18">
        <v>149</v>
      </c>
      <c r="Q150" s="50">
        <v>137.79339999999999</v>
      </c>
      <c r="R150" s="50">
        <v>137.79339999999999</v>
      </c>
      <c r="S150" s="50">
        <v>130.8655</v>
      </c>
      <c r="T150" s="46">
        <v>-6.9279000000000002</v>
      </c>
    </row>
    <row r="151" spans="16:20" x14ac:dyDescent="0.25">
      <c r="P151" s="18">
        <v>150</v>
      </c>
      <c r="Q151" s="50">
        <v>121.5814</v>
      </c>
      <c r="R151" s="50">
        <v>121.5814</v>
      </c>
      <c r="S151" s="50">
        <v>122.8719</v>
      </c>
      <c r="T151" s="46">
        <v>1.2905</v>
      </c>
    </row>
    <row r="152" spans="16:20" x14ac:dyDescent="0.25">
      <c r="P152" s="18">
        <v>151</v>
      </c>
      <c r="Q152" s="50">
        <v>152.34989999999999</v>
      </c>
      <c r="R152" s="50">
        <v>152.34989999999999</v>
      </c>
      <c r="S152" s="50">
        <v>149.286</v>
      </c>
      <c r="T152" s="46">
        <v>-3.0638999999999998</v>
      </c>
    </row>
    <row r="153" spans="16:20" x14ac:dyDescent="0.25">
      <c r="P153" s="18">
        <v>152</v>
      </c>
      <c r="Q153" s="50">
        <v>118.8027</v>
      </c>
      <c r="R153" s="50">
        <v>118.8027</v>
      </c>
      <c r="S153" s="50">
        <v>116.5462</v>
      </c>
      <c r="T153" s="46">
        <v>-2.2565</v>
      </c>
    </row>
    <row r="154" spans="16:20" x14ac:dyDescent="0.25">
      <c r="P154" s="18">
        <v>153</v>
      </c>
      <c r="Q154" s="50">
        <v>98.075999999999993</v>
      </c>
      <c r="R154" s="50">
        <v>0</v>
      </c>
      <c r="S154" s="50">
        <v>35.5944</v>
      </c>
      <c r="T154" s="46">
        <v>35.5944</v>
      </c>
    </row>
    <row r="155" spans="16:20" x14ac:dyDescent="0.25">
      <c r="P155" s="18">
        <v>154</v>
      </c>
      <c r="Q155" s="50">
        <v>69.544700000000006</v>
      </c>
      <c r="R155" s="50">
        <v>0</v>
      </c>
      <c r="S155" s="50">
        <v>-0.215</v>
      </c>
      <c r="T155" s="46">
        <v>-0.215</v>
      </c>
    </row>
    <row r="156" spans="16:20" x14ac:dyDescent="0.25">
      <c r="P156" s="18">
        <v>155</v>
      </c>
      <c r="Q156" s="50">
        <v>107.8595</v>
      </c>
      <c r="R156" s="50">
        <v>107.8595</v>
      </c>
      <c r="S156" s="50">
        <v>83.449799999999996</v>
      </c>
      <c r="T156" s="46">
        <v>-24.409700000000001</v>
      </c>
    </row>
    <row r="157" spans="16:20" x14ac:dyDescent="0.25">
      <c r="P157" s="18">
        <v>156</v>
      </c>
      <c r="Q157" s="50">
        <v>193.6568</v>
      </c>
      <c r="R157" s="50">
        <v>193.6568</v>
      </c>
      <c r="S157" s="50">
        <v>197.80250000000001</v>
      </c>
      <c r="T157" s="46">
        <v>4.1456999999999997</v>
      </c>
    </row>
    <row r="158" spans="16:20" x14ac:dyDescent="0.25">
      <c r="P158" s="18">
        <v>157</v>
      </c>
      <c r="Q158" s="50">
        <v>120.3359</v>
      </c>
      <c r="R158" s="50">
        <v>120.3359</v>
      </c>
      <c r="S158" s="50">
        <v>114.718</v>
      </c>
      <c r="T158" s="46">
        <v>-5.6178999999999997</v>
      </c>
    </row>
    <row r="159" spans="16:20" x14ac:dyDescent="0.25">
      <c r="P159" s="18">
        <v>158</v>
      </c>
      <c r="Q159" s="50">
        <v>73.568399999999997</v>
      </c>
      <c r="R159" s="50">
        <v>0</v>
      </c>
      <c r="S159" s="50">
        <v>-1.41E-2</v>
      </c>
      <c r="T159" s="46">
        <v>-1.41E-2</v>
      </c>
    </row>
    <row r="160" spans="16:20" x14ac:dyDescent="0.25">
      <c r="P160" s="18">
        <v>159</v>
      </c>
      <c r="Q160" s="50">
        <v>75.186400000000006</v>
      </c>
      <c r="R160" s="50">
        <v>0</v>
      </c>
      <c r="S160" s="50">
        <v>-1.7307999999999999</v>
      </c>
      <c r="T160" s="46">
        <v>-1.7307999999999999</v>
      </c>
    </row>
    <row r="161" spans="16:20" x14ac:dyDescent="0.25">
      <c r="P161" s="18">
        <v>160</v>
      </c>
      <c r="Q161" s="50">
        <v>97.480699999999999</v>
      </c>
      <c r="R161" s="50">
        <v>0</v>
      </c>
      <c r="S161" s="50">
        <v>37.6815</v>
      </c>
      <c r="T161" s="46">
        <v>37.6815</v>
      </c>
    </row>
    <row r="162" spans="16:20" x14ac:dyDescent="0.25">
      <c r="P162" s="18">
        <v>161</v>
      </c>
      <c r="Q162" s="50">
        <v>99.088399999999993</v>
      </c>
      <c r="R162" s="50">
        <v>0</v>
      </c>
      <c r="S162" s="50">
        <v>44.684899999999999</v>
      </c>
      <c r="T162" s="46">
        <v>44.684899999999999</v>
      </c>
    </row>
    <row r="163" spans="16:20" x14ac:dyDescent="0.25">
      <c r="P163" s="18">
        <v>162</v>
      </c>
      <c r="Q163" s="50">
        <v>95.641999999999996</v>
      </c>
      <c r="R163" s="50">
        <v>0</v>
      </c>
      <c r="S163" s="50">
        <v>34.690399999999997</v>
      </c>
      <c r="T163" s="46">
        <v>34.690399999999997</v>
      </c>
    </row>
    <row r="164" spans="16:20" x14ac:dyDescent="0.25">
      <c r="P164" s="18">
        <v>163</v>
      </c>
      <c r="Q164" s="50">
        <v>149.1002</v>
      </c>
      <c r="R164" s="50">
        <v>149.1002</v>
      </c>
      <c r="S164" s="50">
        <v>147.8544</v>
      </c>
      <c r="T164" s="46">
        <v>-1.2458</v>
      </c>
    </row>
    <row r="165" spans="16:20" x14ac:dyDescent="0.25">
      <c r="P165" s="18">
        <v>164</v>
      </c>
      <c r="Q165" s="50">
        <v>113.06140000000001</v>
      </c>
      <c r="R165" s="50">
        <v>113.06140000000001</v>
      </c>
      <c r="S165" s="50">
        <v>118.5205</v>
      </c>
      <c r="T165" s="46">
        <v>5.4589999999999996</v>
      </c>
    </row>
    <row r="166" spans="16:20" x14ac:dyDescent="0.25">
      <c r="P166" s="18">
        <v>165</v>
      </c>
      <c r="Q166" s="50">
        <v>168.0273</v>
      </c>
      <c r="R166" s="50">
        <v>168.0273</v>
      </c>
      <c r="S166" s="50">
        <v>169.17660000000001</v>
      </c>
      <c r="T166" s="46">
        <v>1.1493</v>
      </c>
    </row>
    <row r="167" spans="16:20" x14ac:dyDescent="0.25">
      <c r="P167" s="18">
        <v>166</v>
      </c>
      <c r="Q167" s="50">
        <v>136.8458</v>
      </c>
      <c r="R167" s="50">
        <v>136.8458</v>
      </c>
      <c r="S167" s="50">
        <v>137.60749999999999</v>
      </c>
      <c r="T167" s="46">
        <v>0.76170000000000004</v>
      </c>
    </row>
    <row r="168" spans="16:20" x14ac:dyDescent="0.25">
      <c r="P168" s="18">
        <v>167</v>
      </c>
      <c r="Q168" s="50">
        <v>90.348600000000005</v>
      </c>
      <c r="R168" s="50">
        <v>0</v>
      </c>
      <c r="S168" s="50">
        <v>7.0890000000000004</v>
      </c>
      <c r="T168" s="46">
        <v>7.0890000000000004</v>
      </c>
    </row>
    <row r="169" spans="16:20" x14ac:dyDescent="0.25">
      <c r="P169" s="18">
        <v>168</v>
      </c>
      <c r="Q169" s="50">
        <v>117.9217</v>
      </c>
      <c r="R169" s="50">
        <v>117.9217</v>
      </c>
      <c r="S169" s="50">
        <v>115.8982</v>
      </c>
      <c r="T169" s="46">
        <v>-2.0234999999999999</v>
      </c>
    </row>
    <row r="170" spans="16:20" x14ac:dyDescent="0.25">
      <c r="P170" s="18">
        <v>169</v>
      </c>
      <c r="Q170" s="50">
        <v>97.553299999999993</v>
      </c>
      <c r="R170" s="50">
        <v>0</v>
      </c>
      <c r="S170" s="50">
        <v>46.526200000000003</v>
      </c>
      <c r="T170" s="46">
        <v>46.526200000000003</v>
      </c>
    </row>
    <row r="171" spans="16:20" x14ac:dyDescent="0.25">
      <c r="P171" s="18">
        <v>170</v>
      </c>
      <c r="Q171" s="50">
        <v>90.797499999999999</v>
      </c>
      <c r="R171" s="50">
        <v>0</v>
      </c>
      <c r="S171" s="50">
        <v>25.261900000000001</v>
      </c>
      <c r="T171" s="46">
        <v>25.261900000000001</v>
      </c>
    </row>
    <row r="172" spans="16:20" x14ac:dyDescent="0.25">
      <c r="P172" s="18">
        <v>171</v>
      </c>
      <c r="Q172" s="50">
        <v>122.5309</v>
      </c>
      <c r="R172" s="50">
        <v>122.5309</v>
      </c>
      <c r="S172" s="50">
        <v>125.2988</v>
      </c>
      <c r="T172" s="46">
        <v>2.7679</v>
      </c>
    </row>
    <row r="173" spans="16:20" x14ac:dyDescent="0.25">
      <c r="P173" s="18">
        <v>172</v>
      </c>
      <c r="Q173" s="50">
        <v>87.5321</v>
      </c>
      <c r="R173" s="50">
        <v>0</v>
      </c>
      <c r="S173" s="50">
        <v>16.6615</v>
      </c>
      <c r="T173" s="46">
        <v>16.6615</v>
      </c>
    </row>
    <row r="174" spans="16:20" x14ac:dyDescent="0.25">
      <c r="P174" s="18">
        <v>173</v>
      </c>
      <c r="Q174" s="50">
        <v>83.827200000000005</v>
      </c>
      <c r="R174" s="50">
        <v>0</v>
      </c>
      <c r="S174" s="50">
        <v>5.9028999999999998</v>
      </c>
      <c r="T174" s="46">
        <v>5.9028999999999998</v>
      </c>
    </row>
    <row r="175" spans="16:20" x14ac:dyDescent="0.25">
      <c r="P175" s="18">
        <v>174</v>
      </c>
      <c r="Q175" s="50">
        <v>127.3792</v>
      </c>
      <c r="R175" s="50">
        <v>127.3792</v>
      </c>
      <c r="S175" s="50">
        <v>139.6079</v>
      </c>
      <c r="T175" s="46">
        <v>12.2287</v>
      </c>
    </row>
    <row r="176" spans="16:20" x14ac:dyDescent="0.25">
      <c r="P176" s="18">
        <v>175</v>
      </c>
      <c r="Q176" s="50">
        <v>71.304100000000005</v>
      </c>
      <c r="R176" s="50">
        <v>0</v>
      </c>
      <c r="S176" s="50">
        <v>5.5236999999999998</v>
      </c>
      <c r="T176" s="46">
        <v>5.5236999999999998</v>
      </c>
    </row>
    <row r="177" spans="16:20" x14ac:dyDescent="0.25">
      <c r="P177" s="18">
        <v>176</v>
      </c>
      <c r="Q177" s="50">
        <v>95.600300000000004</v>
      </c>
      <c r="R177" s="50">
        <v>0</v>
      </c>
      <c r="S177" s="50">
        <v>44.172499999999999</v>
      </c>
      <c r="T177" s="46">
        <v>44.172499999999999</v>
      </c>
    </row>
    <row r="178" spans="16:20" x14ac:dyDescent="0.25">
      <c r="P178" s="18">
        <v>177</v>
      </c>
      <c r="Q178" s="50">
        <v>141.2645</v>
      </c>
      <c r="R178" s="50">
        <v>141.2645</v>
      </c>
      <c r="S178" s="50">
        <v>132.25290000000001</v>
      </c>
      <c r="T178" s="46">
        <v>-9.0115999999999996</v>
      </c>
    </row>
    <row r="179" spans="16:20" x14ac:dyDescent="0.25">
      <c r="P179" s="18">
        <v>178</v>
      </c>
      <c r="Q179" s="50">
        <v>81.89</v>
      </c>
      <c r="R179" s="50">
        <v>0</v>
      </c>
      <c r="S179" s="50">
        <v>-18.1083</v>
      </c>
      <c r="T179" s="46">
        <v>-18.1083</v>
      </c>
    </row>
    <row r="180" spans="16:20" x14ac:dyDescent="0.25">
      <c r="P180" s="18">
        <v>179</v>
      </c>
      <c r="Q180" s="50">
        <v>95.611599999999996</v>
      </c>
      <c r="R180" s="50">
        <v>0</v>
      </c>
      <c r="S180" s="50">
        <v>37.180999999999997</v>
      </c>
      <c r="T180" s="46">
        <v>37.180999999999997</v>
      </c>
    </row>
    <row r="181" spans="16:20" x14ac:dyDescent="0.25">
      <c r="P181" s="18">
        <v>180</v>
      </c>
      <c r="Q181" s="50">
        <v>99.8523</v>
      </c>
      <c r="R181" s="50">
        <v>0</v>
      </c>
      <c r="S181" s="50">
        <v>52.7896</v>
      </c>
      <c r="T181" s="46">
        <v>52.7896</v>
      </c>
    </row>
    <row r="182" spans="16:20" x14ac:dyDescent="0.25">
      <c r="P182" s="18">
        <v>181</v>
      </c>
      <c r="Q182" s="50">
        <v>192.952</v>
      </c>
      <c r="R182" s="50">
        <v>192.952</v>
      </c>
      <c r="S182" s="50">
        <v>200.10679999999999</v>
      </c>
      <c r="T182" s="46">
        <v>7.1547999999999998</v>
      </c>
    </row>
    <row r="183" spans="16:20" x14ac:dyDescent="0.25">
      <c r="P183" s="18">
        <v>182</v>
      </c>
      <c r="Q183" s="50">
        <v>132.8004</v>
      </c>
      <c r="R183" s="50">
        <v>132.8004</v>
      </c>
      <c r="S183" s="50">
        <v>132.98480000000001</v>
      </c>
      <c r="T183" s="46">
        <v>0.18429999999999999</v>
      </c>
    </row>
    <row r="184" spans="16:20" x14ac:dyDescent="0.25">
      <c r="P184" s="18">
        <v>183</v>
      </c>
      <c r="Q184" s="50">
        <v>144.83860000000001</v>
      </c>
      <c r="R184" s="50">
        <v>144.83860000000001</v>
      </c>
      <c r="S184" s="50">
        <v>147.43129999999999</v>
      </c>
      <c r="T184" s="46">
        <v>2.5926999999999998</v>
      </c>
    </row>
    <row r="185" spans="16:20" x14ac:dyDescent="0.25">
      <c r="P185" s="18">
        <v>184</v>
      </c>
      <c r="Q185" s="50">
        <v>107.3182</v>
      </c>
      <c r="R185" s="50">
        <v>107.3182</v>
      </c>
      <c r="S185" s="50">
        <v>46.808</v>
      </c>
      <c r="T185" s="46">
        <v>-60.510199999999998</v>
      </c>
    </row>
    <row r="186" spans="16:20" x14ac:dyDescent="0.25">
      <c r="P186" s="18">
        <v>185</v>
      </c>
      <c r="Q186" s="50">
        <v>78.326899999999995</v>
      </c>
      <c r="R186" s="50">
        <v>0</v>
      </c>
      <c r="S186" s="50">
        <v>6.3807</v>
      </c>
      <c r="T186" s="46">
        <v>6.3807</v>
      </c>
    </row>
    <row r="187" spans="16:20" x14ac:dyDescent="0.25">
      <c r="P187" s="18">
        <v>186</v>
      </c>
      <c r="Q187" s="50">
        <v>71.076999999999998</v>
      </c>
      <c r="R187" s="50">
        <v>0</v>
      </c>
      <c r="S187" s="50">
        <v>1.0102</v>
      </c>
      <c r="T187" s="46">
        <v>1.0102</v>
      </c>
    </row>
    <row r="188" spans="16:20" x14ac:dyDescent="0.25">
      <c r="P188" s="18">
        <v>187</v>
      </c>
      <c r="Q188" s="50">
        <v>114.9892</v>
      </c>
      <c r="R188" s="50">
        <v>114.9892</v>
      </c>
      <c r="S188" s="50">
        <v>104.6728</v>
      </c>
      <c r="T188" s="46">
        <v>-10.3164</v>
      </c>
    </row>
    <row r="189" spans="16:20" x14ac:dyDescent="0.25">
      <c r="P189" s="18">
        <v>188</v>
      </c>
      <c r="Q189" s="50">
        <v>152.23079999999999</v>
      </c>
      <c r="R189" s="50">
        <v>152.23079999999999</v>
      </c>
      <c r="S189" s="50">
        <v>148.364</v>
      </c>
      <c r="T189" s="46">
        <v>-3.8668</v>
      </c>
    </row>
    <row r="190" spans="16:20" x14ac:dyDescent="0.25">
      <c r="P190" s="18">
        <v>189</v>
      </c>
      <c r="Q190" s="50">
        <v>93.571100000000001</v>
      </c>
      <c r="R190" s="50">
        <v>0</v>
      </c>
      <c r="S190" s="50">
        <v>29.006</v>
      </c>
      <c r="T190" s="46">
        <v>29.006</v>
      </c>
    </row>
    <row r="191" spans="16:20" x14ac:dyDescent="0.25">
      <c r="P191" s="18">
        <v>190</v>
      </c>
      <c r="Q191" s="50">
        <v>56.063200000000002</v>
      </c>
      <c r="R191" s="50">
        <v>0</v>
      </c>
      <c r="S191" s="50">
        <v>5.1717000000000004</v>
      </c>
      <c r="T191" s="46">
        <v>5.1717000000000004</v>
      </c>
    </row>
    <row r="192" spans="16:20" x14ac:dyDescent="0.25">
      <c r="P192" s="18">
        <v>191</v>
      </c>
      <c r="Q192" s="50">
        <v>131.9862</v>
      </c>
      <c r="R192" s="50">
        <v>131.9862</v>
      </c>
      <c r="S192" s="50">
        <v>133.13650000000001</v>
      </c>
      <c r="T192" s="46">
        <v>1.1504000000000001</v>
      </c>
    </row>
    <row r="193" spans="16:20" x14ac:dyDescent="0.25">
      <c r="P193" s="18">
        <v>192</v>
      </c>
      <c r="Q193" s="50">
        <v>41.500799999999998</v>
      </c>
      <c r="R193" s="50">
        <v>0</v>
      </c>
      <c r="S193" s="50">
        <v>8.3000000000000001E-3</v>
      </c>
      <c r="T193" s="46">
        <v>8.3000000000000001E-3</v>
      </c>
    </row>
    <row r="194" spans="16:20" x14ac:dyDescent="0.25">
      <c r="P194" s="18">
        <v>193</v>
      </c>
      <c r="Q194" s="50">
        <v>109.4092</v>
      </c>
      <c r="R194" s="50">
        <v>109.4092</v>
      </c>
      <c r="S194" s="50">
        <v>77.7727</v>
      </c>
      <c r="T194" s="46">
        <v>-31.636500000000002</v>
      </c>
    </row>
    <row r="195" spans="16:20" x14ac:dyDescent="0.25">
      <c r="P195" s="18">
        <v>194</v>
      </c>
      <c r="Q195" s="50">
        <v>100.9547</v>
      </c>
      <c r="R195" s="50">
        <v>100.9547</v>
      </c>
      <c r="S195" s="50">
        <v>64.761899999999997</v>
      </c>
      <c r="T195" s="46">
        <v>-36.192799999999998</v>
      </c>
    </row>
    <row r="196" spans="16:20" x14ac:dyDescent="0.25">
      <c r="P196" s="18">
        <v>195</v>
      </c>
      <c r="Q196" s="50">
        <v>98.317899999999995</v>
      </c>
      <c r="R196" s="50">
        <v>0</v>
      </c>
      <c r="S196" s="50">
        <v>53.934699999999999</v>
      </c>
      <c r="T196" s="46">
        <v>53.934699999999999</v>
      </c>
    </row>
    <row r="197" spans="16:20" x14ac:dyDescent="0.25">
      <c r="P197" s="18">
        <v>196</v>
      </c>
      <c r="Q197" s="50">
        <v>116.3783</v>
      </c>
      <c r="R197" s="50">
        <v>116.3783</v>
      </c>
      <c r="S197" s="50">
        <v>116.41630000000001</v>
      </c>
      <c r="T197" s="46">
        <v>3.7999999999999999E-2</v>
      </c>
    </row>
    <row r="198" spans="16:20" x14ac:dyDescent="0.25">
      <c r="P198" s="18">
        <v>197</v>
      </c>
      <c r="Q198" s="50">
        <v>71.898700000000005</v>
      </c>
      <c r="R198" s="50">
        <v>0</v>
      </c>
      <c r="S198" s="50">
        <v>2.4165999999999999</v>
      </c>
      <c r="T198" s="46">
        <v>2.4165999999999999</v>
      </c>
    </row>
    <row r="199" spans="16:20" x14ac:dyDescent="0.25">
      <c r="P199" s="18">
        <v>198</v>
      </c>
      <c r="Q199" s="50">
        <v>58.203499999999998</v>
      </c>
      <c r="R199" s="50">
        <v>0</v>
      </c>
      <c r="S199" s="50">
        <v>-0.19719999999999999</v>
      </c>
      <c r="T199" s="46">
        <v>-0.19719999999999999</v>
      </c>
    </row>
    <row r="200" spans="16:20" x14ac:dyDescent="0.25">
      <c r="P200" s="18">
        <v>199</v>
      </c>
      <c r="Q200" s="50">
        <v>86.563999999999993</v>
      </c>
      <c r="R200" s="50">
        <v>0</v>
      </c>
      <c r="S200" s="50">
        <v>18.318899999999999</v>
      </c>
      <c r="T200" s="46">
        <v>18.318899999999999</v>
      </c>
    </row>
    <row r="201" spans="16:20" x14ac:dyDescent="0.25">
      <c r="P201" s="18">
        <v>200</v>
      </c>
      <c r="Q201" s="50">
        <v>161.45359999999999</v>
      </c>
      <c r="R201" s="50">
        <v>161.45359999999999</v>
      </c>
      <c r="S201" s="50">
        <v>161.86490000000001</v>
      </c>
      <c r="T201" s="46">
        <v>0.4113</v>
      </c>
    </row>
    <row r="202" spans="16:20" x14ac:dyDescent="0.25">
      <c r="P202" s="18">
        <v>201</v>
      </c>
      <c r="Q202" s="50">
        <v>69.260400000000004</v>
      </c>
      <c r="R202" s="50">
        <v>0</v>
      </c>
      <c r="S202" s="50">
        <v>3.5226000000000002</v>
      </c>
      <c r="T202" s="46">
        <v>3.5226000000000002</v>
      </c>
    </row>
    <row r="203" spans="16:20" x14ac:dyDescent="0.25">
      <c r="P203" s="18">
        <v>202</v>
      </c>
      <c r="Q203" s="50">
        <v>79.515699999999995</v>
      </c>
      <c r="R203" s="50">
        <v>0</v>
      </c>
      <c r="S203" s="50">
        <v>-2.6922999999999999</v>
      </c>
      <c r="T203" s="46">
        <v>-2.6922999999999999</v>
      </c>
    </row>
    <row r="204" spans="16:20" x14ac:dyDescent="0.25">
      <c r="P204" s="18">
        <v>203</v>
      </c>
      <c r="Q204" s="50">
        <v>224.876</v>
      </c>
      <c r="R204" s="50">
        <v>224.876</v>
      </c>
      <c r="S204" s="50">
        <v>226.82929999999999</v>
      </c>
      <c r="T204" s="46">
        <v>1.9533</v>
      </c>
    </row>
    <row r="205" spans="16:20" x14ac:dyDescent="0.25">
      <c r="P205" s="18">
        <v>204</v>
      </c>
      <c r="Q205" s="50">
        <v>90.320099999999996</v>
      </c>
      <c r="R205" s="50">
        <v>0</v>
      </c>
      <c r="S205" s="50">
        <v>18.207599999999999</v>
      </c>
      <c r="T205" s="46">
        <v>18.207599999999999</v>
      </c>
    </row>
    <row r="206" spans="16:20" x14ac:dyDescent="0.25">
      <c r="P206" s="18">
        <v>205</v>
      </c>
      <c r="Q206" s="50">
        <v>89.007800000000003</v>
      </c>
      <c r="R206" s="50">
        <v>0</v>
      </c>
      <c r="S206" s="50">
        <v>16.681699999999999</v>
      </c>
      <c r="T206" s="46">
        <v>16.681699999999999</v>
      </c>
    </row>
    <row r="207" spans="16:20" x14ac:dyDescent="0.25">
      <c r="P207" s="18">
        <v>206</v>
      </c>
      <c r="Q207" s="50">
        <v>100.8552</v>
      </c>
      <c r="R207" s="50">
        <v>100.8552</v>
      </c>
      <c r="S207" s="50">
        <v>82.142600000000002</v>
      </c>
      <c r="T207" s="46">
        <v>-18.712499999999999</v>
      </c>
    </row>
    <row r="208" spans="16:20" x14ac:dyDescent="0.25">
      <c r="P208" s="18">
        <v>207</v>
      </c>
      <c r="Q208" s="50">
        <v>113.9264</v>
      </c>
      <c r="R208" s="50">
        <v>113.9264</v>
      </c>
      <c r="S208" s="50">
        <v>101.4798</v>
      </c>
      <c r="T208" s="46">
        <v>-12.4466</v>
      </c>
    </row>
    <row r="209" spans="16:20" x14ac:dyDescent="0.25">
      <c r="P209" s="18">
        <v>208</v>
      </c>
      <c r="Q209" s="50">
        <v>97.242400000000004</v>
      </c>
      <c r="R209" s="50">
        <v>0</v>
      </c>
      <c r="S209" s="50">
        <v>44.401800000000001</v>
      </c>
      <c r="T209" s="46">
        <v>44.401800000000001</v>
      </c>
    </row>
    <row r="210" spans="16:20" x14ac:dyDescent="0.25">
      <c r="P210" s="18">
        <v>209</v>
      </c>
      <c r="Q210" s="50">
        <v>79.648300000000006</v>
      </c>
      <c r="R210" s="50">
        <v>0</v>
      </c>
      <c r="S210" s="50">
        <v>-8.8556000000000008</v>
      </c>
      <c r="T210" s="46">
        <v>-8.8556000000000008</v>
      </c>
    </row>
    <row r="211" spans="16:20" x14ac:dyDescent="0.25">
      <c r="P211" s="18">
        <v>210</v>
      </c>
      <c r="Q211" s="50">
        <v>132.721</v>
      </c>
      <c r="R211" s="50">
        <v>132.721</v>
      </c>
      <c r="S211" s="50">
        <v>142.04259999999999</v>
      </c>
      <c r="T211" s="46">
        <v>9.3216000000000001</v>
      </c>
    </row>
    <row r="212" spans="16:20" x14ac:dyDescent="0.25">
      <c r="P212" s="18">
        <v>211</v>
      </c>
      <c r="Q212" s="50">
        <v>116.92449999999999</v>
      </c>
      <c r="R212" s="50">
        <v>116.92449999999999</v>
      </c>
      <c r="S212" s="50">
        <v>110.3115</v>
      </c>
      <c r="T212" s="46">
        <v>-6.6128999999999998</v>
      </c>
    </row>
    <row r="213" spans="16:20" x14ac:dyDescent="0.25">
      <c r="P213" s="18">
        <v>212</v>
      </c>
      <c r="Q213" s="50">
        <v>104.7385</v>
      </c>
      <c r="R213" s="50">
        <v>104.7385</v>
      </c>
      <c r="S213" s="50">
        <v>62.761600000000001</v>
      </c>
      <c r="T213" s="46">
        <v>-41.976799999999997</v>
      </c>
    </row>
    <row r="214" spans="16:20" x14ac:dyDescent="0.25">
      <c r="P214" s="18">
        <v>213</v>
      </c>
      <c r="Q214" s="50">
        <v>56.948099999999997</v>
      </c>
      <c r="R214" s="50">
        <v>0</v>
      </c>
      <c r="S214" s="50">
        <v>-2.8628</v>
      </c>
      <c r="T214" s="46">
        <v>-2.8628</v>
      </c>
    </row>
    <row r="215" spans="16:20" x14ac:dyDescent="0.25">
      <c r="P215" s="18">
        <v>214</v>
      </c>
      <c r="Q215" s="50">
        <v>144.22219999999999</v>
      </c>
      <c r="R215" s="50">
        <v>144.22219999999999</v>
      </c>
      <c r="S215" s="50">
        <v>145.53639999999999</v>
      </c>
      <c r="T215" s="46">
        <v>1.3142</v>
      </c>
    </row>
    <row r="216" spans="16:20" x14ac:dyDescent="0.25">
      <c r="P216" s="18">
        <v>215</v>
      </c>
      <c r="Q216" s="50">
        <v>69.971800000000002</v>
      </c>
      <c r="R216" s="50">
        <v>0</v>
      </c>
      <c r="S216" s="50">
        <v>-3.6400999999999999</v>
      </c>
      <c r="T216" s="46">
        <v>-3.6400999999999999</v>
      </c>
    </row>
    <row r="217" spans="16:20" x14ac:dyDescent="0.25">
      <c r="P217" s="18">
        <v>216</v>
      </c>
      <c r="Q217" s="50">
        <v>50.393300000000004</v>
      </c>
      <c r="R217" s="50">
        <v>0</v>
      </c>
      <c r="S217" s="50">
        <v>-4.2089999999999996</v>
      </c>
      <c r="T217" s="46">
        <v>-4.2089999999999996</v>
      </c>
    </row>
    <row r="218" spans="16:20" x14ac:dyDescent="0.25">
      <c r="P218" s="18">
        <v>217</v>
      </c>
      <c r="Q218" s="50">
        <v>66.471500000000006</v>
      </c>
      <c r="R218" s="50">
        <v>0</v>
      </c>
      <c r="S218" s="50">
        <v>4.0218999999999996</v>
      </c>
      <c r="T218" s="46">
        <v>4.0218999999999996</v>
      </c>
    </row>
    <row r="219" spans="16:20" x14ac:dyDescent="0.25">
      <c r="P219" s="18">
        <v>218</v>
      </c>
      <c r="Q219" s="50">
        <v>138.86429999999999</v>
      </c>
      <c r="R219" s="50">
        <v>138.86429999999999</v>
      </c>
      <c r="S219" s="50">
        <v>134.26509999999999</v>
      </c>
      <c r="T219" s="46">
        <v>-4.5991999999999997</v>
      </c>
    </row>
    <row r="220" spans="16:20" x14ac:dyDescent="0.25">
      <c r="P220" s="18">
        <v>219</v>
      </c>
      <c r="Q220" s="50">
        <v>147.92359999999999</v>
      </c>
      <c r="R220" s="50">
        <v>147.92359999999999</v>
      </c>
      <c r="S220" s="50">
        <v>158.47030000000001</v>
      </c>
      <c r="T220" s="46">
        <v>10.5467</v>
      </c>
    </row>
    <row r="221" spans="16:20" x14ac:dyDescent="0.25">
      <c r="P221" s="18">
        <v>220</v>
      </c>
      <c r="Q221" s="50">
        <v>82.926100000000005</v>
      </c>
      <c r="R221" s="50">
        <v>0</v>
      </c>
      <c r="S221" s="50">
        <v>-12.3855</v>
      </c>
      <c r="T221" s="46">
        <v>-12.3855</v>
      </c>
    </row>
    <row r="222" spans="16:20" x14ac:dyDescent="0.25">
      <c r="P222" s="18">
        <v>221</v>
      </c>
      <c r="Q222" s="50">
        <v>91.952200000000005</v>
      </c>
      <c r="R222" s="50">
        <v>0</v>
      </c>
      <c r="S222" s="50">
        <v>7.1993</v>
      </c>
      <c r="T222" s="46">
        <v>7.1993</v>
      </c>
    </row>
    <row r="223" spans="16:20" x14ac:dyDescent="0.25">
      <c r="P223" s="18">
        <v>222</v>
      </c>
      <c r="Q223" s="50">
        <v>77.956199999999995</v>
      </c>
      <c r="R223" s="50">
        <v>0</v>
      </c>
      <c r="S223" s="50">
        <v>-3.7378</v>
      </c>
      <c r="T223" s="46">
        <v>-3.7378</v>
      </c>
    </row>
    <row r="224" spans="16:20" x14ac:dyDescent="0.25">
      <c r="P224" s="18">
        <v>223</v>
      </c>
      <c r="Q224" s="50">
        <v>97.599299999999999</v>
      </c>
      <c r="R224" s="50">
        <v>0</v>
      </c>
      <c r="S224" s="50">
        <v>60.476100000000002</v>
      </c>
      <c r="T224" s="46">
        <v>60.476100000000002</v>
      </c>
    </row>
    <row r="225" spans="16:20" x14ac:dyDescent="0.25">
      <c r="P225" s="18">
        <v>224</v>
      </c>
      <c r="Q225" s="50">
        <v>74.110200000000006</v>
      </c>
      <c r="R225" s="50">
        <v>0</v>
      </c>
      <c r="S225" s="50">
        <v>3.1800000000000002E-2</v>
      </c>
      <c r="T225" s="46">
        <v>3.1800000000000002E-2</v>
      </c>
    </row>
    <row r="226" spans="16:20" x14ac:dyDescent="0.25">
      <c r="P226" s="18">
        <v>225</v>
      </c>
      <c r="Q226" s="50">
        <v>111.64230000000001</v>
      </c>
      <c r="R226" s="50">
        <v>111.64230000000001</v>
      </c>
      <c r="S226" s="50">
        <v>93.464299999999994</v>
      </c>
      <c r="T226" s="46">
        <v>-18.178000000000001</v>
      </c>
    </row>
    <row r="227" spans="16:20" x14ac:dyDescent="0.25">
      <c r="P227" s="18">
        <v>226</v>
      </c>
      <c r="Q227" s="50">
        <v>67.264300000000006</v>
      </c>
      <c r="R227" s="50">
        <v>0</v>
      </c>
      <c r="S227" s="50">
        <v>-8.4983000000000004</v>
      </c>
      <c r="T227" s="46">
        <v>-8.4983000000000004</v>
      </c>
    </row>
    <row r="228" spans="16:20" x14ac:dyDescent="0.25">
      <c r="P228" s="18">
        <v>227</v>
      </c>
      <c r="Q228" s="50">
        <v>161.02549999999999</v>
      </c>
      <c r="R228" s="50">
        <v>161.02549999999999</v>
      </c>
      <c r="S228" s="50">
        <v>164.53280000000001</v>
      </c>
      <c r="T228" s="46">
        <v>3.5072999999999999</v>
      </c>
    </row>
    <row r="229" spans="16:20" x14ac:dyDescent="0.25">
      <c r="P229" s="18">
        <v>228</v>
      </c>
      <c r="Q229" s="50">
        <v>147.39840000000001</v>
      </c>
      <c r="R229" s="50">
        <v>147.39840000000001</v>
      </c>
      <c r="S229" s="50">
        <v>141.24940000000001</v>
      </c>
      <c r="T229" s="46">
        <v>-6.149</v>
      </c>
    </row>
    <row r="230" spans="16:20" x14ac:dyDescent="0.25">
      <c r="P230" s="18">
        <v>229</v>
      </c>
      <c r="Q230" s="50">
        <v>121.05370000000001</v>
      </c>
      <c r="R230" s="50">
        <v>121.05370000000001</v>
      </c>
      <c r="S230" s="50">
        <v>112.0059</v>
      </c>
      <c r="T230" s="46">
        <v>-9.0478000000000005</v>
      </c>
    </row>
    <row r="231" spans="16:20" x14ac:dyDescent="0.25">
      <c r="P231" s="18">
        <v>230</v>
      </c>
      <c r="Q231" s="50">
        <v>69.850300000000004</v>
      </c>
      <c r="R231" s="50">
        <v>0</v>
      </c>
      <c r="S231" s="50">
        <v>-9.4259000000000004</v>
      </c>
      <c r="T231" s="46">
        <v>-9.4259000000000004</v>
      </c>
    </row>
    <row r="232" spans="16:20" x14ac:dyDescent="0.25">
      <c r="P232" s="18">
        <v>231</v>
      </c>
      <c r="Q232" s="50">
        <v>179.3304</v>
      </c>
      <c r="R232" s="50">
        <v>179.3304</v>
      </c>
      <c r="S232" s="50">
        <v>185.58099999999999</v>
      </c>
      <c r="T232" s="46">
        <v>6.2506000000000004</v>
      </c>
    </row>
    <row r="233" spans="16:20" x14ac:dyDescent="0.25">
      <c r="P233" s="18">
        <v>232</v>
      </c>
      <c r="Q233" s="50">
        <v>196.49090000000001</v>
      </c>
      <c r="R233" s="50">
        <v>196.49090000000001</v>
      </c>
      <c r="S233" s="50">
        <v>201.65620000000001</v>
      </c>
      <c r="T233" s="46">
        <v>5.1654</v>
      </c>
    </row>
    <row r="234" spans="16:20" x14ac:dyDescent="0.25">
      <c r="P234" s="18">
        <v>233</v>
      </c>
      <c r="Q234" s="50">
        <v>74.151700000000005</v>
      </c>
      <c r="R234" s="50">
        <v>0</v>
      </c>
      <c r="S234" s="50">
        <v>0.94550000000000001</v>
      </c>
      <c r="T234" s="46">
        <v>0.94550000000000001</v>
      </c>
    </row>
    <row r="235" spans="16:20" x14ac:dyDescent="0.25">
      <c r="P235" s="18">
        <v>234</v>
      </c>
      <c r="Q235" s="50">
        <v>41.369599999999998</v>
      </c>
      <c r="R235" s="50">
        <v>0</v>
      </c>
      <c r="S235" s="50">
        <v>-4.3811</v>
      </c>
      <c r="T235" s="46">
        <v>-4.3811</v>
      </c>
    </row>
    <row r="236" spans="16:20" x14ac:dyDescent="0.25">
      <c r="P236" s="18">
        <v>235</v>
      </c>
      <c r="Q236" s="50">
        <v>128.05760000000001</v>
      </c>
      <c r="R236" s="50">
        <v>128.05760000000001</v>
      </c>
      <c r="S236" s="50">
        <v>125.8218</v>
      </c>
      <c r="T236" s="46">
        <v>-2.2357999999999998</v>
      </c>
    </row>
    <row r="237" spans="16:20" x14ac:dyDescent="0.25">
      <c r="P237" s="18">
        <v>236</v>
      </c>
      <c r="Q237" s="50">
        <v>110.25620000000001</v>
      </c>
      <c r="R237" s="50">
        <v>110.25620000000001</v>
      </c>
      <c r="S237" s="50">
        <v>88.391300000000001</v>
      </c>
      <c r="T237" s="46">
        <v>-21.864899999999999</v>
      </c>
    </row>
    <row r="238" spans="16:20" x14ac:dyDescent="0.25">
      <c r="P238" s="18">
        <v>237</v>
      </c>
      <c r="Q238" s="50">
        <v>94.363900000000001</v>
      </c>
      <c r="R238" s="50">
        <v>0</v>
      </c>
      <c r="S238" s="50">
        <v>24.621500000000001</v>
      </c>
      <c r="T238" s="46">
        <v>24.621500000000001</v>
      </c>
    </row>
    <row r="239" spans="16:20" x14ac:dyDescent="0.25">
      <c r="P239" s="18">
        <v>238</v>
      </c>
      <c r="Q239" s="50">
        <v>100.7854</v>
      </c>
      <c r="R239" s="50">
        <v>100.7854</v>
      </c>
      <c r="S239" s="50">
        <v>59.475299999999997</v>
      </c>
      <c r="T239" s="46">
        <v>-41.310099999999998</v>
      </c>
    </row>
    <row r="240" spans="16:20" x14ac:dyDescent="0.25">
      <c r="P240" s="18">
        <v>239</v>
      </c>
      <c r="Q240" s="50">
        <v>103.5521</v>
      </c>
      <c r="R240" s="50">
        <v>103.5521</v>
      </c>
      <c r="S240" s="50">
        <v>63.666600000000003</v>
      </c>
      <c r="T240" s="46">
        <v>-39.885599999999997</v>
      </c>
    </row>
    <row r="241" spans="16:20" x14ac:dyDescent="0.25">
      <c r="P241" s="18">
        <v>240</v>
      </c>
      <c r="Q241" s="50">
        <v>148.9871</v>
      </c>
      <c r="R241" s="50">
        <v>148.9871</v>
      </c>
      <c r="S241" s="50">
        <v>142.56729999999999</v>
      </c>
      <c r="T241" s="46">
        <v>-6.4199000000000002</v>
      </c>
    </row>
    <row r="242" spans="16:20" x14ac:dyDescent="0.25">
      <c r="P242" s="18">
        <v>241</v>
      </c>
      <c r="Q242" s="50">
        <v>129.20509999999999</v>
      </c>
      <c r="R242" s="50">
        <v>129.20509999999999</v>
      </c>
      <c r="S242" s="50">
        <v>125.8158</v>
      </c>
      <c r="T242" s="46">
        <v>-3.3893</v>
      </c>
    </row>
    <row r="243" spans="16:20" x14ac:dyDescent="0.25">
      <c r="P243" s="18">
        <v>242</v>
      </c>
      <c r="Q243" s="50">
        <v>108.0046</v>
      </c>
      <c r="R243" s="50">
        <v>108.0046</v>
      </c>
      <c r="S243" s="50">
        <v>96.524600000000007</v>
      </c>
      <c r="T243" s="46">
        <v>-11.48</v>
      </c>
    </row>
    <row r="244" spans="16:20" x14ac:dyDescent="0.25">
      <c r="P244" s="18">
        <v>243</v>
      </c>
      <c r="Q244" s="50">
        <v>110.8073</v>
      </c>
      <c r="R244" s="50">
        <v>110.8073</v>
      </c>
      <c r="S244" s="50">
        <v>94.832099999999997</v>
      </c>
      <c r="T244" s="46">
        <v>-15.975099999999999</v>
      </c>
    </row>
    <row r="245" spans="16:20" x14ac:dyDescent="0.25">
      <c r="P245" s="18">
        <v>244</v>
      </c>
      <c r="Q245" s="50">
        <v>78.381100000000004</v>
      </c>
      <c r="R245" s="50">
        <v>0</v>
      </c>
      <c r="S245" s="50">
        <v>5.4321000000000002</v>
      </c>
      <c r="T245" s="46">
        <v>5.4321000000000002</v>
      </c>
    </row>
    <row r="246" spans="16:20" x14ac:dyDescent="0.25">
      <c r="P246" s="18">
        <v>245</v>
      </c>
      <c r="Q246" s="50">
        <v>132.39429999999999</v>
      </c>
      <c r="R246" s="50">
        <v>132.39429999999999</v>
      </c>
      <c r="S246" s="50">
        <v>127.8049</v>
      </c>
      <c r="T246" s="46">
        <v>-4.5894000000000004</v>
      </c>
    </row>
    <row r="247" spans="16:20" x14ac:dyDescent="0.25">
      <c r="P247" s="18">
        <v>246</v>
      </c>
      <c r="Q247" s="50">
        <v>171.34899999999999</v>
      </c>
      <c r="R247" s="50">
        <v>171.34899999999999</v>
      </c>
      <c r="S247" s="50">
        <v>171.34469999999999</v>
      </c>
      <c r="T247" s="46">
        <v>-4.3E-3</v>
      </c>
    </row>
    <row r="248" spans="16:20" x14ac:dyDescent="0.25">
      <c r="P248" s="18">
        <v>247</v>
      </c>
      <c r="Q248" s="50">
        <v>116.8677</v>
      </c>
      <c r="R248" s="50">
        <v>116.8677</v>
      </c>
      <c r="S248" s="50">
        <v>105.03019999999999</v>
      </c>
      <c r="T248" s="46">
        <v>-11.837400000000001</v>
      </c>
    </row>
    <row r="249" spans="16:20" x14ac:dyDescent="0.25">
      <c r="P249" s="18">
        <v>248</v>
      </c>
      <c r="Q249" s="50">
        <v>73.026899999999998</v>
      </c>
      <c r="R249" s="50">
        <v>0</v>
      </c>
      <c r="S249" s="50">
        <v>3.4489000000000001</v>
      </c>
      <c r="T249" s="46">
        <v>3.4489000000000001</v>
      </c>
    </row>
    <row r="250" spans="16:20" x14ac:dyDescent="0.25">
      <c r="P250" s="18">
        <v>249</v>
      </c>
      <c r="Q250" s="50">
        <v>112.12009999999999</v>
      </c>
      <c r="R250" s="50">
        <v>112.12009999999999</v>
      </c>
      <c r="S250" s="50">
        <v>103.39190000000001</v>
      </c>
      <c r="T250" s="46">
        <v>-8.7281999999999993</v>
      </c>
    </row>
    <row r="251" spans="16:20" x14ac:dyDescent="0.25">
      <c r="P251" s="18">
        <v>250</v>
      </c>
      <c r="Q251" s="50">
        <v>100.11199999999999</v>
      </c>
      <c r="R251" s="50">
        <v>100.1026</v>
      </c>
      <c r="S251" s="50">
        <v>46.986499999999999</v>
      </c>
      <c r="T251" s="46">
        <v>-53.116100000000003</v>
      </c>
    </row>
    <row r="252" spans="16:20" x14ac:dyDescent="0.25">
      <c r="P252" s="18">
        <v>251</v>
      </c>
      <c r="Q252" s="50">
        <v>99.668899999999994</v>
      </c>
      <c r="R252" s="50">
        <v>0</v>
      </c>
      <c r="S252" s="50">
        <v>59.243099999999998</v>
      </c>
      <c r="T252" s="46">
        <v>59.243099999999998</v>
      </c>
    </row>
    <row r="253" spans="16:20" x14ac:dyDescent="0.25">
      <c r="P253" s="18">
        <v>252</v>
      </c>
      <c r="Q253" s="50">
        <v>102.2496</v>
      </c>
      <c r="R253" s="50">
        <v>102.2496</v>
      </c>
      <c r="S253" s="50">
        <v>59.2179</v>
      </c>
      <c r="T253" s="46">
        <v>-43.031700000000001</v>
      </c>
    </row>
    <row r="254" spans="16:20" x14ac:dyDescent="0.25">
      <c r="P254" s="18">
        <v>253</v>
      </c>
      <c r="Q254" s="50">
        <v>81.403899999999993</v>
      </c>
      <c r="R254" s="50">
        <v>0</v>
      </c>
      <c r="S254" s="50">
        <v>-8.3329000000000004</v>
      </c>
      <c r="T254" s="46">
        <v>-8.3329000000000004</v>
      </c>
    </row>
    <row r="255" spans="16:20" x14ac:dyDescent="0.25">
      <c r="P255" s="18">
        <v>254</v>
      </c>
      <c r="Q255" s="50">
        <v>207.8408</v>
      </c>
      <c r="R255" s="50">
        <v>207.8408</v>
      </c>
      <c r="S255" s="50">
        <v>213.43379999999999</v>
      </c>
      <c r="T255" s="46">
        <v>5.593</v>
      </c>
    </row>
    <row r="256" spans="16:20" x14ac:dyDescent="0.25">
      <c r="P256" s="18">
        <v>255</v>
      </c>
      <c r="Q256" s="50">
        <v>124.7543</v>
      </c>
      <c r="R256" s="50">
        <v>124.7543</v>
      </c>
      <c r="S256" s="50">
        <v>128.62129999999999</v>
      </c>
      <c r="T256" s="46">
        <v>3.867</v>
      </c>
    </row>
    <row r="257" spans="16:20" x14ac:dyDescent="0.25">
      <c r="P257" s="18">
        <v>256</v>
      </c>
      <c r="Q257" s="50">
        <v>88.122799999999998</v>
      </c>
      <c r="R257" s="50">
        <v>0</v>
      </c>
      <c r="S257" s="50">
        <v>15.073700000000001</v>
      </c>
      <c r="T257" s="46">
        <v>15.073700000000001</v>
      </c>
    </row>
    <row r="258" spans="16:20" x14ac:dyDescent="0.25">
      <c r="P258" s="18">
        <v>257</v>
      </c>
      <c r="Q258" s="50">
        <v>113.6266</v>
      </c>
      <c r="R258" s="50">
        <v>113.6266</v>
      </c>
      <c r="S258" s="50">
        <v>91.650599999999997</v>
      </c>
      <c r="T258" s="46">
        <v>-21.975999999999999</v>
      </c>
    </row>
    <row r="259" spans="16:20" x14ac:dyDescent="0.25">
      <c r="P259" s="18">
        <v>258</v>
      </c>
      <c r="Q259" s="50">
        <v>92.844700000000003</v>
      </c>
      <c r="R259" s="50">
        <v>0</v>
      </c>
      <c r="S259" s="50">
        <v>11.2737</v>
      </c>
      <c r="T259" s="46">
        <v>11.2737</v>
      </c>
    </row>
    <row r="260" spans="16:20" x14ac:dyDescent="0.25">
      <c r="P260" s="18">
        <v>259</v>
      </c>
      <c r="Q260" s="50">
        <v>100.5125</v>
      </c>
      <c r="R260" s="50">
        <v>100.5125</v>
      </c>
      <c r="S260" s="50">
        <v>49.846299999999999</v>
      </c>
      <c r="T260" s="46">
        <v>-50.666200000000003</v>
      </c>
    </row>
    <row r="261" spans="16:20" x14ac:dyDescent="0.25">
      <c r="P261" s="18">
        <v>260</v>
      </c>
      <c r="Q261" s="50">
        <v>118.7653</v>
      </c>
      <c r="R261" s="50">
        <v>118.7653</v>
      </c>
      <c r="S261" s="50">
        <v>117.5501</v>
      </c>
      <c r="T261" s="46">
        <v>-1.2152000000000001</v>
      </c>
    </row>
    <row r="262" spans="16:20" x14ac:dyDescent="0.25">
      <c r="P262" s="18">
        <v>261</v>
      </c>
      <c r="Q262" s="50">
        <v>113.47629999999999</v>
      </c>
      <c r="R262" s="50">
        <v>113.47629999999999</v>
      </c>
      <c r="S262" s="50">
        <v>109.7949</v>
      </c>
      <c r="T262" s="46">
        <v>-3.6814</v>
      </c>
    </row>
    <row r="263" spans="16:20" x14ac:dyDescent="0.25">
      <c r="P263" s="18">
        <v>262</v>
      </c>
      <c r="Q263" s="50">
        <v>81.802899999999994</v>
      </c>
      <c r="R263" s="50">
        <v>0</v>
      </c>
      <c r="S263" s="50">
        <v>11.7591</v>
      </c>
      <c r="T263" s="46">
        <v>11.7591</v>
      </c>
    </row>
    <row r="264" spans="16:20" x14ac:dyDescent="0.25">
      <c r="P264" s="18">
        <v>263</v>
      </c>
      <c r="Q264" s="50">
        <v>59.605200000000004</v>
      </c>
      <c r="R264" s="50">
        <v>0</v>
      </c>
      <c r="S264" s="50">
        <v>-2.5244</v>
      </c>
      <c r="T264" s="46">
        <v>-2.5244</v>
      </c>
    </row>
    <row r="265" spans="16:20" x14ac:dyDescent="0.25">
      <c r="P265" s="18">
        <v>264</v>
      </c>
      <c r="Q265" s="50">
        <v>95.667400000000001</v>
      </c>
      <c r="R265" s="50">
        <v>0</v>
      </c>
      <c r="S265" s="50">
        <v>27.741199999999999</v>
      </c>
      <c r="T265" s="46">
        <v>27.741199999999999</v>
      </c>
    </row>
    <row r="266" spans="16:20" x14ac:dyDescent="0.25">
      <c r="P266" s="18">
        <v>265</v>
      </c>
      <c r="Q266" s="50">
        <v>83.794700000000006</v>
      </c>
      <c r="R266" s="50">
        <v>0</v>
      </c>
      <c r="S266" s="50">
        <v>12.2645</v>
      </c>
      <c r="T266" s="46">
        <v>12.2645</v>
      </c>
    </row>
    <row r="267" spans="16:20" x14ac:dyDescent="0.25">
      <c r="P267" s="18">
        <v>266</v>
      </c>
      <c r="Q267" s="50">
        <v>114.83499999999999</v>
      </c>
      <c r="R267" s="50">
        <v>114.83499999999999</v>
      </c>
      <c r="S267" s="50">
        <v>107.08029999999999</v>
      </c>
      <c r="T267" s="46">
        <v>-7.7548000000000004</v>
      </c>
    </row>
    <row r="268" spans="16:20" x14ac:dyDescent="0.25">
      <c r="P268" s="18">
        <v>267</v>
      </c>
      <c r="Q268" s="50">
        <v>110.0535</v>
      </c>
      <c r="R268" s="50">
        <v>110.0535</v>
      </c>
      <c r="S268" s="50">
        <v>89.4589</v>
      </c>
      <c r="T268" s="46">
        <v>-20.5946</v>
      </c>
    </row>
    <row r="269" spans="16:20" x14ac:dyDescent="0.25">
      <c r="P269" s="18">
        <v>268</v>
      </c>
      <c r="Q269" s="50">
        <v>60.709600000000002</v>
      </c>
      <c r="R269" s="50">
        <v>0</v>
      </c>
      <c r="S269" s="50">
        <v>-3.3292999999999999</v>
      </c>
      <c r="T269" s="46">
        <v>-3.3292999999999999</v>
      </c>
    </row>
    <row r="270" spans="16:20" x14ac:dyDescent="0.25">
      <c r="P270" s="18">
        <v>269</v>
      </c>
      <c r="Q270" s="50">
        <v>106.31489999999999</v>
      </c>
      <c r="R270" s="50">
        <v>106.31489999999999</v>
      </c>
      <c r="S270" s="50">
        <v>87.977599999999995</v>
      </c>
      <c r="T270" s="46">
        <v>-18.337299999999999</v>
      </c>
    </row>
    <row r="271" spans="16:20" x14ac:dyDescent="0.25">
      <c r="P271" s="18">
        <v>270</v>
      </c>
      <c r="Q271" s="50">
        <v>92.859499999999997</v>
      </c>
      <c r="R271" s="50">
        <v>0</v>
      </c>
      <c r="S271" s="50">
        <v>24.237300000000001</v>
      </c>
      <c r="T271" s="46">
        <v>24.237300000000001</v>
      </c>
    </row>
    <row r="272" spans="16:20" x14ac:dyDescent="0.25">
      <c r="P272" s="18">
        <v>271</v>
      </c>
      <c r="Q272" s="50">
        <v>178.9699</v>
      </c>
      <c r="R272" s="50">
        <v>178.9699</v>
      </c>
      <c r="S272" s="50">
        <v>182.9734</v>
      </c>
      <c r="T272" s="46">
        <v>4.0034999999999998</v>
      </c>
    </row>
    <row r="273" spans="16:20" x14ac:dyDescent="0.25">
      <c r="P273" s="18">
        <v>272</v>
      </c>
      <c r="Q273" s="50">
        <v>138.5557</v>
      </c>
      <c r="R273" s="50">
        <v>138.5557</v>
      </c>
      <c r="S273" s="50">
        <v>143.75909999999999</v>
      </c>
      <c r="T273" s="46">
        <v>5.2035</v>
      </c>
    </row>
    <row r="274" spans="16:20" x14ac:dyDescent="0.25">
      <c r="P274" s="18">
        <v>273</v>
      </c>
      <c r="Q274" s="50">
        <v>62.613900000000001</v>
      </c>
      <c r="R274" s="50">
        <v>0</v>
      </c>
      <c r="S274" s="50">
        <v>-2.0247999999999999</v>
      </c>
      <c r="T274" s="46">
        <v>-2.0247999999999999</v>
      </c>
    </row>
    <row r="275" spans="16:20" x14ac:dyDescent="0.25">
      <c r="P275" s="18">
        <v>274</v>
      </c>
      <c r="Q275" s="50">
        <v>90.7393</v>
      </c>
      <c r="R275" s="50">
        <v>0</v>
      </c>
      <c r="S275" s="50">
        <v>16.213999999999999</v>
      </c>
      <c r="T275" s="46">
        <v>16.213999999999999</v>
      </c>
    </row>
    <row r="276" spans="16:20" x14ac:dyDescent="0.25">
      <c r="P276" s="18">
        <v>275</v>
      </c>
      <c r="Q276" s="50">
        <v>151.1952</v>
      </c>
      <c r="R276" s="50">
        <v>151.1952</v>
      </c>
      <c r="S276" s="50">
        <v>154.11850000000001</v>
      </c>
      <c r="T276" s="46">
        <v>2.9234</v>
      </c>
    </row>
    <row r="277" spans="16:20" x14ac:dyDescent="0.25">
      <c r="P277" s="18">
        <v>276</v>
      </c>
      <c r="Q277" s="50">
        <v>112.9901</v>
      </c>
      <c r="R277" s="50">
        <v>112.9901</v>
      </c>
      <c r="S277" s="50">
        <v>99.899900000000002</v>
      </c>
      <c r="T277" s="46">
        <v>-13.090199999999999</v>
      </c>
    </row>
    <row r="278" spans="16:20" x14ac:dyDescent="0.25">
      <c r="P278" s="18">
        <v>277</v>
      </c>
      <c r="Q278" s="50">
        <v>87.6327</v>
      </c>
      <c r="R278" s="50">
        <v>0</v>
      </c>
      <c r="S278" s="50">
        <v>10.9307</v>
      </c>
      <c r="T278" s="46">
        <v>10.9307</v>
      </c>
    </row>
    <row r="279" spans="16:20" x14ac:dyDescent="0.25">
      <c r="P279" s="18">
        <v>278</v>
      </c>
      <c r="Q279" s="50">
        <v>66.144599999999997</v>
      </c>
      <c r="R279" s="50">
        <v>0</v>
      </c>
      <c r="S279" s="50">
        <v>-1.7891999999999999</v>
      </c>
      <c r="T279" s="46">
        <v>-1.7891999999999999</v>
      </c>
    </row>
    <row r="280" spans="16:20" x14ac:dyDescent="0.25">
      <c r="P280" s="18">
        <v>279</v>
      </c>
      <c r="Q280" s="50">
        <v>136.76609999999999</v>
      </c>
      <c r="R280" s="50">
        <v>136.76609999999999</v>
      </c>
      <c r="S280" s="50">
        <v>133.4769</v>
      </c>
      <c r="T280" s="46">
        <v>-3.2892000000000001</v>
      </c>
    </row>
    <row r="281" spans="16:20" x14ac:dyDescent="0.25">
      <c r="P281" s="18">
        <v>280</v>
      </c>
      <c r="Q281" s="50">
        <v>50.3108</v>
      </c>
      <c r="R281" s="50">
        <v>0</v>
      </c>
      <c r="S281" s="50">
        <v>1.2077</v>
      </c>
      <c r="T281" s="46">
        <v>1.2077</v>
      </c>
    </row>
    <row r="282" spans="16:20" x14ac:dyDescent="0.25">
      <c r="P282" s="18">
        <v>281</v>
      </c>
      <c r="Q282" s="50">
        <v>74.007599999999996</v>
      </c>
      <c r="R282" s="50">
        <v>0</v>
      </c>
      <c r="S282" s="50">
        <v>9.798</v>
      </c>
      <c r="T282" s="46">
        <v>9.798</v>
      </c>
    </row>
    <row r="283" spans="16:20" x14ac:dyDescent="0.25">
      <c r="P283" s="18">
        <v>282</v>
      </c>
      <c r="Q283" s="50">
        <v>70.3172</v>
      </c>
      <c r="R283" s="50">
        <v>0</v>
      </c>
      <c r="S283" s="50">
        <v>-4.7530999999999999</v>
      </c>
      <c r="T283" s="46">
        <v>-4.7530999999999999</v>
      </c>
    </row>
    <row r="284" spans="16:20" x14ac:dyDescent="0.25">
      <c r="P284" s="18">
        <v>283</v>
      </c>
      <c r="Q284" s="50">
        <v>72.924599999999998</v>
      </c>
      <c r="R284" s="50">
        <v>0</v>
      </c>
      <c r="S284" s="50">
        <v>-5.4265999999999996</v>
      </c>
      <c r="T284" s="46">
        <v>-5.4265999999999996</v>
      </c>
    </row>
    <row r="285" spans="16:20" x14ac:dyDescent="0.25">
      <c r="P285" s="18">
        <v>284</v>
      </c>
      <c r="Q285" s="50">
        <v>120.42789999999999</v>
      </c>
      <c r="R285" s="50">
        <v>120.42789999999999</v>
      </c>
      <c r="S285" s="50">
        <v>104.6172</v>
      </c>
      <c r="T285" s="46">
        <v>-15.810700000000001</v>
      </c>
    </row>
    <row r="286" spans="16:20" x14ac:dyDescent="0.25">
      <c r="P286" s="18">
        <v>285</v>
      </c>
      <c r="Q286" s="50">
        <v>58.406799999999997</v>
      </c>
      <c r="R286" s="50">
        <v>0</v>
      </c>
      <c r="S286" s="50">
        <v>1.1044</v>
      </c>
      <c r="T286" s="46">
        <v>1.1044</v>
      </c>
    </row>
    <row r="287" spans="16:20" x14ac:dyDescent="0.25">
      <c r="P287" s="18">
        <v>286</v>
      </c>
      <c r="Q287" s="50">
        <v>87.974800000000002</v>
      </c>
      <c r="R287" s="50">
        <v>0</v>
      </c>
      <c r="S287" s="50">
        <v>11.5595</v>
      </c>
      <c r="T287" s="46">
        <v>11.5595</v>
      </c>
    </row>
    <row r="288" spans="16:20" x14ac:dyDescent="0.25">
      <c r="P288" s="18">
        <v>287</v>
      </c>
      <c r="Q288" s="50">
        <v>112.3961</v>
      </c>
      <c r="R288" s="50">
        <v>112.3961</v>
      </c>
      <c r="S288" s="50">
        <v>99.8095</v>
      </c>
      <c r="T288" s="46">
        <v>-12.586600000000001</v>
      </c>
    </row>
    <row r="289" spans="16:20" x14ac:dyDescent="0.25">
      <c r="P289" s="18">
        <v>288</v>
      </c>
      <c r="Q289" s="50">
        <v>78.930099999999996</v>
      </c>
      <c r="R289" s="50">
        <v>0</v>
      </c>
      <c r="S289" s="50">
        <v>8.8874999999999993</v>
      </c>
      <c r="T289" s="46">
        <v>8.8874999999999993</v>
      </c>
    </row>
    <row r="290" spans="16:20" x14ac:dyDescent="0.25">
      <c r="P290" s="18">
        <v>289</v>
      </c>
      <c r="Q290" s="50">
        <v>64.611999999999995</v>
      </c>
      <c r="R290" s="50">
        <v>0</v>
      </c>
      <c r="S290" s="50">
        <v>0.14990000000000001</v>
      </c>
      <c r="T290" s="46">
        <v>0.14990000000000001</v>
      </c>
    </row>
    <row r="291" spans="16:20" x14ac:dyDescent="0.25">
      <c r="P291" s="18">
        <v>290</v>
      </c>
      <c r="Q291" s="50">
        <v>107.8442</v>
      </c>
      <c r="R291" s="50">
        <v>107.8442</v>
      </c>
      <c r="S291" s="50">
        <v>90.083500000000001</v>
      </c>
      <c r="T291" s="46">
        <v>-17.7607</v>
      </c>
    </row>
    <row r="292" spans="16:20" x14ac:dyDescent="0.25">
      <c r="P292" s="18">
        <v>291</v>
      </c>
      <c r="Q292" s="50">
        <v>72.5672</v>
      </c>
      <c r="R292" s="50">
        <v>0</v>
      </c>
      <c r="S292" s="50">
        <v>-0.37119999999999997</v>
      </c>
      <c r="T292" s="46">
        <v>-0.37119999999999997</v>
      </c>
    </row>
    <row r="293" spans="16:20" x14ac:dyDescent="0.25">
      <c r="P293" s="18">
        <v>292</v>
      </c>
      <c r="Q293" s="50">
        <v>139.69810000000001</v>
      </c>
      <c r="R293" s="50">
        <v>139.69810000000001</v>
      </c>
      <c r="S293" s="50">
        <v>151.74610000000001</v>
      </c>
      <c r="T293" s="46">
        <v>12.048</v>
      </c>
    </row>
    <row r="294" spans="16:20" x14ac:dyDescent="0.25">
      <c r="P294" s="18">
        <v>293</v>
      </c>
      <c r="Q294" s="50">
        <v>89.284899999999993</v>
      </c>
      <c r="R294" s="50">
        <v>0</v>
      </c>
      <c r="S294" s="50">
        <v>12.887499999999999</v>
      </c>
      <c r="T294" s="46">
        <v>12.887499999999999</v>
      </c>
    </row>
    <row r="295" spans="16:20" x14ac:dyDescent="0.25">
      <c r="P295" s="18">
        <v>294</v>
      </c>
      <c r="Q295" s="50">
        <v>61.329099999999997</v>
      </c>
      <c r="R295" s="50">
        <v>0</v>
      </c>
      <c r="S295" s="50">
        <v>2.1419999999999999</v>
      </c>
      <c r="T295" s="46">
        <v>2.1419999999999999</v>
      </c>
    </row>
    <row r="296" spans="16:20" x14ac:dyDescent="0.25">
      <c r="P296" s="18">
        <v>295</v>
      </c>
      <c r="Q296" s="50">
        <v>73.720600000000005</v>
      </c>
      <c r="R296" s="50">
        <v>0</v>
      </c>
      <c r="S296" s="50">
        <v>-7.6520000000000001</v>
      </c>
      <c r="T296" s="46">
        <v>-7.6520000000000001</v>
      </c>
    </row>
    <row r="297" spans="16:20" x14ac:dyDescent="0.25">
      <c r="P297" s="18">
        <v>296</v>
      </c>
      <c r="Q297" s="50">
        <v>73.860500000000002</v>
      </c>
      <c r="R297" s="50">
        <v>0</v>
      </c>
      <c r="S297" s="50">
        <v>-11.4527</v>
      </c>
      <c r="T297" s="46">
        <v>-11.4527</v>
      </c>
    </row>
    <row r="298" spans="16:20" x14ac:dyDescent="0.25">
      <c r="P298" s="18">
        <v>297</v>
      </c>
      <c r="Q298" s="50">
        <v>128.10730000000001</v>
      </c>
      <c r="R298" s="50">
        <v>128.10730000000001</v>
      </c>
      <c r="S298" s="50">
        <v>118.7402</v>
      </c>
      <c r="T298" s="46">
        <v>-9.3671000000000006</v>
      </c>
    </row>
    <row r="299" spans="16:20" x14ac:dyDescent="0.25">
      <c r="P299" s="18">
        <v>298</v>
      </c>
      <c r="Q299" s="50">
        <v>85.417500000000004</v>
      </c>
      <c r="R299" s="50">
        <v>0</v>
      </c>
      <c r="S299" s="50">
        <v>4.9654999999999996</v>
      </c>
      <c r="T299" s="46">
        <v>4.9654999999999996</v>
      </c>
    </row>
    <row r="300" spans="16:20" x14ac:dyDescent="0.25">
      <c r="P300" s="18">
        <v>299</v>
      </c>
      <c r="Q300" s="50">
        <v>80.427899999999994</v>
      </c>
      <c r="R300" s="50">
        <v>0</v>
      </c>
      <c r="S300" s="50">
        <v>6.6344000000000003</v>
      </c>
      <c r="T300" s="46">
        <v>6.6344000000000003</v>
      </c>
    </row>
    <row r="301" spans="16:20" x14ac:dyDescent="0.25">
      <c r="P301" s="18">
        <v>300</v>
      </c>
      <c r="Q301" s="50">
        <v>136.02950000000001</v>
      </c>
      <c r="R301" s="50">
        <v>136.02950000000001</v>
      </c>
      <c r="S301" s="50">
        <v>138.1977</v>
      </c>
      <c r="T301" s="46">
        <v>2.1682000000000001</v>
      </c>
    </row>
    <row r="302" spans="16:20" x14ac:dyDescent="0.25">
      <c r="P302" s="18">
        <v>301</v>
      </c>
      <c r="Q302" s="50">
        <v>156.0076</v>
      </c>
      <c r="R302" s="50">
        <v>156.0076</v>
      </c>
      <c r="S302" s="50">
        <v>168.24809999999999</v>
      </c>
      <c r="T302" s="46">
        <v>12.240500000000001</v>
      </c>
    </row>
    <row r="303" spans="16:20" x14ac:dyDescent="0.25">
      <c r="P303" s="18">
        <v>302</v>
      </c>
      <c r="Q303" s="50">
        <v>129.91149999999999</v>
      </c>
      <c r="R303" s="50">
        <v>129.91149999999999</v>
      </c>
      <c r="S303" s="50">
        <v>130.2501</v>
      </c>
      <c r="T303" s="46">
        <v>0.33860000000000001</v>
      </c>
    </row>
    <row r="304" spans="16:20" x14ac:dyDescent="0.25">
      <c r="P304" s="18">
        <v>303</v>
      </c>
      <c r="Q304" s="50">
        <v>86.362700000000004</v>
      </c>
      <c r="R304" s="50">
        <v>0</v>
      </c>
      <c r="S304" s="50">
        <v>15.3428</v>
      </c>
      <c r="T304" s="46">
        <v>15.3428</v>
      </c>
    </row>
    <row r="305" spans="16:20" x14ac:dyDescent="0.25">
      <c r="P305" s="18">
        <v>304</v>
      </c>
      <c r="Q305" s="50">
        <v>109.9692</v>
      </c>
      <c r="R305" s="50">
        <v>109.9692</v>
      </c>
      <c r="S305" s="50">
        <v>96.606899999999996</v>
      </c>
      <c r="T305" s="46">
        <v>-13.362299999999999</v>
      </c>
    </row>
    <row r="306" spans="16:20" x14ac:dyDescent="0.25">
      <c r="P306" s="18">
        <v>305</v>
      </c>
      <c r="Q306" s="50">
        <v>100.64919999999999</v>
      </c>
      <c r="R306" s="50">
        <v>100.64919999999999</v>
      </c>
      <c r="S306" s="50">
        <v>60.5914</v>
      </c>
      <c r="T306" s="46">
        <v>-40.0578</v>
      </c>
    </row>
    <row r="307" spans="16:20" x14ac:dyDescent="0.25">
      <c r="P307" s="18">
        <v>306</v>
      </c>
      <c r="Q307" s="50">
        <v>66.807699999999997</v>
      </c>
      <c r="R307" s="50">
        <v>0</v>
      </c>
      <c r="S307" s="50">
        <v>3.8368000000000002</v>
      </c>
      <c r="T307" s="46">
        <v>3.8368000000000002</v>
      </c>
    </row>
    <row r="308" spans="16:20" x14ac:dyDescent="0.25">
      <c r="P308" s="18">
        <v>307</v>
      </c>
      <c r="Q308" s="50">
        <v>124.0968</v>
      </c>
      <c r="R308" s="50">
        <v>124.0968</v>
      </c>
      <c r="S308" s="50">
        <v>115.1635</v>
      </c>
      <c r="T308" s="46">
        <v>-8.9332999999999991</v>
      </c>
    </row>
    <row r="309" spans="16:20" x14ac:dyDescent="0.25">
      <c r="P309" s="18">
        <v>308</v>
      </c>
      <c r="Q309" s="50">
        <v>99.782799999999995</v>
      </c>
      <c r="R309" s="50">
        <v>0</v>
      </c>
      <c r="S309" s="50">
        <v>58.959099999999999</v>
      </c>
      <c r="T309" s="46">
        <v>58.959099999999999</v>
      </c>
    </row>
    <row r="310" spans="16:20" x14ac:dyDescent="0.25">
      <c r="P310" s="18">
        <v>309</v>
      </c>
      <c r="Q310" s="50">
        <v>174.79589999999999</v>
      </c>
      <c r="R310" s="50">
        <v>174.79589999999999</v>
      </c>
      <c r="S310" s="50">
        <v>179.76169999999999</v>
      </c>
      <c r="T310" s="46">
        <v>4.9657999999999998</v>
      </c>
    </row>
    <row r="311" spans="16:20" x14ac:dyDescent="0.25">
      <c r="P311" s="18">
        <v>310</v>
      </c>
      <c r="Q311" s="50">
        <v>98.053100000000001</v>
      </c>
      <c r="R311" s="50">
        <v>0</v>
      </c>
      <c r="S311" s="50">
        <v>54.248800000000003</v>
      </c>
      <c r="T311" s="46">
        <v>54.248800000000003</v>
      </c>
    </row>
    <row r="312" spans="16:20" x14ac:dyDescent="0.25">
      <c r="P312" s="18">
        <v>311</v>
      </c>
      <c r="Q312" s="50">
        <v>71.720600000000005</v>
      </c>
      <c r="R312" s="50">
        <v>0</v>
      </c>
      <c r="S312" s="50">
        <v>7.8215000000000003</v>
      </c>
      <c r="T312" s="46">
        <v>7.8215000000000003</v>
      </c>
    </row>
    <row r="313" spans="16:20" x14ac:dyDescent="0.25">
      <c r="P313" s="18">
        <v>312</v>
      </c>
      <c r="Q313" s="50">
        <v>127.39019999999999</v>
      </c>
      <c r="R313" s="50">
        <v>127.39019999999999</v>
      </c>
      <c r="S313" s="50">
        <v>142.69210000000001</v>
      </c>
      <c r="T313" s="46">
        <v>15.3019</v>
      </c>
    </row>
    <row r="314" spans="16:20" x14ac:dyDescent="0.25">
      <c r="P314" s="18">
        <v>313</v>
      </c>
      <c r="Q314" s="50">
        <v>84.472399999999993</v>
      </c>
      <c r="R314" s="50">
        <v>0</v>
      </c>
      <c r="S314" s="50">
        <v>13.054600000000001</v>
      </c>
      <c r="T314" s="46">
        <v>13.054600000000001</v>
      </c>
    </row>
    <row r="315" spans="16:20" x14ac:dyDescent="0.25">
      <c r="P315" s="18">
        <v>314</v>
      </c>
      <c r="Q315" s="50">
        <v>128.95240000000001</v>
      </c>
      <c r="R315" s="50">
        <v>128.95240000000001</v>
      </c>
      <c r="S315" s="50">
        <v>124.23350000000001</v>
      </c>
      <c r="T315" s="46">
        <v>-4.7188999999999997</v>
      </c>
    </row>
    <row r="316" spans="16:20" x14ac:dyDescent="0.25">
      <c r="P316" s="18">
        <v>315</v>
      </c>
      <c r="Q316" s="50">
        <v>123.30200000000001</v>
      </c>
      <c r="R316" s="50">
        <v>123.30200000000001</v>
      </c>
      <c r="S316" s="50">
        <v>123.9914</v>
      </c>
      <c r="T316" s="46">
        <v>0.68940000000000001</v>
      </c>
    </row>
    <row r="317" spans="16:20" x14ac:dyDescent="0.25">
      <c r="P317" s="18">
        <v>316</v>
      </c>
      <c r="Q317" s="50">
        <v>66.716499999999996</v>
      </c>
      <c r="R317" s="50">
        <v>0</v>
      </c>
      <c r="S317" s="50">
        <v>-1.2894000000000001</v>
      </c>
      <c r="T317" s="46">
        <v>-1.2894000000000001</v>
      </c>
    </row>
    <row r="318" spans="16:20" x14ac:dyDescent="0.25">
      <c r="P318" s="18">
        <v>317</v>
      </c>
      <c r="Q318" s="50">
        <v>76.077799999999996</v>
      </c>
      <c r="R318" s="50">
        <v>0</v>
      </c>
      <c r="S318" s="50">
        <v>5.9156000000000004</v>
      </c>
      <c r="T318" s="46">
        <v>5.9156000000000004</v>
      </c>
    </row>
    <row r="319" spans="16:20" x14ac:dyDescent="0.25">
      <c r="P319" s="18">
        <v>318</v>
      </c>
      <c r="Q319" s="50">
        <v>111.85080000000001</v>
      </c>
      <c r="R319" s="50">
        <v>111.85080000000001</v>
      </c>
      <c r="S319" s="50">
        <v>93.538899999999998</v>
      </c>
      <c r="T319" s="46">
        <v>-18.311800000000002</v>
      </c>
    </row>
    <row r="320" spans="16:20" x14ac:dyDescent="0.25">
      <c r="P320" s="18">
        <v>319</v>
      </c>
      <c r="Q320" s="50">
        <v>119.07089999999999</v>
      </c>
      <c r="R320" s="50">
        <v>119.07089999999999</v>
      </c>
      <c r="S320" s="50">
        <v>115.6448</v>
      </c>
      <c r="T320" s="46">
        <v>-3.4262000000000001</v>
      </c>
    </row>
    <row r="321" spans="16:20" x14ac:dyDescent="0.25">
      <c r="P321" s="18">
        <v>320</v>
      </c>
      <c r="Q321" s="50">
        <v>110.3271</v>
      </c>
      <c r="R321" s="50">
        <v>110.3271</v>
      </c>
      <c r="S321" s="50">
        <v>120.55549999999999</v>
      </c>
      <c r="T321" s="46">
        <v>10.228400000000001</v>
      </c>
    </row>
    <row r="322" spans="16:20" x14ac:dyDescent="0.25">
      <c r="P322" s="18">
        <v>321</v>
      </c>
      <c r="Q322" s="50">
        <v>252.9974</v>
      </c>
      <c r="R322" s="50">
        <v>252.9974</v>
      </c>
      <c r="S322" s="50">
        <v>258.42680000000001</v>
      </c>
      <c r="T322" s="46">
        <v>5.4294000000000002</v>
      </c>
    </row>
    <row r="323" spans="16:20" x14ac:dyDescent="0.25">
      <c r="P323" s="18">
        <v>322</v>
      </c>
      <c r="Q323" s="50">
        <v>151.42189999999999</v>
      </c>
      <c r="R323" s="50">
        <v>151.42189999999999</v>
      </c>
      <c r="S323" s="50">
        <v>156.8449</v>
      </c>
      <c r="T323" s="46">
        <v>5.423</v>
      </c>
    </row>
    <row r="324" spans="16:20" x14ac:dyDescent="0.25">
      <c r="P324" s="18">
        <v>323</v>
      </c>
      <c r="Q324" s="50">
        <v>73.471999999999994</v>
      </c>
      <c r="R324" s="50">
        <v>0</v>
      </c>
      <c r="S324" s="50">
        <v>1.6364000000000001</v>
      </c>
      <c r="T324" s="46">
        <v>1.6364000000000001</v>
      </c>
    </row>
    <row r="325" spans="16:20" x14ac:dyDescent="0.25">
      <c r="P325" s="18">
        <v>324</v>
      </c>
      <c r="Q325" s="50">
        <v>129.77269999999999</v>
      </c>
      <c r="R325" s="50">
        <v>129.77269999999999</v>
      </c>
      <c r="S325" s="50">
        <v>115.60169999999999</v>
      </c>
      <c r="T325" s="46">
        <v>-14.171099999999999</v>
      </c>
    </row>
    <row r="326" spans="16:20" x14ac:dyDescent="0.25">
      <c r="P326" s="18">
        <v>325</v>
      </c>
      <c r="Q326" s="50">
        <v>76.733400000000003</v>
      </c>
      <c r="R326" s="50">
        <v>0</v>
      </c>
      <c r="S326" s="50">
        <v>-1.621</v>
      </c>
      <c r="T326" s="46">
        <v>-1.621</v>
      </c>
    </row>
    <row r="327" spans="16:20" x14ac:dyDescent="0.25">
      <c r="P327" s="18">
        <v>326</v>
      </c>
      <c r="Q327" s="50">
        <v>100.48009999999999</v>
      </c>
      <c r="R327" s="50">
        <v>100.48009999999999</v>
      </c>
      <c r="S327" s="50">
        <v>52.434399999999997</v>
      </c>
      <c r="T327" s="46">
        <v>-48.045699999999997</v>
      </c>
    </row>
    <row r="328" spans="16:20" x14ac:dyDescent="0.25">
      <c r="P328" s="18">
        <v>327</v>
      </c>
      <c r="Q328" s="50">
        <v>97.197800000000001</v>
      </c>
      <c r="R328" s="50">
        <v>0</v>
      </c>
      <c r="S328" s="50">
        <v>42.522799999999997</v>
      </c>
      <c r="T328" s="46">
        <v>42.522799999999997</v>
      </c>
    </row>
    <row r="329" spans="16:20" x14ac:dyDescent="0.25">
      <c r="P329" s="18">
        <v>328</v>
      </c>
      <c r="Q329" s="50">
        <v>100.87309999999999</v>
      </c>
      <c r="R329" s="50">
        <v>100.87309999999999</v>
      </c>
      <c r="S329" s="50">
        <v>53.021900000000002</v>
      </c>
      <c r="T329" s="46">
        <v>-47.851199999999999</v>
      </c>
    </row>
    <row r="330" spans="16:20" x14ac:dyDescent="0.25">
      <c r="P330" s="18">
        <v>329</v>
      </c>
      <c r="Q330" s="50">
        <v>91.104200000000006</v>
      </c>
      <c r="R330" s="50">
        <v>0</v>
      </c>
      <c r="S330" s="50">
        <v>25.965800000000002</v>
      </c>
      <c r="T330" s="46">
        <v>25.965800000000002</v>
      </c>
    </row>
    <row r="331" spans="16:20" x14ac:dyDescent="0.25">
      <c r="P331" s="18">
        <v>330</v>
      </c>
      <c r="Q331" s="50">
        <v>59.067</v>
      </c>
      <c r="R331" s="50">
        <v>0</v>
      </c>
      <c r="S331" s="50">
        <v>-4.0077999999999996</v>
      </c>
      <c r="T331" s="46">
        <v>-4.0077999999999996</v>
      </c>
    </row>
    <row r="332" spans="16:20" x14ac:dyDescent="0.25">
      <c r="P332" s="18">
        <v>331</v>
      </c>
      <c r="Q332" s="50">
        <v>83.042900000000003</v>
      </c>
      <c r="R332" s="50">
        <v>0</v>
      </c>
      <c r="S332" s="50">
        <v>-1.09E-2</v>
      </c>
      <c r="T332" s="46">
        <v>-1.09E-2</v>
      </c>
    </row>
    <row r="333" spans="16:20" x14ac:dyDescent="0.25">
      <c r="P333" s="18">
        <v>332</v>
      </c>
      <c r="Q333" s="50">
        <v>121.80029999999999</v>
      </c>
      <c r="R333" s="50">
        <v>121.80029999999999</v>
      </c>
      <c r="S333" s="50">
        <v>118.3663</v>
      </c>
      <c r="T333" s="46">
        <v>-3.4340000000000002</v>
      </c>
    </row>
    <row r="334" spans="16:20" x14ac:dyDescent="0.25">
      <c r="P334" s="18">
        <v>333</v>
      </c>
      <c r="Q334" s="50">
        <v>57.674500000000002</v>
      </c>
      <c r="R334" s="50">
        <v>0</v>
      </c>
      <c r="S334" s="50">
        <v>2.2101999999999999</v>
      </c>
      <c r="T334" s="46">
        <v>2.2101999999999999</v>
      </c>
    </row>
    <row r="335" spans="16:20" x14ac:dyDescent="0.25">
      <c r="P335" s="18">
        <v>334</v>
      </c>
      <c r="Q335" s="50">
        <v>66.701599999999999</v>
      </c>
      <c r="R335" s="50">
        <v>0</v>
      </c>
      <c r="S335" s="50">
        <v>-2.7597999999999998</v>
      </c>
      <c r="T335" s="46">
        <v>-2.7597999999999998</v>
      </c>
    </row>
    <row r="336" spans="16:20" x14ac:dyDescent="0.25">
      <c r="P336" s="18">
        <v>335</v>
      </c>
      <c r="Q336" s="50">
        <v>117.21729999999999</v>
      </c>
      <c r="R336" s="50">
        <v>117.21729999999999</v>
      </c>
      <c r="S336" s="50">
        <v>115.3977</v>
      </c>
      <c r="T336" s="46">
        <v>-1.8196000000000001</v>
      </c>
    </row>
    <row r="337" spans="16:20" x14ac:dyDescent="0.25">
      <c r="P337" s="18">
        <v>336</v>
      </c>
      <c r="Q337" s="50">
        <v>102.538</v>
      </c>
      <c r="R337" s="50">
        <v>102.538</v>
      </c>
      <c r="S337" s="50">
        <v>59.188000000000002</v>
      </c>
      <c r="T337" s="46">
        <v>-43.350099999999998</v>
      </c>
    </row>
    <row r="338" spans="16:20" x14ac:dyDescent="0.25">
      <c r="P338" s="18">
        <v>337</v>
      </c>
      <c r="Q338" s="50">
        <v>66.778999999999996</v>
      </c>
      <c r="R338" s="50">
        <v>0</v>
      </c>
      <c r="S338" s="50">
        <v>-1.1415</v>
      </c>
      <c r="T338" s="46">
        <v>-1.1415</v>
      </c>
    </row>
    <row r="339" spans="16:20" x14ac:dyDescent="0.25">
      <c r="P339" s="18">
        <v>338</v>
      </c>
      <c r="Q339" s="50">
        <v>96.759600000000006</v>
      </c>
      <c r="R339" s="50">
        <v>0</v>
      </c>
      <c r="S339" s="50">
        <v>38.746000000000002</v>
      </c>
      <c r="T339" s="46">
        <v>38.746000000000002</v>
      </c>
    </row>
    <row r="340" spans="16:20" x14ac:dyDescent="0.25">
      <c r="P340" s="18">
        <v>339</v>
      </c>
      <c r="Q340" s="50">
        <v>62.647500000000001</v>
      </c>
      <c r="R340" s="50">
        <v>0</v>
      </c>
      <c r="S340" s="50">
        <v>-0.88549999999999995</v>
      </c>
      <c r="T340" s="46">
        <v>-0.88549999999999995</v>
      </c>
    </row>
    <row r="341" spans="16:20" x14ac:dyDescent="0.25">
      <c r="P341" s="18">
        <v>340</v>
      </c>
      <c r="Q341" s="50">
        <v>75.797499999999999</v>
      </c>
      <c r="R341" s="50">
        <v>0</v>
      </c>
      <c r="S341" s="50">
        <v>-10.3315</v>
      </c>
      <c r="T341" s="46">
        <v>-10.3315</v>
      </c>
    </row>
    <row r="342" spans="16:20" x14ac:dyDescent="0.25">
      <c r="P342" s="18">
        <v>341</v>
      </c>
      <c r="Q342" s="50">
        <v>147.00200000000001</v>
      </c>
      <c r="R342" s="50">
        <v>147.00200000000001</v>
      </c>
      <c r="S342" s="50">
        <v>148.85429999999999</v>
      </c>
      <c r="T342" s="46">
        <v>1.8523000000000001</v>
      </c>
    </row>
    <row r="343" spans="16:20" x14ac:dyDescent="0.25">
      <c r="P343" s="18">
        <v>342</v>
      </c>
      <c r="Q343" s="50">
        <v>88.860500000000002</v>
      </c>
      <c r="R343" s="50">
        <v>0</v>
      </c>
      <c r="S343" s="50">
        <v>18.467700000000001</v>
      </c>
      <c r="T343" s="46">
        <v>18.467700000000001</v>
      </c>
    </row>
    <row r="344" spans="16:20" x14ac:dyDescent="0.25">
      <c r="P344" s="18">
        <v>343</v>
      </c>
      <c r="Q344" s="50">
        <v>100.0592</v>
      </c>
      <c r="R344" s="50">
        <v>97.630700000000004</v>
      </c>
      <c r="S344" s="50">
        <v>49.924399999999999</v>
      </c>
      <c r="T344" s="46">
        <v>-47.706299999999999</v>
      </c>
    </row>
    <row r="345" spans="16:20" x14ac:dyDescent="0.25">
      <c r="P345" s="18">
        <v>344</v>
      </c>
      <c r="Q345" s="50">
        <v>96.513800000000003</v>
      </c>
      <c r="R345" s="50">
        <v>0</v>
      </c>
      <c r="S345" s="50">
        <v>11.378500000000001</v>
      </c>
      <c r="T345" s="46">
        <v>11.378500000000001</v>
      </c>
    </row>
    <row r="346" spans="16:20" x14ac:dyDescent="0.25">
      <c r="P346" s="18">
        <v>345</v>
      </c>
      <c r="Q346" s="50">
        <v>93.793599999999998</v>
      </c>
      <c r="R346" s="50">
        <v>0</v>
      </c>
      <c r="S346" s="50">
        <v>23.6035</v>
      </c>
      <c r="T346" s="46">
        <v>23.6035</v>
      </c>
    </row>
    <row r="347" spans="16:20" x14ac:dyDescent="0.25">
      <c r="P347" s="18">
        <v>346</v>
      </c>
      <c r="Q347" s="50">
        <v>115.616</v>
      </c>
      <c r="R347" s="50">
        <v>115.616</v>
      </c>
      <c r="S347" s="50">
        <v>98.000900000000001</v>
      </c>
      <c r="T347" s="46">
        <v>-17.615100000000002</v>
      </c>
    </row>
    <row r="348" spans="16:20" x14ac:dyDescent="0.25">
      <c r="P348" s="18">
        <v>347</v>
      </c>
      <c r="Q348" s="50">
        <v>129.33920000000001</v>
      </c>
      <c r="R348" s="50">
        <v>129.33920000000001</v>
      </c>
      <c r="S348" s="50">
        <v>135.35919999999999</v>
      </c>
      <c r="T348" s="46">
        <v>6.02</v>
      </c>
    </row>
    <row r="349" spans="16:20" x14ac:dyDescent="0.25">
      <c r="P349" s="18">
        <v>348</v>
      </c>
      <c r="Q349" s="50">
        <v>81.284400000000005</v>
      </c>
      <c r="R349" s="50">
        <v>0</v>
      </c>
      <c r="S349" s="50">
        <v>2.5072999999999999</v>
      </c>
      <c r="T349" s="46">
        <v>2.5072999999999999</v>
      </c>
    </row>
    <row r="350" spans="16:20" x14ac:dyDescent="0.25">
      <c r="P350" s="18">
        <v>349</v>
      </c>
      <c r="Q350" s="50">
        <v>86.134299999999996</v>
      </c>
      <c r="R350" s="50">
        <v>0</v>
      </c>
      <c r="S350" s="50">
        <v>16.358699999999999</v>
      </c>
      <c r="T350" s="46">
        <v>16.358699999999999</v>
      </c>
    </row>
    <row r="351" spans="16:20" x14ac:dyDescent="0.25">
      <c r="P351" s="18">
        <v>350</v>
      </c>
      <c r="Q351" s="50">
        <v>100.30929999999999</v>
      </c>
      <c r="R351" s="50">
        <v>100.30929999999999</v>
      </c>
      <c r="S351" s="50">
        <v>34.736499999999999</v>
      </c>
      <c r="T351" s="46">
        <v>-65.572699999999998</v>
      </c>
    </row>
    <row r="352" spans="16:20" x14ac:dyDescent="0.25">
      <c r="P352" s="18">
        <v>351</v>
      </c>
      <c r="Q352" s="50">
        <v>75.280600000000007</v>
      </c>
      <c r="R352" s="50">
        <v>0</v>
      </c>
      <c r="S352" s="50">
        <v>4.7313000000000001</v>
      </c>
      <c r="T352" s="46">
        <v>4.7313000000000001</v>
      </c>
    </row>
    <row r="353" spans="16:20" x14ac:dyDescent="0.25">
      <c r="P353" s="18">
        <v>352</v>
      </c>
      <c r="Q353" s="50">
        <v>83.287700000000001</v>
      </c>
      <c r="R353" s="50">
        <v>0</v>
      </c>
      <c r="S353" s="50">
        <v>-25.335699999999999</v>
      </c>
      <c r="T353" s="46">
        <v>-25.335699999999999</v>
      </c>
    </row>
    <row r="354" spans="16:20" x14ac:dyDescent="0.25">
      <c r="P354" s="18">
        <v>353</v>
      </c>
      <c r="Q354" s="50">
        <v>137.63159999999999</v>
      </c>
      <c r="R354" s="50">
        <v>137.63159999999999</v>
      </c>
      <c r="S354" s="50">
        <v>143.7953</v>
      </c>
      <c r="T354" s="46">
        <v>6.1637000000000004</v>
      </c>
    </row>
    <row r="355" spans="16:20" x14ac:dyDescent="0.25">
      <c r="P355" s="18">
        <v>354</v>
      </c>
      <c r="Q355" s="50">
        <v>91.939300000000003</v>
      </c>
      <c r="R355" s="50">
        <v>0</v>
      </c>
      <c r="S355" s="50">
        <v>9.2484000000000002</v>
      </c>
      <c r="T355" s="46">
        <v>9.2484000000000002</v>
      </c>
    </row>
    <row r="356" spans="16:20" x14ac:dyDescent="0.25">
      <c r="P356" s="18">
        <v>355</v>
      </c>
      <c r="Q356" s="50">
        <v>73.013800000000003</v>
      </c>
      <c r="R356" s="50">
        <v>0</v>
      </c>
      <c r="S356" s="50">
        <v>3.8123</v>
      </c>
      <c r="T356" s="46">
        <v>3.8123</v>
      </c>
    </row>
    <row r="357" spans="16:20" x14ac:dyDescent="0.25">
      <c r="P357" s="18">
        <v>356</v>
      </c>
      <c r="Q357" s="50">
        <v>98.7393</v>
      </c>
      <c r="R357" s="50">
        <v>0</v>
      </c>
      <c r="S357" s="50">
        <v>30.286999999999999</v>
      </c>
      <c r="T357" s="46">
        <v>30.286999999999999</v>
      </c>
    </row>
    <row r="358" spans="16:20" x14ac:dyDescent="0.25">
      <c r="P358" s="18">
        <v>357</v>
      </c>
      <c r="Q358" s="50">
        <v>114.5966</v>
      </c>
      <c r="R358" s="50">
        <v>114.5966</v>
      </c>
      <c r="S358" s="50">
        <v>108.569</v>
      </c>
      <c r="T358" s="46">
        <v>-6.0275999999999996</v>
      </c>
    </row>
    <row r="359" spans="16:20" x14ac:dyDescent="0.25">
      <c r="P359" s="18">
        <v>358</v>
      </c>
      <c r="Q359" s="50">
        <v>82.987200000000001</v>
      </c>
      <c r="R359" s="50">
        <v>0</v>
      </c>
      <c r="S359" s="50">
        <v>-11.0123</v>
      </c>
      <c r="T359" s="46">
        <v>-11.0123</v>
      </c>
    </row>
    <row r="360" spans="16:20" x14ac:dyDescent="0.25">
      <c r="P360" s="18">
        <v>359</v>
      </c>
      <c r="Q360" s="50">
        <v>95.836699999999993</v>
      </c>
      <c r="R360" s="50">
        <v>0</v>
      </c>
      <c r="S360" s="50">
        <v>42.367600000000003</v>
      </c>
      <c r="T360" s="46">
        <v>42.367600000000003</v>
      </c>
    </row>
    <row r="361" spans="16:20" x14ac:dyDescent="0.25">
      <c r="P361" s="18">
        <v>360</v>
      </c>
      <c r="Q361" s="50">
        <v>105.3274</v>
      </c>
      <c r="R361" s="50">
        <v>105.3274</v>
      </c>
      <c r="S361" s="50">
        <v>83.103700000000003</v>
      </c>
      <c r="T361" s="46">
        <v>-22.223700000000001</v>
      </c>
    </row>
    <row r="362" spans="16:20" x14ac:dyDescent="0.25">
      <c r="P362" s="18">
        <v>361</v>
      </c>
      <c r="Q362" s="50">
        <v>66.857500000000002</v>
      </c>
      <c r="R362" s="50">
        <v>0</v>
      </c>
      <c r="S362" s="50">
        <v>-0.82189999999999996</v>
      </c>
      <c r="T362" s="46">
        <v>-0.82189999999999996</v>
      </c>
    </row>
    <row r="363" spans="16:20" x14ac:dyDescent="0.25">
      <c r="P363" s="18">
        <v>362</v>
      </c>
      <c r="Q363" s="50">
        <v>96.597099999999998</v>
      </c>
      <c r="R363" s="50">
        <v>0</v>
      </c>
      <c r="S363" s="50">
        <v>31.3186</v>
      </c>
      <c r="T363" s="46">
        <v>31.3186</v>
      </c>
    </row>
    <row r="364" spans="16:20" x14ac:dyDescent="0.25">
      <c r="P364" s="18">
        <v>363</v>
      </c>
      <c r="Q364" s="50">
        <v>111.2129</v>
      </c>
      <c r="R364" s="50">
        <v>111.2129</v>
      </c>
      <c r="S364" s="50">
        <v>103.4427</v>
      </c>
      <c r="T364" s="46">
        <v>-7.7702</v>
      </c>
    </row>
    <row r="365" spans="16:20" x14ac:dyDescent="0.25">
      <c r="P365" s="18">
        <v>364</v>
      </c>
      <c r="Q365" s="50">
        <v>49.368099999999998</v>
      </c>
      <c r="R365" s="50">
        <v>0</v>
      </c>
      <c r="S365" s="50">
        <v>2.762</v>
      </c>
      <c r="T365" s="46">
        <v>2.762</v>
      </c>
    </row>
    <row r="366" spans="16:20" x14ac:dyDescent="0.25">
      <c r="P366" s="18">
        <v>365</v>
      </c>
      <c r="Q366" s="50">
        <v>155.43950000000001</v>
      </c>
      <c r="R366" s="50">
        <v>155.43950000000001</v>
      </c>
      <c r="S366" s="50">
        <v>151.44030000000001</v>
      </c>
      <c r="T366" s="46">
        <v>-3.9992999999999999</v>
      </c>
    </row>
    <row r="367" spans="16:20" x14ac:dyDescent="0.25">
      <c r="P367" s="18">
        <v>366</v>
      </c>
      <c r="Q367" s="50">
        <v>87.398200000000003</v>
      </c>
      <c r="R367" s="50">
        <v>0</v>
      </c>
      <c r="S367" s="50">
        <v>10.1198</v>
      </c>
      <c r="T367" s="46">
        <v>10.1198</v>
      </c>
    </row>
    <row r="368" spans="16:20" x14ac:dyDescent="0.25">
      <c r="P368" s="18">
        <v>367</v>
      </c>
      <c r="Q368" s="50">
        <v>60.416400000000003</v>
      </c>
      <c r="R368" s="50">
        <v>0</v>
      </c>
      <c r="S368" s="50">
        <v>-2.5196999999999998</v>
      </c>
      <c r="T368" s="46">
        <v>-2.5196999999999998</v>
      </c>
    </row>
    <row r="369" spans="16:20" x14ac:dyDescent="0.25">
      <c r="P369" s="18">
        <v>368</v>
      </c>
      <c r="Q369" s="50">
        <v>109.3099</v>
      </c>
      <c r="R369" s="50">
        <v>109.3099</v>
      </c>
      <c r="S369" s="50">
        <v>89.594200000000001</v>
      </c>
      <c r="T369" s="46">
        <v>-19.715800000000002</v>
      </c>
    </row>
    <row r="370" spans="16:20" x14ac:dyDescent="0.25">
      <c r="P370" s="18">
        <v>369</v>
      </c>
      <c r="Q370" s="50">
        <v>119.3515</v>
      </c>
      <c r="R370" s="50">
        <v>119.3515</v>
      </c>
      <c r="S370" s="50">
        <v>117.8494</v>
      </c>
      <c r="T370" s="46">
        <v>-1.5021</v>
      </c>
    </row>
    <row r="371" spans="16:20" x14ac:dyDescent="0.25">
      <c r="P371" s="18">
        <v>370</v>
      </c>
      <c r="Q371" s="50">
        <v>76.900700000000001</v>
      </c>
      <c r="R371" s="50">
        <v>0</v>
      </c>
      <c r="S371" s="50">
        <v>-1.498</v>
      </c>
      <c r="T371" s="46">
        <v>-1.498</v>
      </c>
    </row>
    <row r="372" spans="16:20" x14ac:dyDescent="0.25">
      <c r="P372" s="18">
        <v>371</v>
      </c>
      <c r="Q372" s="50">
        <v>143.77510000000001</v>
      </c>
      <c r="R372" s="50">
        <v>143.77510000000001</v>
      </c>
      <c r="S372" s="50">
        <v>159.0968</v>
      </c>
      <c r="T372" s="46">
        <v>15.3217</v>
      </c>
    </row>
    <row r="373" spans="16:20" x14ac:dyDescent="0.25">
      <c r="P373" s="18">
        <v>372</v>
      </c>
      <c r="Q373" s="50">
        <v>88.800899999999999</v>
      </c>
      <c r="R373" s="50">
        <v>0</v>
      </c>
      <c r="S373" s="50">
        <v>23.074200000000001</v>
      </c>
      <c r="T373" s="46">
        <v>23.074200000000001</v>
      </c>
    </row>
    <row r="374" spans="16:20" x14ac:dyDescent="0.25">
      <c r="P374" s="18">
        <v>373</v>
      </c>
      <c r="Q374" s="50">
        <v>99.890199999999993</v>
      </c>
      <c r="R374" s="50">
        <v>1.2500000000000001E-2</v>
      </c>
      <c r="S374" s="50">
        <v>62.587400000000002</v>
      </c>
      <c r="T374" s="46">
        <v>62.575000000000003</v>
      </c>
    </row>
    <row r="375" spans="16:20" x14ac:dyDescent="0.25">
      <c r="P375" s="18">
        <v>374</v>
      </c>
      <c r="Q375" s="50">
        <v>119.1769</v>
      </c>
      <c r="R375" s="50">
        <v>119.1769</v>
      </c>
      <c r="S375" s="50">
        <v>113.9867</v>
      </c>
      <c r="T375" s="46">
        <v>-5.1901999999999999</v>
      </c>
    </row>
    <row r="376" spans="16:20" x14ac:dyDescent="0.25">
      <c r="P376" s="18">
        <v>375</v>
      </c>
      <c r="Q376" s="50">
        <v>86.5321</v>
      </c>
      <c r="R376" s="50">
        <v>0</v>
      </c>
      <c r="S376" s="50">
        <v>2.8818000000000001</v>
      </c>
      <c r="T376" s="46">
        <v>2.8818000000000001</v>
      </c>
    </row>
    <row r="377" spans="16:20" x14ac:dyDescent="0.25">
      <c r="P377" s="18">
        <v>376</v>
      </c>
      <c r="Q377" s="50">
        <v>99.0608</v>
      </c>
      <c r="R377" s="50">
        <v>0</v>
      </c>
      <c r="S377" s="50">
        <v>58.016399999999997</v>
      </c>
      <c r="T377" s="46">
        <v>58.016399999999997</v>
      </c>
    </row>
    <row r="378" spans="16:20" x14ac:dyDescent="0.25">
      <c r="P378" s="18">
        <v>377</v>
      </c>
      <c r="Q378" s="50">
        <v>110.23820000000001</v>
      </c>
      <c r="R378" s="50">
        <v>110.23820000000001</v>
      </c>
      <c r="S378" s="50">
        <v>85.114199999999997</v>
      </c>
      <c r="T378" s="46">
        <v>-25.123999999999999</v>
      </c>
    </row>
    <row r="379" spans="16:20" x14ac:dyDescent="0.25">
      <c r="P379" s="18">
        <v>378</v>
      </c>
      <c r="Q379" s="50">
        <v>62.285800000000002</v>
      </c>
      <c r="R379" s="50">
        <v>0</v>
      </c>
      <c r="S379" s="50">
        <v>-4.2799999999999998E-2</v>
      </c>
      <c r="T379" s="46">
        <v>-4.2799999999999998E-2</v>
      </c>
    </row>
    <row r="380" spans="16:20" x14ac:dyDescent="0.25">
      <c r="P380" s="18">
        <v>379</v>
      </c>
      <c r="Q380" s="50">
        <v>97.153099999999995</v>
      </c>
      <c r="R380" s="50">
        <v>0</v>
      </c>
      <c r="S380" s="50">
        <v>42.887500000000003</v>
      </c>
      <c r="T380" s="46">
        <v>42.887500000000003</v>
      </c>
    </row>
    <row r="381" spans="16:20" x14ac:dyDescent="0.25">
      <c r="P381" s="18">
        <v>380</v>
      </c>
      <c r="Q381" s="50">
        <v>114.4449</v>
      </c>
      <c r="R381" s="50">
        <v>114.4449</v>
      </c>
      <c r="S381" s="50">
        <v>105.5677</v>
      </c>
      <c r="T381" s="46">
        <v>-8.8772000000000002</v>
      </c>
    </row>
    <row r="382" spans="16:20" x14ac:dyDescent="0.25">
      <c r="P382" s="18">
        <v>381</v>
      </c>
      <c r="Q382" s="50">
        <v>84.066699999999997</v>
      </c>
      <c r="R382" s="50">
        <v>0</v>
      </c>
      <c r="S382" s="50">
        <v>-0.65469999999999995</v>
      </c>
      <c r="T382" s="46">
        <v>-0.65469999999999995</v>
      </c>
    </row>
    <row r="383" spans="16:20" x14ac:dyDescent="0.25">
      <c r="P383" s="18">
        <v>382</v>
      </c>
      <c r="Q383" s="50">
        <v>123.8245</v>
      </c>
      <c r="R383" s="50">
        <v>123.8245</v>
      </c>
      <c r="S383" s="50">
        <v>123.1005</v>
      </c>
      <c r="T383" s="46">
        <v>-0.72399999999999998</v>
      </c>
    </row>
    <row r="384" spans="16:20" x14ac:dyDescent="0.25">
      <c r="P384" s="18">
        <v>383</v>
      </c>
      <c r="Q384" s="50">
        <v>84.137100000000004</v>
      </c>
      <c r="R384" s="50">
        <v>0</v>
      </c>
      <c r="S384" s="50">
        <v>10.260300000000001</v>
      </c>
      <c r="T384" s="46">
        <v>10.260300000000001</v>
      </c>
    </row>
    <row r="385" spans="16:20" x14ac:dyDescent="0.25">
      <c r="P385" s="18">
        <v>384</v>
      </c>
      <c r="Q385" s="50">
        <v>91.746600000000001</v>
      </c>
      <c r="R385" s="50">
        <v>0</v>
      </c>
      <c r="S385" s="50">
        <v>32.2515</v>
      </c>
      <c r="T385" s="46">
        <v>32.2515</v>
      </c>
    </row>
    <row r="386" spans="16:20" x14ac:dyDescent="0.25">
      <c r="P386" s="18">
        <v>385</v>
      </c>
      <c r="Q386" s="50">
        <v>109.1691</v>
      </c>
      <c r="R386" s="50">
        <v>109.1691</v>
      </c>
      <c r="S386" s="50">
        <v>90.758899999999997</v>
      </c>
      <c r="T386" s="46">
        <v>-18.4102</v>
      </c>
    </row>
    <row r="387" spans="16:20" x14ac:dyDescent="0.25">
      <c r="P387" s="18">
        <v>386</v>
      </c>
      <c r="Q387" s="50">
        <v>77.892399999999995</v>
      </c>
      <c r="R387" s="50">
        <v>0</v>
      </c>
      <c r="S387" s="50">
        <v>-12.748100000000001</v>
      </c>
      <c r="T387" s="46">
        <v>-12.748100000000001</v>
      </c>
    </row>
    <row r="388" spans="16:20" x14ac:dyDescent="0.25">
      <c r="P388" s="18">
        <v>387</v>
      </c>
      <c r="Q388" s="50">
        <v>87.033000000000001</v>
      </c>
      <c r="R388" s="50">
        <v>0</v>
      </c>
      <c r="S388" s="50">
        <v>20.672999999999998</v>
      </c>
      <c r="T388" s="46">
        <v>20.672999999999998</v>
      </c>
    </row>
    <row r="389" spans="16:20" x14ac:dyDescent="0.25">
      <c r="P389" s="18">
        <v>388</v>
      </c>
      <c r="Q389" s="50">
        <v>116.1545</v>
      </c>
      <c r="R389" s="50">
        <v>116.1545</v>
      </c>
      <c r="S389" s="50">
        <v>104.8105</v>
      </c>
      <c r="T389" s="46">
        <v>-11.343999999999999</v>
      </c>
    </row>
    <row r="390" spans="16:20" x14ac:dyDescent="0.25">
      <c r="P390" s="18">
        <v>389</v>
      </c>
      <c r="Q390" s="50">
        <v>154.57470000000001</v>
      </c>
      <c r="R390" s="50">
        <v>154.57470000000001</v>
      </c>
      <c r="S390" s="50">
        <v>154.57380000000001</v>
      </c>
      <c r="T390" s="46">
        <v>-8.9999999999999998E-4</v>
      </c>
    </row>
    <row r="391" spans="16:20" x14ac:dyDescent="0.25">
      <c r="P391" s="18">
        <v>390</v>
      </c>
      <c r="Q391" s="50">
        <v>102.18980000000001</v>
      </c>
      <c r="R391" s="50">
        <v>102.18980000000001</v>
      </c>
      <c r="S391" s="50">
        <v>55.320099999999996</v>
      </c>
      <c r="T391" s="46">
        <v>-46.869700000000002</v>
      </c>
    </row>
    <row r="392" spans="16:20" x14ac:dyDescent="0.25">
      <c r="P392" s="18">
        <v>391</v>
      </c>
      <c r="Q392" s="50">
        <v>71.542699999999996</v>
      </c>
      <c r="R392" s="50">
        <v>0</v>
      </c>
      <c r="S392" s="50">
        <v>-0.85270000000000001</v>
      </c>
      <c r="T392" s="46">
        <v>-0.85270000000000001</v>
      </c>
    </row>
    <row r="393" spans="16:20" x14ac:dyDescent="0.25">
      <c r="P393" s="18">
        <v>392</v>
      </c>
      <c r="Q393" s="50">
        <v>143.71729999999999</v>
      </c>
      <c r="R393" s="50">
        <v>143.71729999999999</v>
      </c>
      <c r="S393" s="50">
        <v>147.37280000000001</v>
      </c>
      <c r="T393" s="46">
        <v>3.6554000000000002</v>
      </c>
    </row>
    <row r="394" spans="16:20" x14ac:dyDescent="0.25">
      <c r="P394" s="18">
        <v>393</v>
      </c>
      <c r="Q394" s="50">
        <v>120.7146</v>
      </c>
      <c r="R394" s="50">
        <v>120.7146</v>
      </c>
      <c r="S394" s="50">
        <v>108.4126</v>
      </c>
      <c r="T394" s="46">
        <v>-12.302</v>
      </c>
    </row>
    <row r="395" spans="16:20" x14ac:dyDescent="0.25">
      <c r="P395" s="18">
        <v>394</v>
      </c>
      <c r="Q395" s="50">
        <v>72.531099999999995</v>
      </c>
      <c r="R395" s="50">
        <v>0</v>
      </c>
      <c r="S395" s="50">
        <v>1.1359999999999999</v>
      </c>
      <c r="T395" s="46">
        <v>1.1359999999999999</v>
      </c>
    </row>
    <row r="396" spans="16:20" x14ac:dyDescent="0.25">
      <c r="P396" s="18">
        <v>395</v>
      </c>
      <c r="Q396" s="50">
        <v>155.9221</v>
      </c>
      <c r="R396" s="50">
        <v>155.9221</v>
      </c>
      <c r="S396" s="50">
        <v>155.58840000000001</v>
      </c>
      <c r="T396" s="46">
        <v>-0.33379999999999999</v>
      </c>
    </row>
    <row r="397" spans="16:20" x14ac:dyDescent="0.25">
      <c r="P397" s="18">
        <v>396</v>
      </c>
      <c r="Q397" s="50">
        <v>84.199700000000007</v>
      </c>
      <c r="R397" s="50">
        <v>0</v>
      </c>
      <c r="S397" s="50">
        <v>5.0327999999999999</v>
      </c>
      <c r="T397" s="46">
        <v>5.0327999999999999</v>
      </c>
    </row>
    <row r="398" spans="16:20" x14ac:dyDescent="0.25">
      <c r="P398" s="18">
        <v>397</v>
      </c>
      <c r="Q398" s="50">
        <v>118.71259999999999</v>
      </c>
      <c r="R398" s="50">
        <v>118.71259999999999</v>
      </c>
      <c r="S398" s="50">
        <v>112.1484</v>
      </c>
      <c r="T398" s="46">
        <v>-6.5641999999999996</v>
      </c>
    </row>
    <row r="399" spans="16:20" x14ac:dyDescent="0.25">
      <c r="P399" s="18">
        <v>398</v>
      </c>
      <c r="Q399" s="50">
        <v>135.26519999999999</v>
      </c>
      <c r="R399" s="50">
        <v>135.26519999999999</v>
      </c>
      <c r="S399" s="50">
        <v>131.7612</v>
      </c>
      <c r="T399" s="46">
        <v>-3.5041000000000002</v>
      </c>
    </row>
    <row r="400" spans="16:20" x14ac:dyDescent="0.25">
      <c r="P400" s="18">
        <v>399</v>
      </c>
      <c r="Q400" s="50">
        <v>86.338399999999993</v>
      </c>
      <c r="R400" s="50">
        <v>0</v>
      </c>
      <c r="S400" s="50">
        <v>17.0471</v>
      </c>
      <c r="T400" s="46">
        <v>17.0471</v>
      </c>
    </row>
    <row r="401" spans="16:20" x14ac:dyDescent="0.25">
      <c r="P401" s="18">
        <v>400</v>
      </c>
      <c r="Q401" s="50">
        <v>82.684600000000003</v>
      </c>
      <c r="R401" s="50">
        <v>0</v>
      </c>
      <c r="S401" s="50">
        <v>14.8706</v>
      </c>
      <c r="T401" s="46">
        <v>14.8706</v>
      </c>
    </row>
    <row r="402" spans="16:20" x14ac:dyDescent="0.25">
      <c r="P402" s="18">
        <v>401</v>
      </c>
      <c r="Q402" s="50">
        <v>97.389200000000002</v>
      </c>
      <c r="R402" s="50">
        <v>0</v>
      </c>
      <c r="S402" s="50">
        <v>40.395899999999997</v>
      </c>
      <c r="T402" s="46">
        <v>40.395899999999997</v>
      </c>
    </row>
    <row r="403" spans="16:20" x14ac:dyDescent="0.25">
      <c r="P403" s="18">
        <v>402</v>
      </c>
      <c r="Q403" s="50">
        <v>161.45779999999999</v>
      </c>
      <c r="R403" s="50">
        <v>161.45779999999999</v>
      </c>
      <c r="S403" s="50">
        <v>167.6276</v>
      </c>
      <c r="T403" s="46">
        <v>6.1696999999999997</v>
      </c>
    </row>
    <row r="404" spans="16:20" x14ac:dyDescent="0.25">
      <c r="P404" s="18">
        <v>403</v>
      </c>
      <c r="Q404" s="50">
        <v>109.0034</v>
      </c>
      <c r="R404" s="50">
        <v>109.0034</v>
      </c>
      <c r="S404" s="50">
        <v>84.531599999999997</v>
      </c>
      <c r="T404" s="46">
        <v>-24.471800000000002</v>
      </c>
    </row>
    <row r="405" spans="16:20" x14ac:dyDescent="0.25">
      <c r="P405" s="18">
        <v>404</v>
      </c>
      <c r="Q405" s="50">
        <v>157.72800000000001</v>
      </c>
      <c r="R405" s="50">
        <v>157.72800000000001</v>
      </c>
      <c r="S405" s="50">
        <v>170.48939999999999</v>
      </c>
      <c r="T405" s="46">
        <v>12.7614</v>
      </c>
    </row>
    <row r="406" spans="16:20" x14ac:dyDescent="0.25">
      <c r="P406" s="18">
        <v>405</v>
      </c>
      <c r="Q406" s="50">
        <v>54.199800000000003</v>
      </c>
      <c r="R406" s="50">
        <v>0</v>
      </c>
      <c r="S406" s="50">
        <v>-2.0226000000000002</v>
      </c>
      <c r="T406" s="46">
        <v>-2.0226000000000002</v>
      </c>
    </row>
    <row r="407" spans="16:20" x14ac:dyDescent="0.25">
      <c r="P407" s="18">
        <v>406</v>
      </c>
      <c r="Q407" s="50">
        <v>85.654700000000005</v>
      </c>
      <c r="R407" s="50">
        <v>0</v>
      </c>
      <c r="S407" s="50">
        <v>15.4689</v>
      </c>
      <c r="T407" s="46">
        <v>15.4689</v>
      </c>
    </row>
    <row r="408" spans="16:20" x14ac:dyDescent="0.25">
      <c r="P408" s="18">
        <v>407</v>
      </c>
      <c r="Q408" s="50">
        <v>130.05770000000001</v>
      </c>
      <c r="R408" s="50">
        <v>130.05770000000001</v>
      </c>
      <c r="S408" s="50">
        <v>132.20519999999999</v>
      </c>
      <c r="T408" s="46">
        <v>2.1475</v>
      </c>
    </row>
    <row r="409" spans="16:20" x14ac:dyDescent="0.25">
      <c r="P409" s="18">
        <v>408</v>
      </c>
      <c r="Q409" s="50">
        <v>92.024199999999993</v>
      </c>
      <c r="R409" s="50">
        <v>0</v>
      </c>
      <c r="S409" s="50">
        <v>11.878299999999999</v>
      </c>
      <c r="T409" s="46">
        <v>11.878299999999999</v>
      </c>
    </row>
    <row r="410" spans="16:20" x14ac:dyDescent="0.25">
      <c r="P410" s="18">
        <v>409</v>
      </c>
      <c r="Q410" s="50">
        <v>95.750500000000002</v>
      </c>
      <c r="R410" s="50">
        <v>0</v>
      </c>
      <c r="S410" s="50">
        <v>44.180700000000002</v>
      </c>
      <c r="T410" s="46">
        <v>44.180700000000002</v>
      </c>
    </row>
    <row r="411" spans="16:20" x14ac:dyDescent="0.25">
      <c r="P411" s="18">
        <v>410</v>
      </c>
      <c r="Q411" s="50">
        <v>51.245199999999997</v>
      </c>
      <c r="R411" s="50">
        <v>0</v>
      </c>
      <c r="S411" s="50">
        <v>-4.6303999999999998</v>
      </c>
      <c r="T411" s="46">
        <v>-4.6303999999999998</v>
      </c>
    </row>
    <row r="412" spans="16:20" x14ac:dyDescent="0.25">
      <c r="P412" s="18">
        <v>411</v>
      </c>
      <c r="Q412" s="50">
        <v>70.628699999999995</v>
      </c>
      <c r="R412" s="50">
        <v>0</v>
      </c>
      <c r="S412" s="50">
        <v>2.3641999999999999</v>
      </c>
      <c r="T412" s="46">
        <v>2.3641999999999999</v>
      </c>
    </row>
    <row r="413" spans="16:20" x14ac:dyDescent="0.25">
      <c r="P413" s="18">
        <v>412</v>
      </c>
      <c r="Q413" s="50">
        <v>155.59690000000001</v>
      </c>
      <c r="R413" s="50">
        <v>155.59690000000001</v>
      </c>
      <c r="S413" s="50">
        <v>155.76660000000001</v>
      </c>
      <c r="T413" s="46">
        <v>0.16969999999999999</v>
      </c>
    </row>
    <row r="414" spans="16:20" x14ac:dyDescent="0.25">
      <c r="P414" s="18">
        <v>413</v>
      </c>
      <c r="Q414" s="50">
        <v>136.34800000000001</v>
      </c>
      <c r="R414" s="50">
        <v>136.34800000000001</v>
      </c>
      <c r="S414" s="50">
        <v>146.71019999999999</v>
      </c>
      <c r="T414" s="46">
        <v>10.3622</v>
      </c>
    </row>
    <row r="415" spans="16:20" x14ac:dyDescent="0.25">
      <c r="P415" s="18">
        <v>414</v>
      </c>
      <c r="Q415" s="50">
        <v>129.94</v>
      </c>
      <c r="R415" s="50">
        <v>129.94</v>
      </c>
      <c r="S415" s="50">
        <v>137.2636</v>
      </c>
      <c r="T415" s="46">
        <v>7.3235999999999999</v>
      </c>
    </row>
    <row r="416" spans="16:20" x14ac:dyDescent="0.25">
      <c r="P416" s="18">
        <v>415</v>
      </c>
      <c r="Q416" s="50">
        <v>103.7025</v>
      </c>
      <c r="R416" s="50">
        <v>103.7025</v>
      </c>
      <c r="S416" s="50">
        <v>73.651600000000002</v>
      </c>
      <c r="T416" s="46">
        <v>-30.050999999999998</v>
      </c>
    </row>
    <row r="417" spans="16:20" x14ac:dyDescent="0.25">
      <c r="P417" s="18">
        <v>416</v>
      </c>
      <c r="Q417" s="50">
        <v>123.0899</v>
      </c>
      <c r="R417" s="50">
        <v>123.0899</v>
      </c>
      <c r="S417" s="50">
        <v>129.6566</v>
      </c>
      <c r="T417" s="46">
        <v>6.5667</v>
      </c>
    </row>
    <row r="418" spans="16:20" x14ac:dyDescent="0.25">
      <c r="P418" s="18">
        <v>417</v>
      </c>
      <c r="Q418" s="50">
        <v>102.2017</v>
      </c>
      <c r="R418" s="50">
        <v>102.2017</v>
      </c>
      <c r="S418" s="50">
        <v>61.764899999999997</v>
      </c>
      <c r="T418" s="46">
        <v>-40.436799999999998</v>
      </c>
    </row>
    <row r="419" spans="16:20" x14ac:dyDescent="0.25">
      <c r="P419" s="18">
        <v>418</v>
      </c>
      <c r="Q419" s="50">
        <v>75.020099999999999</v>
      </c>
      <c r="R419" s="50">
        <v>0</v>
      </c>
      <c r="S419" s="50">
        <v>1.3813</v>
      </c>
      <c r="T419" s="46">
        <v>1.3813</v>
      </c>
    </row>
    <row r="420" spans="16:20" x14ac:dyDescent="0.25">
      <c r="P420" s="18">
        <v>419</v>
      </c>
      <c r="Q420" s="50">
        <v>91.845200000000006</v>
      </c>
      <c r="R420" s="50">
        <v>0</v>
      </c>
      <c r="S420" s="50">
        <v>14.3125</v>
      </c>
      <c r="T420" s="46">
        <v>14.3125</v>
      </c>
    </row>
    <row r="421" spans="16:20" x14ac:dyDescent="0.25">
      <c r="P421" s="18">
        <v>420</v>
      </c>
      <c r="Q421" s="50">
        <v>109.02290000000001</v>
      </c>
      <c r="R421" s="50">
        <v>109.02290000000001</v>
      </c>
      <c r="S421" s="50">
        <v>88.570599999999999</v>
      </c>
      <c r="T421" s="46">
        <v>-20.452300000000001</v>
      </c>
    </row>
    <row r="422" spans="16:20" x14ac:dyDescent="0.25">
      <c r="P422" s="18">
        <v>421</v>
      </c>
      <c r="Q422" s="50">
        <v>126.8458</v>
      </c>
      <c r="R422" s="50">
        <v>126.8458</v>
      </c>
      <c r="S422" s="50">
        <v>127.7647</v>
      </c>
      <c r="T422" s="46">
        <v>0.91879999999999995</v>
      </c>
    </row>
    <row r="423" spans="16:20" x14ac:dyDescent="0.25">
      <c r="P423" s="18">
        <v>422</v>
      </c>
      <c r="Q423" s="50">
        <v>178.75380000000001</v>
      </c>
      <c r="R423" s="50">
        <v>178.75380000000001</v>
      </c>
      <c r="S423" s="50">
        <v>181.42760000000001</v>
      </c>
      <c r="T423" s="46">
        <v>2.6737000000000002</v>
      </c>
    </row>
    <row r="424" spans="16:20" x14ac:dyDescent="0.25">
      <c r="P424" s="18">
        <v>423</v>
      </c>
      <c r="Q424" s="50">
        <v>129.8776</v>
      </c>
      <c r="R424" s="50">
        <v>129.8776</v>
      </c>
      <c r="S424" s="50">
        <v>149.09520000000001</v>
      </c>
      <c r="T424" s="46">
        <v>19.217600000000001</v>
      </c>
    </row>
    <row r="425" spans="16:20" x14ac:dyDescent="0.25">
      <c r="P425" s="18">
        <v>424</v>
      </c>
      <c r="Q425" s="50">
        <v>136.63550000000001</v>
      </c>
      <c r="R425" s="50">
        <v>136.63550000000001</v>
      </c>
      <c r="S425" s="50">
        <v>132.74090000000001</v>
      </c>
      <c r="T425" s="46">
        <v>-3.8946000000000001</v>
      </c>
    </row>
    <row r="426" spans="16:20" x14ac:dyDescent="0.25">
      <c r="P426" s="18">
        <v>425</v>
      </c>
      <c r="Q426" s="50">
        <v>168.2944</v>
      </c>
      <c r="R426" s="50">
        <v>168.2944</v>
      </c>
      <c r="S426" s="50">
        <v>173.04480000000001</v>
      </c>
      <c r="T426" s="46">
        <v>4.7504</v>
      </c>
    </row>
    <row r="427" spans="16:20" x14ac:dyDescent="0.25">
      <c r="P427" s="18">
        <v>426</v>
      </c>
      <c r="Q427" s="50">
        <v>102.32769999999999</v>
      </c>
      <c r="R427" s="50">
        <v>102.32769999999999</v>
      </c>
      <c r="S427" s="50">
        <v>59.957599999999999</v>
      </c>
      <c r="T427" s="46">
        <v>-42.370100000000001</v>
      </c>
    </row>
    <row r="428" spans="16:20" x14ac:dyDescent="0.25">
      <c r="P428" s="18">
        <v>427</v>
      </c>
      <c r="Q428" s="50">
        <v>73.242699999999999</v>
      </c>
      <c r="R428" s="50">
        <v>0</v>
      </c>
      <c r="S428" s="50">
        <v>0.96289999999999998</v>
      </c>
      <c r="T428" s="46">
        <v>0.96289999999999998</v>
      </c>
    </row>
    <row r="429" spans="16:20" x14ac:dyDescent="0.25">
      <c r="P429" s="18">
        <v>428</v>
      </c>
      <c r="Q429" s="50">
        <v>67.488699999999994</v>
      </c>
      <c r="R429" s="50">
        <v>0</v>
      </c>
      <c r="S429" s="50">
        <v>-1.5747</v>
      </c>
      <c r="T429" s="46">
        <v>-1.5747</v>
      </c>
    </row>
    <row r="430" spans="16:20" x14ac:dyDescent="0.25">
      <c r="P430" s="18">
        <v>429</v>
      </c>
      <c r="Q430" s="50">
        <v>127.15260000000001</v>
      </c>
      <c r="R430" s="50">
        <v>127.15260000000001</v>
      </c>
      <c r="S430" s="50">
        <v>115.53189999999999</v>
      </c>
      <c r="T430" s="46">
        <v>-11.620699999999999</v>
      </c>
    </row>
    <row r="431" spans="16:20" x14ac:dyDescent="0.25">
      <c r="P431" s="18">
        <v>430</v>
      </c>
      <c r="Q431" s="50">
        <v>74.560699999999997</v>
      </c>
      <c r="R431" s="50">
        <v>0</v>
      </c>
      <c r="S431" s="50">
        <v>3.7082999999999999</v>
      </c>
      <c r="T431" s="46">
        <v>3.7082999999999999</v>
      </c>
    </row>
    <row r="432" spans="16:20" x14ac:dyDescent="0.25">
      <c r="P432" s="18">
        <v>431</v>
      </c>
      <c r="Q432" s="50">
        <v>71.860299999999995</v>
      </c>
      <c r="R432" s="50">
        <v>0</v>
      </c>
      <c r="S432" s="50">
        <v>-30.786000000000001</v>
      </c>
      <c r="T432" s="46">
        <v>-30.786000000000001</v>
      </c>
    </row>
    <row r="433" spans="16:20" x14ac:dyDescent="0.25">
      <c r="P433" s="18">
        <v>432</v>
      </c>
      <c r="Q433" s="50">
        <v>124.6283</v>
      </c>
      <c r="R433" s="50">
        <v>124.6283</v>
      </c>
      <c r="S433" s="50">
        <v>108.2944</v>
      </c>
      <c r="T433" s="46">
        <v>-16.3339</v>
      </c>
    </row>
    <row r="434" spans="16:20" x14ac:dyDescent="0.25">
      <c r="P434" s="18">
        <v>433</v>
      </c>
      <c r="Q434" s="50">
        <v>108.7234</v>
      </c>
      <c r="R434" s="50">
        <v>108.7234</v>
      </c>
      <c r="S434" s="50">
        <v>91.6982</v>
      </c>
      <c r="T434" s="46">
        <v>-17.025099999999998</v>
      </c>
    </row>
    <row r="435" spans="16:20" x14ac:dyDescent="0.25">
      <c r="P435" s="18">
        <v>434</v>
      </c>
      <c r="Q435" s="50">
        <v>148.1249</v>
      </c>
      <c r="R435" s="50">
        <v>148.1249</v>
      </c>
      <c r="S435" s="50">
        <v>146.9854</v>
      </c>
      <c r="T435" s="46">
        <v>-1.1395</v>
      </c>
    </row>
    <row r="436" spans="16:20" x14ac:dyDescent="0.25">
      <c r="P436" s="18">
        <v>435</v>
      </c>
      <c r="Q436" s="50">
        <v>57.713000000000001</v>
      </c>
      <c r="R436" s="50">
        <v>0</v>
      </c>
      <c r="S436" s="50">
        <v>-2.0146000000000002</v>
      </c>
      <c r="T436" s="46">
        <v>-2.0146000000000002</v>
      </c>
    </row>
    <row r="437" spans="16:20" x14ac:dyDescent="0.25">
      <c r="P437" s="18">
        <v>436</v>
      </c>
      <c r="Q437" s="50">
        <v>119.54689999999999</v>
      </c>
      <c r="R437" s="50">
        <v>119.54689999999999</v>
      </c>
      <c r="S437" s="50">
        <v>109.224</v>
      </c>
      <c r="T437" s="46">
        <v>-10.322900000000001</v>
      </c>
    </row>
    <row r="438" spans="16:20" x14ac:dyDescent="0.25">
      <c r="P438" s="18">
        <v>437</v>
      </c>
      <c r="Q438" s="50">
        <v>81.215000000000003</v>
      </c>
      <c r="R438" s="50">
        <v>0</v>
      </c>
      <c r="S438" s="50">
        <v>-1.0318000000000001</v>
      </c>
      <c r="T438" s="46">
        <v>-1.0318000000000001</v>
      </c>
    </row>
    <row r="439" spans="16:20" x14ac:dyDescent="0.25">
      <c r="P439" s="18">
        <v>438</v>
      </c>
      <c r="Q439" s="50">
        <v>111.2448</v>
      </c>
      <c r="R439" s="50">
        <v>111.2448</v>
      </c>
      <c r="S439" s="50">
        <v>107.7295</v>
      </c>
      <c r="T439" s="46">
        <v>-3.5152999999999999</v>
      </c>
    </row>
    <row r="440" spans="16:20" x14ac:dyDescent="0.25">
      <c r="P440" s="18">
        <v>439</v>
      </c>
      <c r="Q440" s="50">
        <v>125.14700000000001</v>
      </c>
      <c r="R440" s="50">
        <v>125.14700000000001</v>
      </c>
      <c r="S440" s="50">
        <v>122.5437</v>
      </c>
      <c r="T440" s="46">
        <v>-2.6032999999999999</v>
      </c>
    </row>
    <row r="441" spans="16:20" x14ac:dyDescent="0.25">
      <c r="P441" s="18">
        <v>440</v>
      </c>
      <c r="Q441" s="50">
        <v>114.1768</v>
      </c>
      <c r="R441" s="50">
        <v>114.1768</v>
      </c>
      <c r="S441" s="50">
        <v>95.486999999999995</v>
      </c>
      <c r="T441" s="46">
        <v>-18.689900000000002</v>
      </c>
    </row>
    <row r="442" spans="16:20" x14ac:dyDescent="0.25">
      <c r="P442" s="18">
        <v>441</v>
      </c>
      <c r="Q442" s="50">
        <v>74.727999999999994</v>
      </c>
      <c r="R442" s="50">
        <v>0</v>
      </c>
      <c r="S442" s="50">
        <v>-3.8250000000000002</v>
      </c>
      <c r="T442" s="46">
        <v>-3.8250000000000002</v>
      </c>
    </row>
    <row r="443" spans="16:20" x14ac:dyDescent="0.25">
      <c r="P443" s="18">
        <v>442</v>
      </c>
      <c r="Q443" s="50">
        <v>106.9967</v>
      </c>
      <c r="R443" s="50">
        <v>106.9967</v>
      </c>
      <c r="S443" s="50">
        <v>65.874700000000004</v>
      </c>
      <c r="T443" s="46">
        <v>-41.122</v>
      </c>
    </row>
    <row r="444" spans="16:20" x14ac:dyDescent="0.25">
      <c r="P444" s="18">
        <v>443</v>
      </c>
      <c r="Q444" s="50">
        <v>132.83519999999999</v>
      </c>
      <c r="R444" s="50">
        <v>132.83519999999999</v>
      </c>
      <c r="S444" s="50">
        <v>139.5642</v>
      </c>
      <c r="T444" s="46">
        <v>6.7290000000000001</v>
      </c>
    </row>
    <row r="445" spans="16:20" x14ac:dyDescent="0.25">
      <c r="P445" s="18">
        <v>444</v>
      </c>
      <c r="Q445" s="50">
        <v>105.3156</v>
      </c>
      <c r="R445" s="50">
        <v>105.3156</v>
      </c>
      <c r="S445" s="50">
        <v>78.046400000000006</v>
      </c>
      <c r="T445" s="46">
        <v>-27.269100000000002</v>
      </c>
    </row>
    <row r="446" spans="16:20" x14ac:dyDescent="0.25">
      <c r="P446" s="18">
        <v>445</v>
      </c>
      <c r="Q446" s="50">
        <v>90.0702</v>
      </c>
      <c r="R446" s="50">
        <v>0</v>
      </c>
      <c r="S446" s="50">
        <v>16.3431</v>
      </c>
      <c r="T446" s="46">
        <v>16.3431</v>
      </c>
    </row>
    <row r="447" spans="16:20" x14ac:dyDescent="0.25">
      <c r="P447" s="18">
        <v>446</v>
      </c>
      <c r="Q447" s="50">
        <v>89.968699999999998</v>
      </c>
      <c r="R447" s="50">
        <v>0</v>
      </c>
      <c r="S447" s="50">
        <v>11.469200000000001</v>
      </c>
      <c r="T447" s="46">
        <v>11.469200000000001</v>
      </c>
    </row>
    <row r="448" spans="16:20" x14ac:dyDescent="0.25">
      <c r="P448" s="18">
        <v>447</v>
      </c>
      <c r="Q448" s="50">
        <v>133.5326</v>
      </c>
      <c r="R448" s="50">
        <v>133.5326</v>
      </c>
      <c r="S448" s="50">
        <v>137.78729999999999</v>
      </c>
      <c r="T448" s="46">
        <v>4.2548000000000004</v>
      </c>
    </row>
    <row r="449" spans="16:20" x14ac:dyDescent="0.25">
      <c r="P449" s="18">
        <v>448</v>
      </c>
      <c r="Q449" s="50">
        <v>67.803700000000006</v>
      </c>
      <c r="R449" s="50">
        <v>0</v>
      </c>
      <c r="S449" s="50">
        <v>8.6795000000000009</v>
      </c>
      <c r="T449" s="46">
        <v>8.6795000000000009</v>
      </c>
    </row>
    <row r="450" spans="16:20" x14ac:dyDescent="0.25">
      <c r="P450" s="18">
        <v>449</v>
      </c>
      <c r="Q450" s="50">
        <v>122.965</v>
      </c>
      <c r="R450" s="50">
        <v>122.965</v>
      </c>
      <c r="S450" s="50">
        <v>114.4239</v>
      </c>
      <c r="T450" s="46">
        <v>-8.5411000000000001</v>
      </c>
    </row>
    <row r="451" spans="16:20" x14ac:dyDescent="0.25">
      <c r="P451" s="18">
        <v>450</v>
      </c>
      <c r="Q451" s="50">
        <v>139.92760000000001</v>
      </c>
      <c r="R451" s="50">
        <v>139.92760000000001</v>
      </c>
      <c r="S451" s="50">
        <v>144.26499999999999</v>
      </c>
      <c r="T451" s="46">
        <v>4.3373999999999997</v>
      </c>
    </row>
    <row r="452" spans="16:20" x14ac:dyDescent="0.25">
      <c r="P452" s="18">
        <v>451</v>
      </c>
      <c r="Q452" s="50">
        <v>104.3544</v>
      </c>
      <c r="R452" s="50">
        <v>104.3544</v>
      </c>
      <c r="S452" s="50">
        <v>81.927099999999996</v>
      </c>
      <c r="T452" s="46">
        <v>-22.427399999999999</v>
      </c>
    </row>
    <row r="453" spans="16:20" x14ac:dyDescent="0.25">
      <c r="P453" s="18">
        <v>452</v>
      </c>
      <c r="Q453" s="50">
        <v>122.3871</v>
      </c>
      <c r="R453" s="50">
        <v>122.3871</v>
      </c>
      <c r="S453" s="50">
        <v>112.6237</v>
      </c>
      <c r="T453" s="46">
        <v>-9.7632999999999992</v>
      </c>
    </row>
    <row r="454" spans="16:20" x14ac:dyDescent="0.25">
      <c r="P454" s="18">
        <v>453</v>
      </c>
      <c r="Q454" s="50">
        <v>112.58150000000001</v>
      </c>
      <c r="R454" s="50">
        <v>112.58150000000001</v>
      </c>
      <c r="S454" s="50">
        <v>88.316599999999994</v>
      </c>
      <c r="T454" s="46">
        <v>-24.264900000000001</v>
      </c>
    </row>
    <row r="455" spans="16:20" x14ac:dyDescent="0.25">
      <c r="P455" s="18">
        <v>454</v>
      </c>
      <c r="Q455" s="50">
        <v>168.62090000000001</v>
      </c>
      <c r="R455" s="50">
        <v>168.62090000000001</v>
      </c>
      <c r="S455" s="50">
        <v>167.6987</v>
      </c>
      <c r="T455" s="46">
        <v>-0.92220000000000002</v>
      </c>
    </row>
    <row r="456" spans="16:20" x14ac:dyDescent="0.25">
      <c r="P456" s="18">
        <v>455</v>
      </c>
      <c r="Q456" s="50">
        <v>127.0517</v>
      </c>
      <c r="R456" s="50">
        <v>127.0517</v>
      </c>
      <c r="S456" s="50">
        <v>127.5639</v>
      </c>
      <c r="T456" s="46">
        <v>0.51219999999999999</v>
      </c>
    </row>
    <row r="457" spans="16:20" x14ac:dyDescent="0.25">
      <c r="P457" s="18">
        <v>456</v>
      </c>
      <c r="Q457" s="50">
        <v>112.41160000000001</v>
      </c>
      <c r="R457" s="50">
        <v>112.41160000000001</v>
      </c>
      <c r="S457" s="50">
        <v>96.411799999999999</v>
      </c>
      <c r="T457" s="46">
        <v>-15.9998</v>
      </c>
    </row>
    <row r="458" spans="16:20" x14ac:dyDescent="0.25">
      <c r="P458" s="18">
        <v>457</v>
      </c>
      <c r="Q458" s="50">
        <v>158.5052</v>
      </c>
      <c r="R458" s="50">
        <v>158.5052</v>
      </c>
      <c r="S458" s="50">
        <v>162.6688</v>
      </c>
      <c r="T458" s="46">
        <v>4.1635999999999997</v>
      </c>
    </row>
    <row r="459" spans="16:20" x14ac:dyDescent="0.25">
      <c r="P459" s="18">
        <v>458</v>
      </c>
      <c r="Q459" s="50">
        <v>69.797799999999995</v>
      </c>
      <c r="R459" s="50">
        <v>0</v>
      </c>
      <c r="S459" s="50">
        <v>-7.8312999999999997</v>
      </c>
      <c r="T459" s="46">
        <v>-7.8312999999999997</v>
      </c>
    </row>
    <row r="460" spans="16:20" x14ac:dyDescent="0.25">
      <c r="P460" s="18">
        <v>459</v>
      </c>
      <c r="Q460" s="50">
        <v>88.998999999999995</v>
      </c>
      <c r="R460" s="50">
        <v>0</v>
      </c>
      <c r="S460" s="50">
        <v>2.3098999999999998</v>
      </c>
      <c r="T460" s="46">
        <v>2.3098999999999998</v>
      </c>
    </row>
    <row r="461" spans="16:20" x14ac:dyDescent="0.25">
      <c r="P461" s="18">
        <v>460</v>
      </c>
      <c r="Q461" s="50">
        <v>79.9619</v>
      </c>
      <c r="R461" s="50">
        <v>0</v>
      </c>
      <c r="S461" s="50">
        <v>-4.9398999999999997</v>
      </c>
      <c r="T461" s="46">
        <v>-4.9398999999999997</v>
      </c>
    </row>
    <row r="462" spans="16:20" x14ac:dyDescent="0.25">
      <c r="P462" s="18">
        <v>461</v>
      </c>
      <c r="Q462" s="50">
        <v>55.566600000000001</v>
      </c>
      <c r="R462" s="50">
        <v>0</v>
      </c>
      <c r="S462" s="50">
        <v>-1.7786</v>
      </c>
      <c r="T462" s="46">
        <v>-1.7786</v>
      </c>
    </row>
    <row r="463" spans="16:20" x14ac:dyDescent="0.25">
      <c r="P463" s="18">
        <v>462</v>
      </c>
      <c r="Q463" s="50">
        <v>98.254800000000003</v>
      </c>
      <c r="R463" s="50">
        <v>0</v>
      </c>
      <c r="S463" s="50">
        <v>48.169800000000002</v>
      </c>
      <c r="T463" s="46">
        <v>48.169800000000002</v>
      </c>
    </row>
    <row r="464" spans="16:20" x14ac:dyDescent="0.25">
      <c r="P464" s="18">
        <v>463</v>
      </c>
      <c r="Q464" s="50">
        <v>97.831400000000002</v>
      </c>
      <c r="R464" s="50">
        <v>0</v>
      </c>
      <c r="S464" s="50">
        <v>39.902500000000003</v>
      </c>
      <c r="T464" s="46">
        <v>39.902500000000003</v>
      </c>
    </row>
    <row r="465" spans="16:20" x14ac:dyDescent="0.25">
      <c r="P465" s="18">
        <v>464</v>
      </c>
      <c r="Q465" s="50">
        <v>116.1472</v>
      </c>
      <c r="R465" s="50">
        <v>116.1472</v>
      </c>
      <c r="S465" s="50">
        <v>100.88209999999999</v>
      </c>
      <c r="T465" s="46">
        <v>-15.2651</v>
      </c>
    </row>
    <row r="466" spans="16:20" x14ac:dyDescent="0.25">
      <c r="P466" s="18">
        <v>465</v>
      </c>
      <c r="Q466" s="50">
        <v>40.594499999999996</v>
      </c>
      <c r="R466" s="50">
        <v>0</v>
      </c>
      <c r="S466" s="50">
        <v>-1.3989</v>
      </c>
      <c r="T466" s="46">
        <v>-1.3989</v>
      </c>
    </row>
    <row r="467" spans="16:20" x14ac:dyDescent="0.25">
      <c r="P467" s="18">
        <v>466</v>
      </c>
      <c r="Q467" s="50">
        <v>73.348699999999994</v>
      </c>
      <c r="R467" s="50">
        <v>0</v>
      </c>
      <c r="S467" s="50">
        <v>-1.0650999999999999</v>
      </c>
      <c r="T467" s="46">
        <v>-1.0650999999999999</v>
      </c>
    </row>
    <row r="468" spans="16:20" x14ac:dyDescent="0.25">
      <c r="P468" s="18">
        <v>467</v>
      </c>
      <c r="Q468" s="50">
        <v>65.918599999999998</v>
      </c>
      <c r="R468" s="50">
        <v>0</v>
      </c>
      <c r="S468" s="50">
        <v>2.0573000000000001</v>
      </c>
      <c r="T468" s="46">
        <v>2.0573000000000001</v>
      </c>
    </row>
    <row r="469" spans="16:20" x14ac:dyDescent="0.25">
      <c r="P469" s="18">
        <v>468</v>
      </c>
      <c r="Q469" s="50">
        <v>64.796199999999999</v>
      </c>
      <c r="R469" s="50">
        <v>0</v>
      </c>
      <c r="S469" s="50">
        <v>0.82950000000000002</v>
      </c>
      <c r="T469" s="46">
        <v>0.82950000000000002</v>
      </c>
    </row>
    <row r="470" spans="16:20" x14ac:dyDescent="0.25">
      <c r="P470" s="18">
        <v>469</v>
      </c>
      <c r="Q470" s="50">
        <v>99.334400000000002</v>
      </c>
      <c r="R470" s="50">
        <v>0</v>
      </c>
      <c r="S470" s="50">
        <v>42.409799999999997</v>
      </c>
      <c r="T470" s="46">
        <v>42.409799999999997</v>
      </c>
    </row>
    <row r="471" spans="16:20" x14ac:dyDescent="0.25">
      <c r="P471" s="18">
        <v>470</v>
      </c>
      <c r="Q471" s="50">
        <v>136.9957</v>
      </c>
      <c r="R471" s="50">
        <v>136.9957</v>
      </c>
      <c r="S471" s="50">
        <v>142.03550000000001</v>
      </c>
      <c r="T471" s="46">
        <v>5.0397999999999996</v>
      </c>
    </row>
    <row r="472" spans="16:20" x14ac:dyDescent="0.25">
      <c r="P472" s="18">
        <v>471</v>
      </c>
      <c r="Q472" s="50">
        <v>108.7878</v>
      </c>
      <c r="R472" s="50">
        <v>108.7878</v>
      </c>
      <c r="S472" s="50">
        <v>88.799800000000005</v>
      </c>
      <c r="T472" s="46">
        <v>-19.988</v>
      </c>
    </row>
    <row r="473" spans="16:20" x14ac:dyDescent="0.25">
      <c r="P473" s="18">
        <v>472</v>
      </c>
      <c r="Q473" s="50">
        <v>121.8031</v>
      </c>
      <c r="R473" s="50">
        <v>121.8031</v>
      </c>
      <c r="S473" s="50">
        <v>111.3192</v>
      </c>
      <c r="T473" s="46">
        <v>-10.4839</v>
      </c>
    </row>
    <row r="474" spans="16:20" x14ac:dyDescent="0.25">
      <c r="P474" s="18">
        <v>473</v>
      </c>
      <c r="Q474" s="50">
        <v>162.73830000000001</v>
      </c>
      <c r="R474" s="50">
        <v>162.73830000000001</v>
      </c>
      <c r="S474" s="50">
        <v>157.04230000000001</v>
      </c>
      <c r="T474" s="46">
        <v>-5.6959</v>
      </c>
    </row>
    <row r="475" spans="16:20" x14ac:dyDescent="0.25">
      <c r="P475" s="18">
        <v>474</v>
      </c>
      <c r="Q475" s="50">
        <v>159.6396</v>
      </c>
      <c r="R475" s="50">
        <v>159.6396</v>
      </c>
      <c r="S475" s="50">
        <v>159.94059999999999</v>
      </c>
      <c r="T475" s="46">
        <v>0.30099999999999999</v>
      </c>
    </row>
    <row r="476" spans="16:20" x14ac:dyDescent="0.25">
      <c r="P476" s="18">
        <v>475</v>
      </c>
      <c r="Q476" s="50">
        <v>88.719300000000004</v>
      </c>
      <c r="R476" s="50">
        <v>0</v>
      </c>
      <c r="S476" s="50">
        <v>14.2918</v>
      </c>
      <c r="T476" s="46">
        <v>14.2918</v>
      </c>
    </row>
    <row r="477" spans="16:20" x14ac:dyDescent="0.25">
      <c r="P477" s="18">
        <v>476</v>
      </c>
      <c r="Q477" s="50">
        <v>103.6763</v>
      </c>
      <c r="R477" s="50">
        <v>103.6763</v>
      </c>
      <c r="S477" s="50">
        <v>63.904499999999999</v>
      </c>
      <c r="T477" s="46">
        <v>-39.771799999999999</v>
      </c>
    </row>
    <row r="478" spans="16:20" x14ac:dyDescent="0.25">
      <c r="P478" s="18">
        <v>477</v>
      </c>
      <c r="Q478" s="50">
        <v>97.650400000000005</v>
      </c>
      <c r="R478" s="50">
        <v>0</v>
      </c>
      <c r="S478" s="50">
        <v>47.285299999999999</v>
      </c>
      <c r="T478" s="46">
        <v>47.285299999999999</v>
      </c>
    </row>
    <row r="479" spans="16:20" x14ac:dyDescent="0.25">
      <c r="P479" s="18">
        <v>478</v>
      </c>
      <c r="Q479" s="50">
        <v>99.313000000000002</v>
      </c>
      <c r="R479" s="50">
        <v>0</v>
      </c>
      <c r="S479" s="50">
        <v>54.076099999999997</v>
      </c>
      <c r="T479" s="46">
        <v>54.076099999999997</v>
      </c>
    </row>
    <row r="480" spans="16:20" x14ac:dyDescent="0.25">
      <c r="P480" s="18">
        <v>479</v>
      </c>
      <c r="Q480" s="50">
        <v>118.7621</v>
      </c>
      <c r="R480" s="50">
        <v>118.7621</v>
      </c>
      <c r="S480" s="50">
        <v>103.0455</v>
      </c>
      <c r="T480" s="46">
        <v>-15.7166</v>
      </c>
    </row>
    <row r="481" spans="16:20" x14ac:dyDescent="0.25">
      <c r="P481" s="18">
        <v>480</v>
      </c>
      <c r="Q481" s="50">
        <v>103.6825</v>
      </c>
      <c r="R481" s="50">
        <v>103.6825</v>
      </c>
      <c r="S481" s="50">
        <v>70.019800000000004</v>
      </c>
      <c r="T481" s="46">
        <v>-33.662799999999997</v>
      </c>
    </row>
    <row r="482" spans="16:20" x14ac:dyDescent="0.25">
      <c r="P482" s="18">
        <v>481</v>
      </c>
      <c r="Q482" s="50">
        <v>190.63910000000001</v>
      </c>
      <c r="R482" s="50">
        <v>190.63910000000001</v>
      </c>
      <c r="S482" s="50">
        <v>193.65379999999999</v>
      </c>
      <c r="T482" s="46">
        <v>3.0146999999999999</v>
      </c>
    </row>
    <row r="483" spans="16:20" x14ac:dyDescent="0.25">
      <c r="P483" s="18">
        <v>482</v>
      </c>
      <c r="Q483" s="50">
        <v>165.3528</v>
      </c>
      <c r="R483" s="50">
        <v>165.3528</v>
      </c>
      <c r="S483" s="50">
        <v>164.50470000000001</v>
      </c>
      <c r="T483" s="46">
        <v>-0.84809999999999997</v>
      </c>
    </row>
    <row r="484" spans="16:20" x14ac:dyDescent="0.25">
      <c r="P484" s="18">
        <v>483</v>
      </c>
      <c r="Q484" s="50">
        <v>127.6349</v>
      </c>
      <c r="R484" s="50">
        <v>127.6349</v>
      </c>
      <c r="S484" s="50">
        <v>127.6084</v>
      </c>
      <c r="T484" s="46">
        <v>-2.6499999999999999E-2</v>
      </c>
    </row>
    <row r="485" spans="16:20" x14ac:dyDescent="0.25">
      <c r="P485" s="18">
        <v>484</v>
      </c>
      <c r="Q485" s="50">
        <v>89.633200000000002</v>
      </c>
      <c r="R485" s="50">
        <v>0</v>
      </c>
      <c r="S485" s="50">
        <v>18.760000000000002</v>
      </c>
      <c r="T485" s="46">
        <v>18.760000000000002</v>
      </c>
    </row>
    <row r="486" spans="16:20" x14ac:dyDescent="0.25">
      <c r="P486" s="18">
        <v>485</v>
      </c>
      <c r="Q486" s="50">
        <v>104.8809</v>
      </c>
      <c r="R486" s="50">
        <v>104.8809</v>
      </c>
      <c r="S486" s="50">
        <v>80.687700000000007</v>
      </c>
      <c r="T486" s="46">
        <v>-24.193200000000001</v>
      </c>
    </row>
    <row r="487" spans="16:20" x14ac:dyDescent="0.25">
      <c r="P487" s="18">
        <v>486</v>
      </c>
      <c r="Q487" s="50">
        <v>53.971400000000003</v>
      </c>
      <c r="R487" s="50">
        <v>0</v>
      </c>
      <c r="S487" s="50">
        <v>-0.45169999999999999</v>
      </c>
      <c r="T487" s="46">
        <v>-0.45169999999999999</v>
      </c>
    </row>
    <row r="488" spans="16:20" x14ac:dyDescent="0.25">
      <c r="P488" s="18">
        <v>487</v>
      </c>
      <c r="Q488" s="50">
        <v>86.795400000000001</v>
      </c>
      <c r="R488" s="50">
        <v>0</v>
      </c>
      <c r="S488" s="50">
        <v>16.626799999999999</v>
      </c>
      <c r="T488" s="46">
        <v>16.626799999999999</v>
      </c>
    </row>
    <row r="489" spans="16:20" x14ac:dyDescent="0.25">
      <c r="P489" s="18">
        <v>488</v>
      </c>
      <c r="Q489" s="50">
        <v>90.1999</v>
      </c>
      <c r="R489" s="50">
        <v>0</v>
      </c>
      <c r="S489" s="50">
        <v>17.613</v>
      </c>
      <c r="T489" s="46">
        <v>17.613</v>
      </c>
    </row>
    <row r="490" spans="16:20" x14ac:dyDescent="0.25">
      <c r="P490" s="18">
        <v>489</v>
      </c>
      <c r="Q490" s="50">
        <v>43.988300000000002</v>
      </c>
      <c r="R490" s="50">
        <v>0</v>
      </c>
      <c r="S490" s="50">
        <v>-2.7557999999999998</v>
      </c>
      <c r="T490" s="46">
        <v>-2.7557999999999998</v>
      </c>
    </row>
    <row r="491" spans="16:20" x14ac:dyDescent="0.25">
      <c r="P491" s="18">
        <v>490</v>
      </c>
      <c r="Q491" s="50">
        <v>60.852600000000002</v>
      </c>
      <c r="R491" s="50">
        <v>0</v>
      </c>
      <c r="S491" s="50">
        <v>-4.8920000000000003</v>
      </c>
      <c r="T491" s="46">
        <v>-4.8920000000000003</v>
      </c>
    </row>
    <row r="492" spans="16:20" x14ac:dyDescent="0.25">
      <c r="P492" s="18">
        <v>491</v>
      </c>
      <c r="Q492" s="50">
        <v>132.00640000000001</v>
      </c>
      <c r="R492" s="50">
        <v>132.00640000000001</v>
      </c>
      <c r="S492" s="50">
        <v>132.16399999999999</v>
      </c>
      <c r="T492" s="46">
        <v>0.1575</v>
      </c>
    </row>
    <row r="493" spans="16:20" x14ac:dyDescent="0.25">
      <c r="P493" s="18">
        <v>492</v>
      </c>
      <c r="Q493" s="50">
        <v>86.721299999999999</v>
      </c>
      <c r="R493" s="50">
        <v>0</v>
      </c>
      <c r="S493" s="50">
        <v>15.7248</v>
      </c>
      <c r="T493" s="46">
        <v>15.7248</v>
      </c>
    </row>
    <row r="494" spans="16:20" x14ac:dyDescent="0.25">
      <c r="P494" s="18">
        <v>493</v>
      </c>
      <c r="Q494" s="50">
        <v>76.553600000000003</v>
      </c>
      <c r="R494" s="50">
        <v>0</v>
      </c>
      <c r="S494" s="50">
        <v>-2.8372999999999999</v>
      </c>
      <c r="T494" s="46">
        <v>-2.8372999999999999</v>
      </c>
    </row>
    <row r="495" spans="16:20" x14ac:dyDescent="0.25">
      <c r="P495" s="18">
        <v>494</v>
      </c>
      <c r="Q495" s="50">
        <v>113.4224</v>
      </c>
      <c r="R495" s="50">
        <v>113.4224</v>
      </c>
      <c r="S495" s="50">
        <v>94.816800000000001</v>
      </c>
      <c r="T495" s="46">
        <v>-18.605499999999999</v>
      </c>
    </row>
    <row r="496" spans="16:20" x14ac:dyDescent="0.25">
      <c r="P496" s="18">
        <v>495</v>
      </c>
      <c r="Q496" s="50">
        <v>74.127099999999999</v>
      </c>
      <c r="R496" s="50">
        <v>0</v>
      </c>
      <c r="S496" s="50">
        <v>-8.2688000000000006</v>
      </c>
      <c r="T496" s="46">
        <v>-8.2688000000000006</v>
      </c>
    </row>
    <row r="497" spans="16:20" x14ac:dyDescent="0.25">
      <c r="P497" s="18">
        <v>496</v>
      </c>
      <c r="Q497" s="50">
        <v>184.44749999999999</v>
      </c>
      <c r="R497" s="50">
        <v>184.44749999999999</v>
      </c>
      <c r="S497" s="50">
        <v>187.1858</v>
      </c>
      <c r="T497" s="46">
        <v>2.7383000000000002</v>
      </c>
    </row>
    <row r="498" spans="16:20" x14ac:dyDescent="0.25">
      <c r="P498" s="18">
        <v>497</v>
      </c>
      <c r="Q498" s="50">
        <v>91.499799999999993</v>
      </c>
      <c r="R498" s="50">
        <v>0</v>
      </c>
      <c r="S498" s="50">
        <v>22.739799999999999</v>
      </c>
      <c r="T498" s="46">
        <v>22.739799999999999</v>
      </c>
    </row>
    <row r="499" spans="16:20" x14ac:dyDescent="0.25">
      <c r="P499" s="18">
        <v>498</v>
      </c>
      <c r="Q499" s="50">
        <v>173.74619999999999</v>
      </c>
      <c r="R499" s="50">
        <v>173.74619999999999</v>
      </c>
      <c r="S499" s="50">
        <v>173.9091</v>
      </c>
      <c r="T499" s="46">
        <v>0.16289999999999999</v>
      </c>
    </row>
    <row r="500" spans="16:20" x14ac:dyDescent="0.25">
      <c r="P500" s="18">
        <v>499</v>
      </c>
      <c r="Q500" s="50">
        <v>73.3262</v>
      </c>
      <c r="R500" s="50">
        <v>0</v>
      </c>
      <c r="S500" s="50">
        <v>-15.252700000000001</v>
      </c>
      <c r="T500" s="46">
        <v>-15.252700000000001</v>
      </c>
    </row>
    <row r="501" spans="16:20" x14ac:dyDescent="0.25">
      <c r="P501" s="18">
        <v>500</v>
      </c>
      <c r="Q501" s="50">
        <v>100.9004</v>
      </c>
      <c r="R501" s="50">
        <v>100.9004</v>
      </c>
      <c r="S501" s="50">
        <v>57.340600000000002</v>
      </c>
      <c r="T501" s="46">
        <v>-43.559800000000003</v>
      </c>
    </row>
    <row r="502" spans="16:20" x14ac:dyDescent="0.25">
      <c r="P502" s="18">
        <v>501</v>
      </c>
      <c r="Q502" s="50">
        <v>124.1832</v>
      </c>
      <c r="R502" s="50">
        <v>124.1832</v>
      </c>
      <c r="S502" s="50">
        <v>120.90309999999999</v>
      </c>
      <c r="T502" s="46">
        <v>-3.28</v>
      </c>
    </row>
    <row r="503" spans="16:20" x14ac:dyDescent="0.25">
      <c r="P503" s="18">
        <v>502</v>
      </c>
      <c r="Q503" s="50">
        <v>123.97620000000001</v>
      </c>
      <c r="R503" s="50">
        <v>123.97620000000001</v>
      </c>
      <c r="S503" s="50">
        <v>120.2676</v>
      </c>
      <c r="T503" s="46">
        <v>-3.7086000000000001</v>
      </c>
    </row>
    <row r="504" spans="16:20" x14ac:dyDescent="0.25">
      <c r="P504" s="18">
        <v>503</v>
      </c>
      <c r="Q504" s="50">
        <v>96.659800000000004</v>
      </c>
      <c r="R504" s="50">
        <v>0</v>
      </c>
      <c r="S504" s="50">
        <v>40.8444</v>
      </c>
      <c r="T504" s="46">
        <v>40.8444</v>
      </c>
    </row>
    <row r="505" spans="16:20" x14ac:dyDescent="0.25">
      <c r="P505" s="18">
        <v>504</v>
      </c>
      <c r="Q505" s="50">
        <v>110.4872</v>
      </c>
      <c r="R505" s="50">
        <v>110.4872</v>
      </c>
      <c r="S505" s="50">
        <v>88.425399999999996</v>
      </c>
      <c r="T505" s="46">
        <v>-22.061800000000002</v>
      </c>
    </row>
    <row r="506" spans="16:20" x14ac:dyDescent="0.25">
      <c r="P506" s="18">
        <v>505</v>
      </c>
      <c r="Q506" s="50">
        <v>130.96010000000001</v>
      </c>
      <c r="R506" s="50">
        <v>130.96010000000001</v>
      </c>
      <c r="S506" s="50">
        <v>128.744</v>
      </c>
      <c r="T506" s="46">
        <v>-2.2161</v>
      </c>
    </row>
    <row r="507" spans="16:20" x14ac:dyDescent="0.25">
      <c r="P507" s="18">
        <v>506</v>
      </c>
      <c r="Q507" s="50">
        <v>99.910300000000007</v>
      </c>
      <c r="R507" s="50">
        <v>0.13819999999999999</v>
      </c>
      <c r="S507" s="50">
        <v>63.773600000000002</v>
      </c>
      <c r="T507" s="46">
        <v>63.6355</v>
      </c>
    </row>
    <row r="508" spans="16:20" x14ac:dyDescent="0.25">
      <c r="P508" s="18">
        <v>507</v>
      </c>
      <c r="Q508" s="50">
        <v>93.293999999999997</v>
      </c>
      <c r="R508" s="50">
        <v>0</v>
      </c>
      <c r="S508" s="50">
        <v>27.2102</v>
      </c>
      <c r="T508" s="46">
        <v>27.2102</v>
      </c>
    </row>
    <row r="509" spans="16:20" x14ac:dyDescent="0.25">
      <c r="P509" s="18">
        <v>508</v>
      </c>
      <c r="Q509" s="50">
        <v>109.3784</v>
      </c>
      <c r="R509" s="50">
        <v>109.3784</v>
      </c>
      <c r="S509" s="50">
        <v>85.5642</v>
      </c>
      <c r="T509" s="46">
        <v>-23.8142</v>
      </c>
    </row>
    <row r="510" spans="16:20" x14ac:dyDescent="0.25">
      <c r="P510" s="18">
        <v>509</v>
      </c>
      <c r="Q510" s="50">
        <v>279.32369999999997</v>
      </c>
      <c r="R510" s="50">
        <v>279.32369999999997</v>
      </c>
      <c r="S510" s="50">
        <v>282.61320000000001</v>
      </c>
      <c r="T510" s="46">
        <v>3.2894999999999999</v>
      </c>
    </row>
    <row r="511" spans="16:20" x14ac:dyDescent="0.25">
      <c r="P511" s="18">
        <v>510</v>
      </c>
      <c r="Q511" s="50">
        <v>124.0744</v>
      </c>
      <c r="R511" s="50">
        <v>124.0744</v>
      </c>
      <c r="S511" s="50">
        <v>129.13499999999999</v>
      </c>
      <c r="T511" s="46">
        <v>5.0606</v>
      </c>
    </row>
    <row r="512" spans="16:20" x14ac:dyDescent="0.25">
      <c r="P512" s="18">
        <v>511</v>
      </c>
      <c r="Q512" s="50">
        <v>117.9247</v>
      </c>
      <c r="R512" s="50">
        <v>117.9247</v>
      </c>
      <c r="S512" s="50">
        <v>106.5663</v>
      </c>
      <c r="T512" s="46">
        <v>-11.3584</v>
      </c>
    </row>
    <row r="513" spans="16:20" x14ac:dyDescent="0.25">
      <c r="P513" s="18">
        <v>512</v>
      </c>
      <c r="Q513" s="50">
        <v>105.3858</v>
      </c>
      <c r="R513" s="50">
        <v>105.3858</v>
      </c>
      <c r="S513" s="50">
        <v>72.024100000000004</v>
      </c>
      <c r="T513" s="46">
        <v>-33.361699999999999</v>
      </c>
    </row>
    <row r="514" spans="16:20" x14ac:dyDescent="0.25">
      <c r="P514" s="18">
        <v>513</v>
      </c>
      <c r="Q514" s="50">
        <v>76.4405</v>
      </c>
      <c r="R514" s="50">
        <v>0</v>
      </c>
      <c r="S514" s="50">
        <v>5.5824999999999996</v>
      </c>
      <c r="T514" s="46">
        <v>5.5824999999999996</v>
      </c>
    </row>
    <row r="515" spans="16:20" x14ac:dyDescent="0.25">
      <c r="P515" s="18">
        <v>514</v>
      </c>
      <c r="Q515" s="50">
        <v>111.9769</v>
      </c>
      <c r="R515" s="50">
        <v>111.9769</v>
      </c>
      <c r="S515" s="50">
        <v>90.302000000000007</v>
      </c>
      <c r="T515" s="46">
        <v>-21.674900000000001</v>
      </c>
    </row>
    <row r="516" spans="16:20" x14ac:dyDescent="0.25">
      <c r="P516" s="18">
        <v>515</v>
      </c>
      <c r="Q516" s="50">
        <v>118.77979999999999</v>
      </c>
      <c r="R516" s="50">
        <v>118.77979999999999</v>
      </c>
      <c r="S516" s="50">
        <v>114.18210000000001</v>
      </c>
      <c r="T516" s="46">
        <v>-4.5976999999999997</v>
      </c>
    </row>
    <row r="517" spans="16:20" x14ac:dyDescent="0.25">
      <c r="P517" s="18">
        <v>516</v>
      </c>
      <c r="Q517" s="50">
        <v>89.660899999999998</v>
      </c>
      <c r="R517" s="50">
        <v>0</v>
      </c>
      <c r="S517" s="50">
        <v>18.433299999999999</v>
      </c>
      <c r="T517" s="46">
        <v>18.433299999999999</v>
      </c>
    </row>
    <row r="518" spans="16:20" x14ac:dyDescent="0.25">
      <c r="P518" s="18">
        <v>517</v>
      </c>
      <c r="Q518" s="50">
        <v>137.60599999999999</v>
      </c>
      <c r="R518" s="50">
        <v>137.60599999999999</v>
      </c>
      <c r="S518" s="50">
        <v>134.61330000000001</v>
      </c>
      <c r="T518" s="46">
        <v>-2.9927000000000001</v>
      </c>
    </row>
    <row r="519" spans="16:20" x14ac:dyDescent="0.25">
      <c r="P519" s="18">
        <v>518</v>
      </c>
      <c r="Q519" s="50">
        <v>107.7405</v>
      </c>
      <c r="R519" s="50">
        <v>107.7405</v>
      </c>
      <c r="S519" s="50">
        <v>80.726600000000005</v>
      </c>
      <c r="T519" s="46">
        <v>-27.0139</v>
      </c>
    </row>
    <row r="520" spans="16:20" x14ac:dyDescent="0.25">
      <c r="P520" s="18">
        <v>519</v>
      </c>
      <c r="Q520" s="50">
        <v>214.44829999999999</v>
      </c>
      <c r="R520" s="50">
        <v>214.44829999999999</v>
      </c>
      <c r="S520" s="50">
        <v>220.49510000000001</v>
      </c>
      <c r="T520" s="46">
        <v>6.0468000000000002</v>
      </c>
    </row>
    <row r="521" spans="16:20" x14ac:dyDescent="0.25">
      <c r="P521" s="18">
        <v>520</v>
      </c>
      <c r="Q521" s="50">
        <v>86.433199999999999</v>
      </c>
      <c r="R521" s="50">
        <v>0</v>
      </c>
      <c r="S521" s="50">
        <v>11.882899999999999</v>
      </c>
      <c r="T521" s="46">
        <v>11.882899999999999</v>
      </c>
    </row>
    <row r="522" spans="16:20" x14ac:dyDescent="0.25">
      <c r="P522" s="18">
        <v>521</v>
      </c>
      <c r="Q522" s="50">
        <v>115.7529</v>
      </c>
      <c r="R522" s="50">
        <v>115.7529</v>
      </c>
      <c r="S522" s="50">
        <v>101.2028</v>
      </c>
      <c r="T522" s="46">
        <v>-14.5501</v>
      </c>
    </row>
    <row r="523" spans="16:20" x14ac:dyDescent="0.25">
      <c r="P523" s="18">
        <v>522</v>
      </c>
      <c r="Q523" s="50">
        <v>60.798900000000003</v>
      </c>
      <c r="R523" s="50">
        <v>0</v>
      </c>
      <c r="S523" s="50">
        <v>-20.960899999999999</v>
      </c>
      <c r="T523" s="46">
        <v>-20.960899999999999</v>
      </c>
    </row>
    <row r="524" spans="16:20" x14ac:dyDescent="0.25">
      <c r="P524" s="18">
        <v>523</v>
      </c>
      <c r="Q524" s="50">
        <v>125.11199999999999</v>
      </c>
      <c r="R524" s="50">
        <v>125.11199999999999</v>
      </c>
      <c r="S524" s="50">
        <v>127.75839999999999</v>
      </c>
      <c r="T524" s="46">
        <v>2.6463999999999999</v>
      </c>
    </row>
    <row r="525" spans="16:20" x14ac:dyDescent="0.25">
      <c r="P525" s="18">
        <v>524</v>
      </c>
      <c r="Q525" s="50">
        <v>122.9735</v>
      </c>
      <c r="R525" s="50">
        <v>122.9735</v>
      </c>
      <c r="S525" s="50">
        <v>117.9772</v>
      </c>
      <c r="T525" s="46">
        <v>-4.9962999999999997</v>
      </c>
    </row>
    <row r="526" spans="16:20" x14ac:dyDescent="0.25">
      <c r="P526" s="18">
        <v>525</v>
      </c>
      <c r="Q526" s="50">
        <v>106.22450000000001</v>
      </c>
      <c r="R526" s="50">
        <v>106.22450000000001</v>
      </c>
      <c r="S526" s="50">
        <v>80.549300000000002</v>
      </c>
      <c r="T526" s="46">
        <v>-25.6753</v>
      </c>
    </row>
    <row r="527" spans="16:20" x14ac:dyDescent="0.25">
      <c r="P527" s="18">
        <v>526</v>
      </c>
      <c r="Q527" s="50">
        <v>159.8305</v>
      </c>
      <c r="R527" s="50">
        <v>159.8305</v>
      </c>
      <c r="S527" s="50">
        <v>162.74969999999999</v>
      </c>
      <c r="T527" s="46">
        <v>2.9192</v>
      </c>
    </row>
    <row r="528" spans="16:20" x14ac:dyDescent="0.25">
      <c r="P528" s="18">
        <v>527</v>
      </c>
      <c r="Q528" s="50">
        <v>80.784999999999997</v>
      </c>
      <c r="R528" s="50">
        <v>0</v>
      </c>
      <c r="S528" s="50">
        <v>-5.2836999999999996</v>
      </c>
      <c r="T528" s="46">
        <v>-5.2836999999999996</v>
      </c>
    </row>
    <row r="529" spans="16:20" x14ac:dyDescent="0.25">
      <c r="P529" s="18">
        <v>528</v>
      </c>
      <c r="Q529" s="50">
        <v>99.907200000000003</v>
      </c>
      <c r="R529" s="50">
        <v>9.9000000000000005E-2</v>
      </c>
      <c r="S529" s="50">
        <v>46.705300000000001</v>
      </c>
      <c r="T529" s="46">
        <v>46.606299999999997</v>
      </c>
    </row>
    <row r="530" spans="16:20" x14ac:dyDescent="0.25">
      <c r="P530" s="18">
        <v>529</v>
      </c>
      <c r="Q530" s="50">
        <v>97.702600000000004</v>
      </c>
      <c r="R530" s="50">
        <v>0</v>
      </c>
      <c r="S530" s="50">
        <v>22.8705</v>
      </c>
      <c r="T530" s="46">
        <v>22.8705</v>
      </c>
    </row>
    <row r="531" spans="16:20" x14ac:dyDescent="0.25">
      <c r="P531" s="18">
        <v>530</v>
      </c>
      <c r="Q531" s="50">
        <v>112.11920000000001</v>
      </c>
      <c r="R531" s="50">
        <v>112.11920000000001</v>
      </c>
      <c r="S531" s="50">
        <v>88.375100000000003</v>
      </c>
      <c r="T531" s="46">
        <v>-23.7441</v>
      </c>
    </row>
    <row r="532" spans="16:20" x14ac:dyDescent="0.25">
      <c r="P532" s="18">
        <v>531</v>
      </c>
      <c r="Q532" s="50">
        <v>77.362300000000005</v>
      </c>
      <c r="R532" s="50">
        <v>0</v>
      </c>
      <c r="S532" s="50">
        <v>1.7886</v>
      </c>
      <c r="T532" s="46">
        <v>1.7886</v>
      </c>
    </row>
    <row r="533" spans="16:20" x14ac:dyDescent="0.25">
      <c r="P533" s="18">
        <v>532</v>
      </c>
      <c r="Q533" s="50">
        <v>129.59559999999999</v>
      </c>
      <c r="R533" s="50">
        <v>129.59559999999999</v>
      </c>
      <c r="S533" s="50">
        <v>125.9923</v>
      </c>
      <c r="T533" s="46">
        <v>-3.6032999999999999</v>
      </c>
    </row>
    <row r="534" spans="16:20" x14ac:dyDescent="0.25">
      <c r="P534" s="18">
        <v>533</v>
      </c>
      <c r="Q534" s="50">
        <v>103.4306</v>
      </c>
      <c r="R534" s="50">
        <v>103.4306</v>
      </c>
      <c r="S534" s="50">
        <v>66.322999999999993</v>
      </c>
      <c r="T534" s="46">
        <v>-37.107599999999998</v>
      </c>
    </row>
    <row r="535" spans="16:20" x14ac:dyDescent="0.25">
      <c r="P535" s="18">
        <v>534</v>
      </c>
      <c r="Q535" s="50">
        <v>127.4332</v>
      </c>
      <c r="R535" s="50">
        <v>127.4332</v>
      </c>
      <c r="S535" s="50">
        <v>125.4165</v>
      </c>
      <c r="T535" s="46">
        <v>-2.0167000000000002</v>
      </c>
    </row>
    <row r="536" spans="16:20" x14ac:dyDescent="0.25">
      <c r="P536" s="18">
        <v>535</v>
      </c>
      <c r="Q536" s="50">
        <v>169.37729999999999</v>
      </c>
      <c r="R536" s="50">
        <v>169.37729999999999</v>
      </c>
      <c r="S536" s="50">
        <v>177.57550000000001</v>
      </c>
      <c r="T536" s="46">
        <v>8.1981999999999999</v>
      </c>
    </row>
    <row r="537" spans="16:20" x14ac:dyDescent="0.25">
      <c r="P537" s="18">
        <v>536</v>
      </c>
      <c r="Q537" s="50">
        <v>103.3783</v>
      </c>
      <c r="R537" s="50">
        <v>103.3783</v>
      </c>
      <c r="S537" s="50">
        <v>61.133600000000001</v>
      </c>
      <c r="T537" s="46">
        <v>-42.244700000000002</v>
      </c>
    </row>
    <row r="538" spans="16:20" x14ac:dyDescent="0.25">
      <c r="P538" s="18">
        <v>537</v>
      </c>
      <c r="Q538" s="50">
        <v>104.6161</v>
      </c>
      <c r="R538" s="50">
        <v>104.6161</v>
      </c>
      <c r="S538" s="50">
        <v>70.196399999999997</v>
      </c>
      <c r="T538" s="46">
        <v>-34.419699999999999</v>
      </c>
    </row>
    <row r="539" spans="16:20" x14ac:dyDescent="0.25">
      <c r="P539" s="18">
        <v>538</v>
      </c>
      <c r="Q539" s="50">
        <v>65.698899999999995</v>
      </c>
      <c r="R539" s="50">
        <v>0</v>
      </c>
      <c r="S539" s="50">
        <v>-5.8379000000000003</v>
      </c>
      <c r="T539" s="46">
        <v>-5.8379000000000003</v>
      </c>
    </row>
    <row r="540" spans="16:20" x14ac:dyDescent="0.25">
      <c r="P540" s="18">
        <v>539</v>
      </c>
      <c r="Q540" s="50">
        <v>110.2265</v>
      </c>
      <c r="R540" s="50">
        <v>110.2265</v>
      </c>
      <c r="S540" s="50">
        <v>99.229299999999995</v>
      </c>
      <c r="T540" s="46">
        <v>-10.9971</v>
      </c>
    </row>
    <row r="541" spans="16:20" x14ac:dyDescent="0.25">
      <c r="P541" s="18">
        <v>540</v>
      </c>
      <c r="Q541" s="50">
        <v>99.793300000000002</v>
      </c>
      <c r="R541" s="50">
        <v>0</v>
      </c>
      <c r="S541" s="50">
        <v>54.679900000000004</v>
      </c>
      <c r="T541" s="46">
        <v>54.679900000000004</v>
      </c>
    </row>
    <row r="542" spans="16:20" x14ac:dyDescent="0.25">
      <c r="P542" s="18">
        <v>541</v>
      </c>
      <c r="Q542" s="50">
        <v>97.526600000000002</v>
      </c>
      <c r="R542" s="50">
        <v>0</v>
      </c>
      <c r="S542" s="50">
        <v>36.750900000000001</v>
      </c>
      <c r="T542" s="46">
        <v>36.750900000000001</v>
      </c>
    </row>
    <row r="543" spans="16:20" x14ac:dyDescent="0.25">
      <c r="P543" s="18">
        <v>542</v>
      </c>
      <c r="Q543" s="50">
        <v>69.930499999999995</v>
      </c>
      <c r="R543" s="50">
        <v>0</v>
      </c>
      <c r="S543" s="50">
        <v>-7.4664000000000001</v>
      </c>
      <c r="T543" s="46">
        <v>-7.4664000000000001</v>
      </c>
    </row>
    <row r="544" spans="16:20" x14ac:dyDescent="0.25">
      <c r="P544" s="18">
        <v>543</v>
      </c>
      <c r="Q544" s="50">
        <v>122.29559999999999</v>
      </c>
      <c r="R544" s="50">
        <v>122.29559999999999</v>
      </c>
      <c r="S544" s="50">
        <v>113.7972</v>
      </c>
      <c r="T544" s="46">
        <v>-8.4984999999999999</v>
      </c>
    </row>
    <row r="545" spans="16:20" x14ac:dyDescent="0.25">
      <c r="P545" s="18">
        <v>544</v>
      </c>
      <c r="Q545" s="50">
        <v>181.1009</v>
      </c>
      <c r="R545" s="50">
        <v>181.1009</v>
      </c>
      <c r="S545" s="50">
        <v>180.7818</v>
      </c>
      <c r="T545" s="46">
        <v>-0.31909999999999999</v>
      </c>
    </row>
    <row r="546" spans="16:20" x14ac:dyDescent="0.25">
      <c r="P546" s="18">
        <v>545</v>
      </c>
      <c r="Q546" s="50">
        <v>101.44459999999999</v>
      </c>
      <c r="R546" s="50">
        <v>101.44459999999999</v>
      </c>
      <c r="S546" s="50">
        <v>64.290899999999993</v>
      </c>
      <c r="T546" s="46">
        <v>-37.153599999999997</v>
      </c>
    </row>
    <row r="547" spans="16:20" x14ac:dyDescent="0.25">
      <c r="P547" s="18">
        <v>546</v>
      </c>
      <c r="Q547" s="50">
        <v>82.602000000000004</v>
      </c>
      <c r="R547" s="50">
        <v>0</v>
      </c>
      <c r="S547" s="50">
        <v>17.3597</v>
      </c>
      <c r="T547" s="46">
        <v>17.3597</v>
      </c>
    </row>
    <row r="548" spans="16:20" x14ac:dyDescent="0.25">
      <c r="P548" s="18">
        <v>547</v>
      </c>
      <c r="Q548" s="50">
        <v>76.847899999999996</v>
      </c>
      <c r="R548" s="50">
        <v>0</v>
      </c>
      <c r="S548" s="50">
        <v>-0.42959999999999998</v>
      </c>
      <c r="T548" s="46">
        <v>-0.42959999999999998</v>
      </c>
    </row>
    <row r="549" spans="16:20" x14ac:dyDescent="0.25">
      <c r="P549" s="18">
        <v>548</v>
      </c>
      <c r="Q549" s="50">
        <v>161.23740000000001</v>
      </c>
      <c r="R549" s="50">
        <v>161.23740000000001</v>
      </c>
      <c r="S549" s="50">
        <v>168.30029999999999</v>
      </c>
      <c r="T549" s="46">
        <v>7.0629</v>
      </c>
    </row>
    <row r="550" spans="16:20" x14ac:dyDescent="0.25">
      <c r="P550" s="18">
        <v>549</v>
      </c>
      <c r="Q550" s="50">
        <v>78.704999999999998</v>
      </c>
      <c r="R550" s="50">
        <v>0</v>
      </c>
      <c r="S550" s="50">
        <v>-1.4259999999999999</v>
      </c>
      <c r="T550" s="46">
        <v>-1.4259999999999999</v>
      </c>
    </row>
    <row r="551" spans="16:20" x14ac:dyDescent="0.25">
      <c r="P551" s="18">
        <v>550</v>
      </c>
      <c r="Q551" s="50">
        <v>63.5871</v>
      </c>
      <c r="R551" s="50">
        <v>0</v>
      </c>
      <c r="S551" s="50">
        <v>4.1531000000000002</v>
      </c>
      <c r="T551" s="46">
        <v>4.1531000000000002</v>
      </c>
    </row>
    <row r="552" spans="16:20" x14ac:dyDescent="0.25">
      <c r="P552" s="18">
        <v>551</v>
      </c>
      <c r="Q552" s="50">
        <v>76.729600000000005</v>
      </c>
      <c r="R552" s="50">
        <v>0</v>
      </c>
      <c r="S552" s="50">
        <v>-2.3864999999999998</v>
      </c>
      <c r="T552" s="46">
        <v>-2.3864999999999998</v>
      </c>
    </row>
    <row r="553" spans="16:20" x14ac:dyDescent="0.25">
      <c r="P553" s="18">
        <v>552</v>
      </c>
      <c r="Q553" s="50">
        <v>178.71459999999999</v>
      </c>
      <c r="R553" s="50">
        <v>178.71459999999999</v>
      </c>
      <c r="S553" s="50">
        <v>180.19470000000001</v>
      </c>
      <c r="T553" s="46">
        <v>1.48</v>
      </c>
    </row>
    <row r="554" spans="16:20" x14ac:dyDescent="0.25">
      <c r="P554" s="18">
        <v>553</v>
      </c>
      <c r="Q554" s="50">
        <v>101.77379999999999</v>
      </c>
      <c r="R554" s="50">
        <v>101.77379999999999</v>
      </c>
      <c r="S554" s="50">
        <v>59.301400000000001</v>
      </c>
      <c r="T554" s="46">
        <v>-42.4724</v>
      </c>
    </row>
    <row r="555" spans="16:20" x14ac:dyDescent="0.25">
      <c r="P555" s="18">
        <v>554</v>
      </c>
      <c r="Q555" s="50">
        <v>103.8591</v>
      </c>
      <c r="R555" s="50">
        <v>103.8591</v>
      </c>
      <c r="S555" s="50">
        <v>65.892799999999994</v>
      </c>
      <c r="T555" s="46">
        <v>-37.966200000000001</v>
      </c>
    </row>
    <row r="556" spans="16:20" x14ac:dyDescent="0.25">
      <c r="P556" s="18">
        <v>555</v>
      </c>
      <c r="Q556" s="50">
        <v>79.790599999999998</v>
      </c>
      <c r="R556" s="50">
        <v>0</v>
      </c>
      <c r="S556" s="50">
        <v>3.6252</v>
      </c>
      <c r="T556" s="46">
        <v>3.6252</v>
      </c>
    </row>
    <row r="557" spans="16:20" x14ac:dyDescent="0.25">
      <c r="P557" s="18">
        <v>556</v>
      </c>
      <c r="Q557" s="50">
        <v>100.282</v>
      </c>
      <c r="R557" s="50">
        <v>100.282</v>
      </c>
      <c r="S557" s="50">
        <v>50.106999999999999</v>
      </c>
      <c r="T557" s="46">
        <v>-50.174999999999997</v>
      </c>
    </row>
    <row r="558" spans="16:20" x14ac:dyDescent="0.25">
      <c r="P558" s="18">
        <v>557</v>
      </c>
      <c r="Q558" s="50">
        <v>92.678299999999993</v>
      </c>
      <c r="R558" s="50">
        <v>0</v>
      </c>
      <c r="S558" s="50">
        <v>29.0014</v>
      </c>
      <c r="T558" s="46">
        <v>29.0014</v>
      </c>
    </row>
    <row r="559" spans="16:20" x14ac:dyDescent="0.25">
      <c r="P559" s="18">
        <v>558</v>
      </c>
      <c r="Q559" s="50">
        <v>102.6949</v>
      </c>
      <c r="R559" s="50">
        <v>102.6949</v>
      </c>
      <c r="S559" s="50">
        <v>66.821700000000007</v>
      </c>
      <c r="T559" s="46">
        <v>-35.873199999999997</v>
      </c>
    </row>
    <row r="560" spans="16:20" x14ac:dyDescent="0.25">
      <c r="P560" s="18">
        <v>559</v>
      </c>
      <c r="Q560" s="50">
        <v>115.3536</v>
      </c>
      <c r="R560" s="50">
        <v>115.3536</v>
      </c>
      <c r="S560" s="50">
        <v>103.40260000000001</v>
      </c>
      <c r="T560" s="46">
        <v>-11.951000000000001</v>
      </c>
    </row>
    <row r="561" spans="16:20" x14ac:dyDescent="0.25">
      <c r="P561" s="18">
        <v>560</v>
      </c>
      <c r="Q561" s="50">
        <v>79.500500000000002</v>
      </c>
      <c r="R561" s="50">
        <v>0</v>
      </c>
      <c r="S561" s="50">
        <v>11.0732</v>
      </c>
      <c r="T561" s="46">
        <v>11.0732</v>
      </c>
    </row>
    <row r="562" spans="16:20" x14ac:dyDescent="0.25">
      <c r="P562" s="18">
        <v>561</v>
      </c>
      <c r="Q562" s="50">
        <v>124.8287</v>
      </c>
      <c r="R562" s="50">
        <v>124.8287</v>
      </c>
      <c r="S562" s="50">
        <v>112.6429</v>
      </c>
      <c r="T562" s="46">
        <v>-12.1858</v>
      </c>
    </row>
    <row r="563" spans="16:20" x14ac:dyDescent="0.25">
      <c r="P563" s="18">
        <v>562</v>
      </c>
      <c r="Q563" s="50">
        <v>73.589100000000002</v>
      </c>
      <c r="R563" s="50">
        <v>0</v>
      </c>
      <c r="S563" s="50">
        <v>1.7926</v>
      </c>
      <c r="T563" s="46">
        <v>1.7926</v>
      </c>
    </row>
    <row r="564" spans="16:20" x14ac:dyDescent="0.25">
      <c r="P564" s="18">
        <v>563</v>
      </c>
      <c r="Q564" s="50">
        <v>131.49529999999999</v>
      </c>
      <c r="R564" s="50">
        <v>131.49529999999999</v>
      </c>
      <c r="S564" s="50">
        <v>133.42449999999999</v>
      </c>
      <c r="T564" s="46">
        <v>1.9292</v>
      </c>
    </row>
    <row r="565" spans="16:20" x14ac:dyDescent="0.25">
      <c r="P565" s="18">
        <v>564</v>
      </c>
      <c r="Q565" s="50">
        <v>122.9573</v>
      </c>
      <c r="R565" s="50">
        <v>122.9573</v>
      </c>
      <c r="S565" s="50">
        <v>135.7842</v>
      </c>
      <c r="T565" s="46">
        <v>12.8268</v>
      </c>
    </row>
    <row r="566" spans="16:20" x14ac:dyDescent="0.25">
      <c r="P566" s="18">
        <v>565</v>
      </c>
      <c r="Q566" s="50">
        <v>82.351600000000005</v>
      </c>
      <c r="R566" s="50">
        <v>0</v>
      </c>
      <c r="S566" s="50">
        <v>-6.5114000000000001</v>
      </c>
      <c r="T566" s="46">
        <v>-6.5114000000000001</v>
      </c>
    </row>
    <row r="567" spans="16:20" x14ac:dyDescent="0.25">
      <c r="P567" s="18">
        <v>566</v>
      </c>
      <c r="Q567" s="50">
        <v>65.746499999999997</v>
      </c>
      <c r="R567" s="50">
        <v>0</v>
      </c>
      <c r="S567" s="50">
        <v>-4.0023999999999997</v>
      </c>
      <c r="T567" s="46">
        <v>-4.0023999999999997</v>
      </c>
    </row>
    <row r="568" spans="16:20" x14ac:dyDescent="0.25">
      <c r="P568" s="18">
        <v>567</v>
      </c>
      <c r="Q568" s="50">
        <v>100.4491</v>
      </c>
      <c r="R568" s="50">
        <v>100.4491</v>
      </c>
      <c r="S568" s="50">
        <v>58.6145</v>
      </c>
      <c r="T568" s="46">
        <v>-41.834600000000002</v>
      </c>
    </row>
    <row r="569" spans="16:20" x14ac:dyDescent="0.25">
      <c r="P569" s="18">
        <v>568</v>
      </c>
      <c r="Q569" s="50">
        <v>128.85290000000001</v>
      </c>
      <c r="R569" s="50">
        <v>128.85290000000001</v>
      </c>
      <c r="S569" s="50">
        <v>126.83029999999999</v>
      </c>
      <c r="T569" s="46">
        <v>-2.0226000000000002</v>
      </c>
    </row>
    <row r="570" spans="16:20" x14ac:dyDescent="0.25">
      <c r="P570" s="18">
        <v>569</v>
      </c>
      <c r="Q570" s="50">
        <v>94.295699999999997</v>
      </c>
      <c r="R570" s="50">
        <v>0</v>
      </c>
      <c r="S570" s="50">
        <v>32.537799999999997</v>
      </c>
      <c r="T570" s="46">
        <v>32.537799999999997</v>
      </c>
    </row>
    <row r="571" spans="16:20" x14ac:dyDescent="0.25">
      <c r="P571" s="18">
        <v>570</v>
      </c>
      <c r="Q571" s="50">
        <v>59.000799999999998</v>
      </c>
      <c r="R571" s="50">
        <v>0</v>
      </c>
      <c r="S571" s="50">
        <v>-2.2469000000000001</v>
      </c>
      <c r="T571" s="46">
        <v>-2.2469000000000001</v>
      </c>
    </row>
    <row r="572" spans="16:20" x14ac:dyDescent="0.25">
      <c r="P572" s="18">
        <v>571</v>
      </c>
      <c r="Q572" s="50">
        <v>86.906000000000006</v>
      </c>
      <c r="R572" s="50">
        <v>0</v>
      </c>
      <c r="S572" s="50">
        <v>6.3455000000000004</v>
      </c>
      <c r="T572" s="46">
        <v>6.3455000000000004</v>
      </c>
    </row>
    <row r="573" spans="16:20" x14ac:dyDescent="0.25">
      <c r="P573" s="18">
        <v>572</v>
      </c>
      <c r="Q573" s="50">
        <v>106.4387</v>
      </c>
      <c r="R573" s="50">
        <v>106.4387</v>
      </c>
      <c r="S573" s="50">
        <v>86.356200000000001</v>
      </c>
      <c r="T573" s="46">
        <v>-20.0825</v>
      </c>
    </row>
    <row r="574" spans="16:20" x14ac:dyDescent="0.25">
      <c r="P574" s="18">
        <v>573</v>
      </c>
      <c r="Q574" s="50">
        <v>75.315200000000004</v>
      </c>
      <c r="R574" s="50">
        <v>0</v>
      </c>
      <c r="S574" s="50">
        <v>-0.2273</v>
      </c>
      <c r="T574" s="46">
        <v>-0.2273</v>
      </c>
    </row>
    <row r="575" spans="16:20" x14ac:dyDescent="0.25">
      <c r="P575" s="18">
        <v>574</v>
      </c>
      <c r="Q575" s="50">
        <v>109.91759999999999</v>
      </c>
      <c r="R575" s="50">
        <v>109.91759999999999</v>
      </c>
      <c r="S575" s="50">
        <v>90.921599999999998</v>
      </c>
      <c r="T575" s="46">
        <v>-18.995999999999999</v>
      </c>
    </row>
    <row r="576" spans="16:20" x14ac:dyDescent="0.25">
      <c r="P576" s="18">
        <v>575</v>
      </c>
      <c r="Q576" s="50">
        <v>84.245800000000003</v>
      </c>
      <c r="R576" s="50">
        <v>0</v>
      </c>
      <c r="S576" s="50">
        <v>15.5845</v>
      </c>
      <c r="T576" s="46">
        <v>15.5845</v>
      </c>
    </row>
    <row r="577" spans="16:20" x14ac:dyDescent="0.25">
      <c r="P577" s="18">
        <v>576</v>
      </c>
      <c r="Q577" s="50">
        <v>95.355000000000004</v>
      </c>
      <c r="R577" s="50">
        <v>0</v>
      </c>
      <c r="S577" s="50">
        <v>36.561999999999998</v>
      </c>
      <c r="T577" s="46">
        <v>36.561999999999998</v>
      </c>
    </row>
    <row r="578" spans="16:20" x14ac:dyDescent="0.25">
      <c r="P578" s="18">
        <v>577</v>
      </c>
      <c r="Q578" s="50">
        <v>82.143799999999999</v>
      </c>
      <c r="R578" s="50">
        <v>0</v>
      </c>
      <c r="S578" s="50">
        <v>-34.701099999999997</v>
      </c>
      <c r="T578" s="46">
        <v>-34.701099999999997</v>
      </c>
    </row>
    <row r="579" spans="16:20" x14ac:dyDescent="0.25">
      <c r="P579" s="18">
        <v>578</v>
      </c>
      <c r="Q579" s="50">
        <v>139.9427</v>
      </c>
      <c r="R579" s="50">
        <v>139.9427</v>
      </c>
      <c r="S579" s="50">
        <v>138.47319999999999</v>
      </c>
      <c r="T579" s="46">
        <v>-1.4694</v>
      </c>
    </row>
    <row r="580" spans="16:20" x14ac:dyDescent="0.25">
      <c r="P580" s="18">
        <v>579</v>
      </c>
      <c r="Q580" s="50">
        <v>78.0959</v>
      </c>
      <c r="R580" s="50">
        <v>0</v>
      </c>
      <c r="S580" s="50">
        <v>-0.91359999999999997</v>
      </c>
      <c r="T580" s="46">
        <v>-0.91359999999999997</v>
      </c>
    </row>
    <row r="581" spans="16:20" x14ac:dyDescent="0.25">
      <c r="P581" s="18">
        <v>580</v>
      </c>
      <c r="Q581" s="50">
        <v>125.5585</v>
      </c>
      <c r="R581" s="50">
        <v>125.5585</v>
      </c>
      <c r="S581" s="50">
        <v>113.5652</v>
      </c>
      <c r="T581" s="46">
        <v>-11.9932</v>
      </c>
    </row>
    <row r="582" spans="16:20" x14ac:dyDescent="0.25">
      <c r="P582" s="18">
        <v>581</v>
      </c>
      <c r="Q582" s="50">
        <v>134.7398</v>
      </c>
      <c r="R582" s="50">
        <v>134.7398</v>
      </c>
      <c r="S582" s="50">
        <v>138.9563</v>
      </c>
      <c r="T582" s="46">
        <v>4.2164999999999999</v>
      </c>
    </row>
    <row r="583" spans="16:20" x14ac:dyDescent="0.25">
      <c r="P583" s="18">
        <v>582</v>
      </c>
      <c r="Q583" s="50">
        <v>157.88589999999999</v>
      </c>
      <c r="R583" s="50">
        <v>157.88589999999999</v>
      </c>
      <c r="S583" s="50">
        <v>166.12119999999999</v>
      </c>
      <c r="T583" s="46">
        <v>8.2353000000000005</v>
      </c>
    </row>
    <row r="584" spans="16:20" x14ac:dyDescent="0.25">
      <c r="P584" s="18">
        <v>583</v>
      </c>
      <c r="Q584" s="50">
        <v>123.9021</v>
      </c>
      <c r="R584" s="50">
        <v>123.9021</v>
      </c>
      <c r="S584" s="50">
        <v>114.021</v>
      </c>
      <c r="T584" s="46">
        <v>-9.8811</v>
      </c>
    </row>
    <row r="585" spans="16:20" x14ac:dyDescent="0.25">
      <c r="P585" s="18">
        <v>584</v>
      </c>
      <c r="Q585" s="50">
        <v>149.8329</v>
      </c>
      <c r="R585" s="50">
        <v>149.8329</v>
      </c>
      <c r="S585" s="50">
        <v>148.55240000000001</v>
      </c>
      <c r="T585" s="46">
        <v>-1.2805</v>
      </c>
    </row>
    <row r="586" spans="16:20" x14ac:dyDescent="0.25">
      <c r="P586" s="18">
        <v>585</v>
      </c>
      <c r="Q586" s="50">
        <v>96.423299999999998</v>
      </c>
      <c r="R586" s="50">
        <v>0</v>
      </c>
      <c r="S586" s="50">
        <v>36.641800000000003</v>
      </c>
      <c r="T586" s="46">
        <v>36.641800000000003</v>
      </c>
    </row>
    <row r="587" spans="16:20" x14ac:dyDescent="0.25">
      <c r="P587" s="18">
        <v>586</v>
      </c>
      <c r="Q587" s="50">
        <v>93.610600000000005</v>
      </c>
      <c r="R587" s="50">
        <v>0</v>
      </c>
      <c r="S587" s="50">
        <v>25.2225</v>
      </c>
      <c r="T587" s="46">
        <v>25.2225</v>
      </c>
    </row>
    <row r="588" spans="16:20" x14ac:dyDescent="0.25">
      <c r="P588" s="18">
        <v>587</v>
      </c>
      <c r="Q588" s="50">
        <v>100.282</v>
      </c>
      <c r="R588" s="50">
        <v>100.282</v>
      </c>
      <c r="S588" s="50">
        <v>70.583600000000004</v>
      </c>
      <c r="T588" s="46">
        <v>-29.698399999999999</v>
      </c>
    </row>
    <row r="589" spans="16:20" x14ac:dyDescent="0.25">
      <c r="P589" s="18">
        <v>588</v>
      </c>
      <c r="Q589" s="50">
        <v>141.22470000000001</v>
      </c>
      <c r="R589" s="50">
        <v>141.22470000000001</v>
      </c>
      <c r="S589" s="50">
        <v>154.9736</v>
      </c>
      <c r="T589" s="46">
        <v>13.748900000000001</v>
      </c>
    </row>
    <row r="590" spans="16:20" x14ac:dyDescent="0.25">
      <c r="P590" s="18">
        <v>589</v>
      </c>
      <c r="Q590" s="50">
        <v>95.692999999999998</v>
      </c>
      <c r="R590" s="50">
        <v>0</v>
      </c>
      <c r="S590" s="50">
        <v>34.943899999999999</v>
      </c>
      <c r="T590" s="46">
        <v>34.943899999999999</v>
      </c>
    </row>
    <row r="591" spans="16:20" x14ac:dyDescent="0.25">
      <c r="P591" s="18">
        <v>590</v>
      </c>
      <c r="Q591" s="50">
        <v>100.61669999999999</v>
      </c>
      <c r="R591" s="50">
        <v>100.61669999999999</v>
      </c>
      <c r="S591" s="50">
        <v>53.836100000000002</v>
      </c>
      <c r="T591" s="46">
        <v>-46.7806</v>
      </c>
    </row>
    <row r="592" spans="16:20" x14ac:dyDescent="0.25">
      <c r="P592" s="18">
        <v>591</v>
      </c>
      <c r="Q592" s="50">
        <v>106.2795</v>
      </c>
      <c r="R592" s="50">
        <v>106.2795</v>
      </c>
      <c r="S592" s="50">
        <v>81.189700000000002</v>
      </c>
      <c r="T592" s="46">
        <v>-25.0898</v>
      </c>
    </row>
    <row r="593" spans="16:20" x14ac:dyDescent="0.25">
      <c r="P593" s="18">
        <v>592</v>
      </c>
      <c r="Q593" s="50">
        <v>122.9237</v>
      </c>
      <c r="R593" s="50">
        <v>122.9237</v>
      </c>
      <c r="S593" s="50">
        <v>118.26</v>
      </c>
      <c r="T593" s="46">
        <v>-4.6637000000000004</v>
      </c>
    </row>
    <row r="594" spans="16:20" x14ac:dyDescent="0.25">
      <c r="P594" s="18">
        <v>593</v>
      </c>
      <c r="Q594" s="50">
        <v>138.97</v>
      </c>
      <c r="R594" s="50">
        <v>138.97</v>
      </c>
      <c r="S594" s="50">
        <v>137.48609999999999</v>
      </c>
      <c r="T594" s="46">
        <v>-1.4838</v>
      </c>
    </row>
    <row r="595" spans="16:20" x14ac:dyDescent="0.25">
      <c r="P595" s="18">
        <v>594</v>
      </c>
      <c r="Q595" s="50">
        <v>85.213099999999997</v>
      </c>
      <c r="R595" s="50">
        <v>0</v>
      </c>
      <c r="S595" s="50">
        <v>18.495799999999999</v>
      </c>
      <c r="T595" s="46">
        <v>18.495799999999999</v>
      </c>
    </row>
    <row r="596" spans="16:20" x14ac:dyDescent="0.25">
      <c r="P596" s="18">
        <v>595</v>
      </c>
      <c r="Q596" s="50">
        <v>94.686499999999995</v>
      </c>
      <c r="R596" s="50">
        <v>0</v>
      </c>
      <c r="S596" s="50">
        <v>42.410499999999999</v>
      </c>
      <c r="T596" s="46">
        <v>42.410499999999999</v>
      </c>
    </row>
    <row r="597" spans="16:20" x14ac:dyDescent="0.25">
      <c r="P597" s="18">
        <v>596</v>
      </c>
      <c r="Q597" s="50">
        <v>112.9845</v>
      </c>
      <c r="R597" s="50">
        <v>112.9845</v>
      </c>
      <c r="S597" s="50">
        <v>100.6024</v>
      </c>
      <c r="T597" s="46">
        <v>-12.382099999999999</v>
      </c>
    </row>
    <row r="598" spans="16:20" x14ac:dyDescent="0.25">
      <c r="P598" s="18">
        <v>597</v>
      </c>
      <c r="Q598" s="50">
        <v>77.2376</v>
      </c>
      <c r="R598" s="50">
        <v>0</v>
      </c>
      <c r="S598" s="50">
        <v>9.6928000000000001</v>
      </c>
      <c r="T598" s="46">
        <v>9.6928000000000001</v>
      </c>
    </row>
    <row r="599" spans="16:20" x14ac:dyDescent="0.25">
      <c r="P599" s="18">
        <v>598</v>
      </c>
      <c r="Q599" s="50">
        <v>68.248000000000005</v>
      </c>
      <c r="R599" s="50">
        <v>0</v>
      </c>
      <c r="S599" s="50">
        <v>-7.6087999999999996</v>
      </c>
      <c r="T599" s="46">
        <v>-7.6087999999999996</v>
      </c>
    </row>
    <row r="600" spans="16:20" x14ac:dyDescent="0.25">
      <c r="P600" s="18">
        <v>599</v>
      </c>
      <c r="Q600" s="50">
        <v>91.6126</v>
      </c>
      <c r="R600" s="50">
        <v>0</v>
      </c>
      <c r="S600" s="50">
        <v>22.471299999999999</v>
      </c>
      <c r="T600" s="46">
        <v>22.471299999999999</v>
      </c>
    </row>
    <row r="601" spans="16:20" x14ac:dyDescent="0.25">
      <c r="P601" s="18">
        <v>600</v>
      </c>
      <c r="Q601" s="50">
        <v>81.852800000000002</v>
      </c>
      <c r="R601" s="50">
        <v>0</v>
      </c>
      <c r="S601" s="50">
        <v>3.9601999999999999</v>
      </c>
      <c r="T601" s="46">
        <v>3.9601999999999999</v>
      </c>
    </row>
    <row r="602" spans="16:20" x14ac:dyDescent="0.25">
      <c r="P602" s="18">
        <v>601</v>
      </c>
      <c r="Q602" s="50">
        <v>123.43089999999999</v>
      </c>
      <c r="R602" s="50">
        <v>123.43089999999999</v>
      </c>
      <c r="S602" s="50">
        <v>121.7569</v>
      </c>
      <c r="T602" s="46">
        <v>-1.6739999999999999</v>
      </c>
    </row>
    <row r="603" spans="16:20" x14ac:dyDescent="0.25">
      <c r="P603" s="18">
        <v>602</v>
      </c>
      <c r="Q603" s="50">
        <v>103.8432</v>
      </c>
      <c r="R603" s="50">
        <v>103.8432</v>
      </c>
      <c r="S603" s="50">
        <v>70.784099999999995</v>
      </c>
      <c r="T603" s="46">
        <v>-33.059100000000001</v>
      </c>
    </row>
    <row r="604" spans="16:20" x14ac:dyDescent="0.25">
      <c r="P604" s="18">
        <v>603</v>
      </c>
      <c r="Q604" s="50">
        <v>149.7028</v>
      </c>
      <c r="R604" s="50">
        <v>149.7028</v>
      </c>
      <c r="S604" s="50">
        <v>150.99610000000001</v>
      </c>
      <c r="T604" s="46">
        <v>1.2932999999999999</v>
      </c>
    </row>
    <row r="605" spans="16:20" x14ac:dyDescent="0.25">
      <c r="P605" s="18">
        <v>604</v>
      </c>
      <c r="Q605" s="50">
        <v>141.03800000000001</v>
      </c>
      <c r="R605" s="50">
        <v>141.03800000000001</v>
      </c>
      <c r="S605" s="50">
        <v>138.4314</v>
      </c>
      <c r="T605" s="46">
        <v>-2.6067</v>
      </c>
    </row>
    <row r="606" spans="16:20" x14ac:dyDescent="0.25">
      <c r="P606" s="18">
        <v>605</v>
      </c>
      <c r="Q606" s="50">
        <v>115.94750000000001</v>
      </c>
      <c r="R606" s="50">
        <v>115.94750000000001</v>
      </c>
      <c r="S606" s="50">
        <v>95.235799999999998</v>
      </c>
      <c r="T606" s="46">
        <v>-20.7117</v>
      </c>
    </row>
    <row r="607" spans="16:20" x14ac:dyDescent="0.25">
      <c r="P607" s="18">
        <v>606</v>
      </c>
      <c r="Q607" s="50">
        <v>61.447299999999998</v>
      </c>
      <c r="R607" s="50">
        <v>0</v>
      </c>
      <c r="S607" s="50">
        <v>3.1183999999999998</v>
      </c>
      <c r="T607" s="46">
        <v>3.1183999999999998</v>
      </c>
    </row>
    <row r="608" spans="16:20" x14ac:dyDescent="0.25">
      <c r="P608" s="18">
        <v>607</v>
      </c>
      <c r="Q608" s="50">
        <v>128.30029999999999</v>
      </c>
      <c r="R608" s="50">
        <v>128.30029999999999</v>
      </c>
      <c r="S608" s="50">
        <v>126.96380000000001</v>
      </c>
      <c r="T608" s="46">
        <v>-1.3365</v>
      </c>
    </row>
    <row r="609" spans="16:20" x14ac:dyDescent="0.25">
      <c r="P609" s="18">
        <v>608</v>
      </c>
      <c r="Q609" s="50">
        <v>85.870900000000006</v>
      </c>
      <c r="R609" s="50">
        <v>0</v>
      </c>
      <c r="S609" s="50">
        <v>-2.5731999999999999</v>
      </c>
      <c r="T609" s="46">
        <v>-2.5731999999999999</v>
      </c>
    </row>
    <row r="610" spans="16:20" x14ac:dyDescent="0.25">
      <c r="P610" s="18">
        <v>609</v>
      </c>
      <c r="Q610" s="50">
        <v>109.2928</v>
      </c>
      <c r="R610" s="50">
        <v>109.2928</v>
      </c>
      <c r="S610" s="50">
        <v>74.663899999999998</v>
      </c>
      <c r="T610" s="46">
        <v>-34.628900000000002</v>
      </c>
    </row>
    <row r="611" spans="16:20" x14ac:dyDescent="0.25">
      <c r="P611" s="18">
        <v>610</v>
      </c>
      <c r="Q611" s="50">
        <v>91.188800000000001</v>
      </c>
      <c r="R611" s="50">
        <v>0</v>
      </c>
      <c r="S611" s="50">
        <v>23.120100000000001</v>
      </c>
      <c r="T611" s="46">
        <v>23.120100000000001</v>
      </c>
    </row>
    <row r="612" spans="16:20" x14ac:dyDescent="0.25">
      <c r="P612" s="18">
        <v>611</v>
      </c>
      <c r="Q612" s="50">
        <v>80.141300000000001</v>
      </c>
      <c r="R612" s="50">
        <v>0</v>
      </c>
      <c r="S612" s="50">
        <v>-1.1851</v>
      </c>
      <c r="T612" s="46">
        <v>-1.1851</v>
      </c>
    </row>
    <row r="613" spans="16:20" x14ac:dyDescent="0.25">
      <c r="P613" s="18">
        <v>612</v>
      </c>
      <c r="Q613" s="50">
        <v>127.7752</v>
      </c>
      <c r="R613" s="50">
        <v>127.7752</v>
      </c>
      <c r="S613" s="50">
        <v>140.71809999999999</v>
      </c>
      <c r="T613" s="46">
        <v>12.9429</v>
      </c>
    </row>
    <row r="614" spans="16:20" x14ac:dyDescent="0.25">
      <c r="P614" s="18">
        <v>613</v>
      </c>
      <c r="Q614" s="50">
        <v>83.441900000000004</v>
      </c>
      <c r="R614" s="50">
        <v>0</v>
      </c>
      <c r="S614" s="50">
        <v>7.1848000000000001</v>
      </c>
      <c r="T614" s="46">
        <v>7.1848000000000001</v>
      </c>
    </row>
    <row r="615" spans="16:20" x14ac:dyDescent="0.25">
      <c r="P615" s="18">
        <v>614</v>
      </c>
      <c r="Q615" s="50">
        <v>87.950599999999994</v>
      </c>
      <c r="R615" s="50">
        <v>0</v>
      </c>
      <c r="S615" s="50">
        <v>0.78029999999999999</v>
      </c>
      <c r="T615" s="46">
        <v>0.78029999999999999</v>
      </c>
    </row>
    <row r="616" spans="16:20" x14ac:dyDescent="0.25">
      <c r="P616" s="18">
        <v>615</v>
      </c>
      <c r="Q616" s="50">
        <v>136.85769999999999</v>
      </c>
      <c r="R616" s="50">
        <v>136.85769999999999</v>
      </c>
      <c r="S616" s="50">
        <v>133.40790000000001</v>
      </c>
      <c r="T616" s="46">
        <v>-3.4497</v>
      </c>
    </row>
    <row r="617" spans="16:20" x14ac:dyDescent="0.25">
      <c r="P617" s="18">
        <v>616</v>
      </c>
      <c r="Q617" s="50">
        <v>95.886499999999998</v>
      </c>
      <c r="R617" s="50">
        <v>0</v>
      </c>
      <c r="S617" s="50">
        <v>34.436</v>
      </c>
      <c r="T617" s="46">
        <v>34.436</v>
      </c>
    </row>
    <row r="618" spans="16:20" x14ac:dyDescent="0.25">
      <c r="P618" s="18">
        <v>617</v>
      </c>
      <c r="Q618" s="50">
        <v>88.446200000000005</v>
      </c>
      <c r="R618" s="50">
        <v>0</v>
      </c>
      <c r="S618" s="50">
        <v>5.3845000000000001</v>
      </c>
      <c r="T618" s="46">
        <v>5.3845000000000001</v>
      </c>
    </row>
    <row r="619" spans="16:20" x14ac:dyDescent="0.25">
      <c r="P619" s="18">
        <v>618</v>
      </c>
      <c r="Q619" s="50">
        <v>116.7657</v>
      </c>
      <c r="R619" s="50">
        <v>116.7657</v>
      </c>
      <c r="S619" s="50">
        <v>113.5311</v>
      </c>
      <c r="T619" s="46">
        <v>-3.2345999999999999</v>
      </c>
    </row>
    <row r="620" spans="16:20" x14ac:dyDescent="0.25">
      <c r="P620" s="18">
        <v>619</v>
      </c>
      <c r="Q620" s="50">
        <v>123.6129</v>
      </c>
      <c r="R620" s="50">
        <v>123.6129</v>
      </c>
      <c r="S620" s="50">
        <v>117.6474</v>
      </c>
      <c r="T620" s="46">
        <v>-5.9654999999999996</v>
      </c>
    </row>
    <row r="621" spans="16:20" x14ac:dyDescent="0.25">
      <c r="P621" s="18">
        <v>620</v>
      </c>
      <c r="Q621" s="50">
        <v>114.1576</v>
      </c>
      <c r="R621" s="50">
        <v>114.1576</v>
      </c>
      <c r="S621" s="50">
        <v>123.3338</v>
      </c>
      <c r="T621" s="46">
        <v>9.1761999999999997</v>
      </c>
    </row>
    <row r="622" spans="16:20" x14ac:dyDescent="0.25">
      <c r="P622" s="18">
        <v>621</v>
      </c>
      <c r="Q622" s="50">
        <v>66.484399999999994</v>
      </c>
      <c r="R622" s="50">
        <v>0</v>
      </c>
      <c r="S622" s="50">
        <v>8.7499999999999994E-2</v>
      </c>
      <c r="T622" s="46">
        <v>8.7499999999999994E-2</v>
      </c>
    </row>
    <row r="623" spans="16:20" x14ac:dyDescent="0.25">
      <c r="P623" s="18">
        <v>622</v>
      </c>
      <c r="Q623" s="50">
        <v>104.569</v>
      </c>
      <c r="R623" s="50">
        <v>104.569</v>
      </c>
      <c r="S623" s="50">
        <v>72.469099999999997</v>
      </c>
      <c r="T623" s="46">
        <v>-32.099899999999998</v>
      </c>
    </row>
    <row r="624" spans="16:20" x14ac:dyDescent="0.25">
      <c r="P624" s="18">
        <v>623</v>
      </c>
      <c r="Q624" s="50">
        <v>93.180099999999996</v>
      </c>
      <c r="R624" s="50">
        <v>0</v>
      </c>
      <c r="S624" s="50">
        <v>18.349399999999999</v>
      </c>
      <c r="T624" s="46">
        <v>18.349399999999999</v>
      </c>
    </row>
    <row r="625" spans="16:20" x14ac:dyDescent="0.25">
      <c r="P625" s="18">
        <v>624</v>
      </c>
      <c r="Q625" s="50">
        <v>102.00839999999999</v>
      </c>
      <c r="R625" s="50">
        <v>102.00839999999999</v>
      </c>
      <c r="S625" s="50">
        <v>59.913400000000003</v>
      </c>
      <c r="T625" s="46">
        <v>-42.095100000000002</v>
      </c>
    </row>
    <row r="626" spans="16:20" x14ac:dyDescent="0.25">
      <c r="P626" s="18">
        <v>625</v>
      </c>
      <c r="Q626" s="50">
        <v>81.950100000000006</v>
      </c>
      <c r="R626" s="50">
        <v>0</v>
      </c>
      <c r="S626" s="50">
        <v>-2.5608</v>
      </c>
      <c r="T626" s="46">
        <v>-2.5608</v>
      </c>
    </row>
    <row r="627" spans="16:20" x14ac:dyDescent="0.25">
      <c r="P627" s="18">
        <v>626</v>
      </c>
      <c r="Q627" s="50">
        <v>165.37440000000001</v>
      </c>
      <c r="R627" s="50">
        <v>165.37440000000001</v>
      </c>
      <c r="S627" s="50">
        <v>167.01</v>
      </c>
      <c r="T627" s="46">
        <v>1.6355999999999999</v>
      </c>
    </row>
    <row r="628" spans="16:20" x14ac:dyDescent="0.25">
      <c r="P628" s="18">
        <v>627</v>
      </c>
      <c r="Q628" s="50">
        <v>77.730699999999999</v>
      </c>
      <c r="R628" s="50">
        <v>0</v>
      </c>
      <c r="S628" s="50">
        <v>6.1782000000000004</v>
      </c>
      <c r="T628" s="46">
        <v>6.1782000000000004</v>
      </c>
    </row>
    <row r="629" spans="16:20" x14ac:dyDescent="0.25">
      <c r="P629" s="18">
        <v>628</v>
      </c>
      <c r="Q629" s="50">
        <v>89.056299999999993</v>
      </c>
      <c r="R629" s="50">
        <v>0</v>
      </c>
      <c r="S629" s="50">
        <v>12.273899999999999</v>
      </c>
      <c r="T629" s="46">
        <v>12.273899999999999</v>
      </c>
    </row>
    <row r="630" spans="16:20" x14ac:dyDescent="0.25">
      <c r="P630" s="18">
        <v>629</v>
      </c>
      <c r="Q630" s="50">
        <v>92.738799999999998</v>
      </c>
      <c r="R630" s="50">
        <v>0</v>
      </c>
      <c r="S630" s="50">
        <v>24.128399999999999</v>
      </c>
      <c r="T630" s="46">
        <v>24.128399999999999</v>
      </c>
    </row>
    <row r="631" spans="16:20" x14ac:dyDescent="0.25">
      <c r="P631" s="18">
        <v>630</v>
      </c>
      <c r="Q631" s="50">
        <v>143.8964</v>
      </c>
      <c r="R631" s="50">
        <v>143.8964</v>
      </c>
      <c r="S631" s="50">
        <v>141.10769999999999</v>
      </c>
      <c r="T631" s="46">
        <v>-2.7886000000000002</v>
      </c>
    </row>
    <row r="632" spans="16:20" x14ac:dyDescent="0.25">
      <c r="P632" s="18">
        <v>631</v>
      </c>
      <c r="Q632" s="50">
        <v>87.296400000000006</v>
      </c>
      <c r="R632" s="50">
        <v>0</v>
      </c>
      <c r="S632" s="50">
        <v>16.276900000000001</v>
      </c>
      <c r="T632" s="46">
        <v>16.276900000000001</v>
      </c>
    </row>
    <row r="633" spans="16:20" x14ac:dyDescent="0.25">
      <c r="P633" s="18">
        <v>632</v>
      </c>
      <c r="Q633" s="50">
        <v>235.17769999999999</v>
      </c>
      <c r="R633" s="50">
        <v>235.17769999999999</v>
      </c>
      <c r="S633" s="50">
        <v>239.71350000000001</v>
      </c>
      <c r="T633" s="46">
        <v>4.5358000000000001</v>
      </c>
    </row>
    <row r="634" spans="16:20" x14ac:dyDescent="0.25">
      <c r="P634" s="18">
        <v>633</v>
      </c>
      <c r="Q634" s="50">
        <v>57.021900000000002</v>
      </c>
      <c r="R634" s="50">
        <v>0</v>
      </c>
      <c r="S634" s="50">
        <v>2.6387999999999998</v>
      </c>
      <c r="T634" s="46">
        <v>2.6387999999999998</v>
      </c>
    </row>
    <row r="635" spans="16:20" x14ac:dyDescent="0.25">
      <c r="P635" s="18">
        <v>634</v>
      </c>
      <c r="Q635" s="50">
        <v>72.390900000000002</v>
      </c>
      <c r="R635" s="50">
        <v>0</v>
      </c>
      <c r="S635" s="50">
        <v>-1.0739000000000001</v>
      </c>
      <c r="T635" s="46">
        <v>-1.0739000000000001</v>
      </c>
    </row>
    <row r="636" spans="16:20" x14ac:dyDescent="0.25">
      <c r="P636" s="18">
        <v>635</v>
      </c>
      <c r="Q636" s="50">
        <v>115.4366</v>
      </c>
      <c r="R636" s="50">
        <v>115.4366</v>
      </c>
      <c r="S636" s="50">
        <v>127.19970000000001</v>
      </c>
      <c r="T636" s="46">
        <v>11.7631</v>
      </c>
    </row>
    <row r="637" spans="16:20" x14ac:dyDescent="0.25">
      <c r="P637" s="18">
        <v>636</v>
      </c>
      <c r="Q637" s="50">
        <v>75.303899999999999</v>
      </c>
      <c r="R637" s="50">
        <v>0</v>
      </c>
      <c r="S637" s="50">
        <v>0.20960000000000001</v>
      </c>
      <c r="T637" s="46">
        <v>0.20960000000000001</v>
      </c>
    </row>
    <row r="638" spans="16:20" x14ac:dyDescent="0.25">
      <c r="P638" s="18">
        <v>637</v>
      </c>
      <c r="Q638" s="50">
        <v>94.051400000000001</v>
      </c>
      <c r="R638" s="50">
        <v>0</v>
      </c>
      <c r="S638" s="50">
        <v>20.317799999999998</v>
      </c>
      <c r="T638" s="46">
        <v>20.317799999999998</v>
      </c>
    </row>
    <row r="639" spans="16:20" x14ac:dyDescent="0.25">
      <c r="P639" s="18">
        <v>638</v>
      </c>
      <c r="Q639" s="50">
        <v>76.026799999999994</v>
      </c>
      <c r="R639" s="50">
        <v>0</v>
      </c>
      <c r="S639" s="50">
        <v>5.9909999999999997</v>
      </c>
      <c r="T639" s="46">
        <v>5.9909999999999997</v>
      </c>
    </row>
    <row r="640" spans="16:20" x14ac:dyDescent="0.25">
      <c r="P640" s="18">
        <v>639</v>
      </c>
      <c r="Q640" s="50">
        <v>190.18530000000001</v>
      </c>
      <c r="R640" s="50">
        <v>190.18530000000001</v>
      </c>
      <c r="S640" s="50">
        <v>194.93780000000001</v>
      </c>
      <c r="T640" s="46">
        <v>4.7525000000000004</v>
      </c>
    </row>
    <row r="641" spans="16:20" x14ac:dyDescent="0.25">
      <c r="P641" s="18">
        <v>640</v>
      </c>
      <c r="Q641" s="50">
        <v>106.6482</v>
      </c>
      <c r="R641" s="50">
        <v>106.6482</v>
      </c>
      <c r="S641" s="50">
        <v>78.373500000000007</v>
      </c>
      <c r="T641" s="46">
        <v>-28.274799999999999</v>
      </c>
    </row>
    <row r="642" spans="16:20" x14ac:dyDescent="0.25">
      <c r="P642" s="18">
        <v>641</v>
      </c>
      <c r="Q642" s="50">
        <v>88.140100000000004</v>
      </c>
      <c r="R642" s="50">
        <v>0</v>
      </c>
      <c r="S642" s="50">
        <v>1.5442</v>
      </c>
      <c r="T642" s="46">
        <v>1.5442</v>
      </c>
    </row>
    <row r="643" spans="16:20" x14ac:dyDescent="0.25">
      <c r="P643" s="18">
        <v>642</v>
      </c>
      <c r="Q643" s="50">
        <v>98.306200000000004</v>
      </c>
      <c r="R643" s="50">
        <v>0</v>
      </c>
      <c r="S643" s="50">
        <v>52.951900000000002</v>
      </c>
      <c r="T643" s="46">
        <v>52.951900000000002</v>
      </c>
    </row>
    <row r="644" spans="16:20" x14ac:dyDescent="0.25">
      <c r="P644" s="18">
        <v>643</v>
      </c>
      <c r="Q644" s="50">
        <v>150.24799999999999</v>
      </c>
      <c r="R644" s="50">
        <v>150.24799999999999</v>
      </c>
      <c r="S644" s="50">
        <v>152.06700000000001</v>
      </c>
      <c r="T644" s="46">
        <v>1.819</v>
      </c>
    </row>
    <row r="645" spans="16:20" x14ac:dyDescent="0.25">
      <c r="P645" s="18">
        <v>644</v>
      </c>
      <c r="Q645" s="50">
        <v>122.55889999999999</v>
      </c>
      <c r="R645" s="50">
        <v>122.55889999999999</v>
      </c>
      <c r="S645" s="50">
        <v>115.0141</v>
      </c>
      <c r="T645" s="46">
        <v>-7.5448000000000004</v>
      </c>
    </row>
    <row r="646" spans="16:20" x14ac:dyDescent="0.25">
      <c r="P646" s="18">
        <v>645</v>
      </c>
      <c r="Q646" s="50">
        <v>105.0547</v>
      </c>
      <c r="R646" s="50">
        <v>105.0547</v>
      </c>
      <c r="S646" s="50">
        <v>74.572299999999998</v>
      </c>
      <c r="T646" s="46">
        <v>-30.482399999999998</v>
      </c>
    </row>
    <row r="647" spans="16:20" x14ac:dyDescent="0.25">
      <c r="P647" s="18">
        <v>646</v>
      </c>
      <c r="Q647" s="50">
        <v>189.1266</v>
      </c>
      <c r="R647" s="50">
        <v>189.1266</v>
      </c>
      <c r="S647" s="50">
        <v>192.64660000000001</v>
      </c>
      <c r="T647" s="46">
        <v>3.52</v>
      </c>
    </row>
    <row r="648" spans="16:20" x14ac:dyDescent="0.25">
      <c r="P648" s="18">
        <v>647</v>
      </c>
      <c r="Q648" s="50">
        <v>69.406300000000002</v>
      </c>
      <c r="R648" s="50">
        <v>0</v>
      </c>
      <c r="S648" s="50">
        <v>-5.8101000000000003</v>
      </c>
      <c r="T648" s="46">
        <v>-5.8101000000000003</v>
      </c>
    </row>
    <row r="649" spans="16:20" x14ac:dyDescent="0.25">
      <c r="P649" s="18">
        <v>648</v>
      </c>
      <c r="Q649" s="50">
        <v>159.13669999999999</v>
      </c>
      <c r="R649" s="50">
        <v>159.13669999999999</v>
      </c>
      <c r="S649" s="50">
        <v>155.27850000000001</v>
      </c>
      <c r="T649" s="46">
        <v>-3.8582000000000001</v>
      </c>
    </row>
    <row r="650" spans="16:20" x14ac:dyDescent="0.25">
      <c r="P650" s="18">
        <v>649</v>
      </c>
      <c r="Q650" s="50">
        <v>88.998199999999997</v>
      </c>
      <c r="R650" s="50">
        <v>0</v>
      </c>
      <c r="S650" s="50">
        <v>12.1717</v>
      </c>
      <c r="T650" s="46">
        <v>12.1717</v>
      </c>
    </row>
    <row r="651" spans="16:20" x14ac:dyDescent="0.25">
      <c r="P651" s="18">
        <v>650</v>
      </c>
      <c r="Q651" s="50">
        <v>112.4438</v>
      </c>
      <c r="R651" s="50">
        <v>112.4438</v>
      </c>
      <c r="S651" s="50">
        <v>102.6066</v>
      </c>
      <c r="T651" s="46">
        <v>-9.8371999999999993</v>
      </c>
    </row>
    <row r="652" spans="16:20" x14ac:dyDescent="0.25">
      <c r="P652" s="18">
        <v>651</v>
      </c>
      <c r="Q652" s="50">
        <v>110.0774</v>
      </c>
      <c r="R652" s="50">
        <v>110.0774</v>
      </c>
      <c r="S652" s="50">
        <v>99.844499999999996</v>
      </c>
      <c r="T652" s="46">
        <v>-10.232900000000001</v>
      </c>
    </row>
    <row r="653" spans="16:20" x14ac:dyDescent="0.25">
      <c r="P653" s="18">
        <v>652</v>
      </c>
      <c r="Q653" s="50">
        <v>173.00460000000001</v>
      </c>
      <c r="R653" s="50">
        <v>173.00460000000001</v>
      </c>
      <c r="S653" s="50">
        <v>178.68709999999999</v>
      </c>
      <c r="T653" s="46">
        <v>5.6825000000000001</v>
      </c>
    </row>
    <row r="654" spans="16:20" x14ac:dyDescent="0.25">
      <c r="P654" s="18">
        <v>653</v>
      </c>
      <c r="Q654" s="50">
        <v>115.30410000000001</v>
      </c>
      <c r="R654" s="50">
        <v>115.30410000000001</v>
      </c>
      <c r="S654" s="50">
        <v>106.27719999999999</v>
      </c>
      <c r="T654" s="46">
        <v>-9.0268999999999995</v>
      </c>
    </row>
    <row r="655" spans="16:20" x14ac:dyDescent="0.25">
      <c r="P655" s="18">
        <v>654</v>
      </c>
      <c r="Q655" s="50">
        <v>150.88570000000001</v>
      </c>
      <c r="R655" s="50">
        <v>150.88570000000001</v>
      </c>
      <c r="S655" s="50">
        <v>150.04519999999999</v>
      </c>
      <c r="T655" s="46">
        <v>-0.84050000000000002</v>
      </c>
    </row>
    <row r="656" spans="16:20" x14ac:dyDescent="0.25">
      <c r="P656" s="18">
        <v>655</v>
      </c>
      <c r="Q656" s="50">
        <v>106.9773</v>
      </c>
      <c r="R656" s="50">
        <v>106.9773</v>
      </c>
      <c r="S656" s="50">
        <v>90.696700000000007</v>
      </c>
      <c r="T656" s="46">
        <v>-16.2807</v>
      </c>
    </row>
    <row r="657" spans="16:20" x14ac:dyDescent="0.25">
      <c r="P657" s="18">
        <v>656</v>
      </c>
      <c r="Q657" s="50">
        <v>64.048500000000004</v>
      </c>
      <c r="R657" s="50">
        <v>0</v>
      </c>
      <c r="S657" s="50">
        <v>-1.5847</v>
      </c>
      <c r="T657" s="46">
        <v>-1.5847</v>
      </c>
    </row>
    <row r="658" spans="16:20" x14ac:dyDescent="0.25">
      <c r="P658" s="18">
        <v>657</v>
      </c>
      <c r="Q658" s="50">
        <v>63.856499999999997</v>
      </c>
      <c r="R658" s="50">
        <v>0</v>
      </c>
      <c r="S658" s="50">
        <v>-15.727499999999999</v>
      </c>
      <c r="T658" s="46">
        <v>-15.727499999999999</v>
      </c>
    </row>
    <row r="659" spans="16:20" x14ac:dyDescent="0.25">
      <c r="P659" s="18">
        <v>658</v>
      </c>
      <c r="Q659" s="50">
        <v>108.9521</v>
      </c>
      <c r="R659" s="50">
        <v>108.9521</v>
      </c>
      <c r="S659" s="50">
        <v>99.046800000000005</v>
      </c>
      <c r="T659" s="46">
        <v>-9.9053000000000004</v>
      </c>
    </row>
    <row r="660" spans="16:20" x14ac:dyDescent="0.25">
      <c r="P660" s="18">
        <v>659</v>
      </c>
      <c r="Q660" s="50">
        <v>106.0227</v>
      </c>
      <c r="R660" s="50">
        <v>106.0227</v>
      </c>
      <c r="S660" s="50">
        <v>73.752399999999994</v>
      </c>
      <c r="T660" s="46">
        <v>-32.270299999999999</v>
      </c>
    </row>
    <row r="661" spans="16:20" x14ac:dyDescent="0.25">
      <c r="P661" s="18">
        <v>660</v>
      </c>
      <c r="Q661" s="50">
        <v>148.2097</v>
      </c>
      <c r="R661" s="50">
        <v>148.2097</v>
      </c>
      <c r="S661" s="50">
        <v>146.62530000000001</v>
      </c>
      <c r="T661" s="46">
        <v>-1.5844</v>
      </c>
    </row>
    <row r="662" spans="16:20" x14ac:dyDescent="0.25">
      <c r="P662" s="18">
        <v>661</v>
      </c>
      <c r="Q662" s="50">
        <v>71.257499999999993</v>
      </c>
      <c r="R662" s="50">
        <v>0</v>
      </c>
      <c r="S662" s="50">
        <v>-11.118499999999999</v>
      </c>
      <c r="T662" s="46">
        <v>-11.118499999999999</v>
      </c>
    </row>
    <row r="663" spans="16:20" x14ac:dyDescent="0.25">
      <c r="P663" s="18">
        <v>662</v>
      </c>
      <c r="Q663" s="50">
        <v>75.750799999999998</v>
      </c>
      <c r="R663" s="50">
        <v>0</v>
      </c>
      <c r="S663" s="50">
        <v>-13.5951</v>
      </c>
      <c r="T663" s="46">
        <v>-13.5951</v>
      </c>
    </row>
    <row r="664" spans="16:20" x14ac:dyDescent="0.25">
      <c r="P664" s="18">
        <v>663</v>
      </c>
      <c r="Q664" s="50">
        <v>153.61699999999999</v>
      </c>
      <c r="R664" s="50">
        <v>153.61699999999999</v>
      </c>
      <c r="S664" s="50">
        <v>159.9289</v>
      </c>
      <c r="T664" s="46">
        <v>6.3118999999999996</v>
      </c>
    </row>
    <row r="665" spans="16:20" x14ac:dyDescent="0.25">
      <c r="P665" s="18">
        <v>664</v>
      </c>
      <c r="Q665" s="50">
        <v>76.414599999999993</v>
      </c>
      <c r="R665" s="50">
        <v>0</v>
      </c>
      <c r="S665" s="50">
        <v>-9.6105</v>
      </c>
      <c r="T665" s="46">
        <v>-9.6105</v>
      </c>
    </row>
    <row r="666" spans="16:20" x14ac:dyDescent="0.25">
      <c r="P666" s="18">
        <v>665</v>
      </c>
      <c r="Q666" s="50">
        <v>88.134399999999999</v>
      </c>
      <c r="R666" s="50">
        <v>0</v>
      </c>
      <c r="S666" s="50">
        <v>-3.3563000000000001</v>
      </c>
      <c r="T666" s="46">
        <v>-3.3563000000000001</v>
      </c>
    </row>
    <row r="667" spans="16:20" x14ac:dyDescent="0.25">
      <c r="P667" s="18">
        <v>666</v>
      </c>
      <c r="Q667" s="50">
        <v>94.340699999999998</v>
      </c>
      <c r="R667" s="50">
        <v>0</v>
      </c>
      <c r="S667" s="50">
        <v>21.065799999999999</v>
      </c>
      <c r="T667" s="46">
        <v>21.065799999999999</v>
      </c>
    </row>
    <row r="668" spans="16:20" x14ac:dyDescent="0.25">
      <c r="P668" s="18">
        <v>667</v>
      </c>
      <c r="Q668" s="50">
        <v>104.5757</v>
      </c>
      <c r="R668" s="50">
        <v>104.5757</v>
      </c>
      <c r="S668" s="50">
        <v>67.584900000000005</v>
      </c>
      <c r="T668" s="46">
        <v>-36.9908</v>
      </c>
    </row>
    <row r="669" spans="16:20" x14ac:dyDescent="0.25">
      <c r="P669" s="18">
        <v>668</v>
      </c>
      <c r="Q669" s="50">
        <v>86.260900000000007</v>
      </c>
      <c r="R669" s="50">
        <v>0</v>
      </c>
      <c r="S669" s="50">
        <v>-6.8599999999999994E-2</v>
      </c>
      <c r="T669" s="46">
        <v>-6.8599999999999994E-2</v>
      </c>
    </row>
    <row r="670" spans="16:20" x14ac:dyDescent="0.25">
      <c r="P670" s="18">
        <v>669</v>
      </c>
      <c r="Q670" s="50">
        <v>173.571</v>
      </c>
      <c r="R670" s="50">
        <v>173.571</v>
      </c>
      <c r="S670" s="50">
        <v>176.2433</v>
      </c>
      <c r="T670" s="46">
        <v>2.6722999999999999</v>
      </c>
    </row>
    <row r="671" spans="16:20" x14ac:dyDescent="0.25">
      <c r="P671" s="18">
        <v>670</v>
      </c>
      <c r="Q671" s="50">
        <v>80.236900000000006</v>
      </c>
      <c r="R671" s="50">
        <v>0</v>
      </c>
      <c r="S671" s="50">
        <v>8.1647999999999996</v>
      </c>
      <c r="T671" s="46">
        <v>8.1647999999999996</v>
      </c>
    </row>
    <row r="672" spans="16:20" x14ac:dyDescent="0.25">
      <c r="P672" s="18">
        <v>671</v>
      </c>
      <c r="Q672" s="50">
        <v>161.7397</v>
      </c>
      <c r="R672" s="50">
        <v>161.7397</v>
      </c>
      <c r="S672" s="50">
        <v>159.33160000000001</v>
      </c>
      <c r="T672" s="46">
        <v>-2.4079999999999999</v>
      </c>
    </row>
    <row r="673" spans="16:20" x14ac:dyDescent="0.25">
      <c r="P673" s="18">
        <v>672</v>
      </c>
      <c r="Q673" s="50">
        <v>128.6121</v>
      </c>
      <c r="R673" s="50">
        <v>128.6121</v>
      </c>
      <c r="S673" s="50">
        <v>135.4778</v>
      </c>
      <c r="T673" s="46">
        <v>6.8658000000000001</v>
      </c>
    </row>
    <row r="674" spans="16:20" x14ac:dyDescent="0.25">
      <c r="P674" s="18">
        <v>673</v>
      </c>
      <c r="Q674" s="50">
        <v>78.811099999999996</v>
      </c>
      <c r="R674" s="50">
        <v>0</v>
      </c>
      <c r="S674" s="50">
        <v>-9.3857999999999997</v>
      </c>
      <c r="T674" s="46">
        <v>-9.3857999999999997</v>
      </c>
    </row>
    <row r="675" spans="16:20" x14ac:dyDescent="0.25">
      <c r="P675" s="18">
        <v>674</v>
      </c>
      <c r="Q675" s="50">
        <v>124.4199</v>
      </c>
      <c r="R675" s="50">
        <v>124.4199</v>
      </c>
      <c r="S675" s="50">
        <v>147.51560000000001</v>
      </c>
      <c r="T675" s="46">
        <v>23.095800000000001</v>
      </c>
    </row>
    <row r="676" spans="16:20" x14ac:dyDescent="0.25">
      <c r="P676" s="18">
        <v>675</v>
      </c>
      <c r="Q676" s="50">
        <v>91.874499999999998</v>
      </c>
      <c r="R676" s="50">
        <v>0</v>
      </c>
      <c r="S676" s="50">
        <v>20.253299999999999</v>
      </c>
      <c r="T676" s="46">
        <v>20.253299999999999</v>
      </c>
    </row>
    <row r="677" spans="16:20" x14ac:dyDescent="0.25">
      <c r="P677" s="18">
        <v>676</v>
      </c>
      <c r="Q677" s="50">
        <v>116.8023</v>
      </c>
      <c r="R677" s="50">
        <v>116.8023</v>
      </c>
      <c r="S677" s="50">
        <v>108.7576</v>
      </c>
      <c r="T677" s="46">
        <v>-8.0447000000000006</v>
      </c>
    </row>
    <row r="678" spans="16:20" x14ac:dyDescent="0.25">
      <c r="P678" s="18">
        <v>677</v>
      </c>
      <c r="Q678" s="50">
        <v>97.101699999999994</v>
      </c>
      <c r="R678" s="50">
        <v>0</v>
      </c>
      <c r="S678" s="50">
        <v>30.438400000000001</v>
      </c>
      <c r="T678" s="46">
        <v>30.438400000000001</v>
      </c>
    </row>
    <row r="679" spans="16:20" x14ac:dyDescent="0.25">
      <c r="P679" s="18">
        <v>678</v>
      </c>
      <c r="Q679" s="50">
        <v>137.46430000000001</v>
      </c>
      <c r="R679" s="50">
        <v>137.46430000000001</v>
      </c>
      <c r="S679" s="50">
        <v>135.63120000000001</v>
      </c>
      <c r="T679" s="46">
        <v>-1.8331</v>
      </c>
    </row>
    <row r="680" spans="16:20" x14ac:dyDescent="0.25">
      <c r="P680" s="18">
        <v>679</v>
      </c>
      <c r="Q680" s="50">
        <v>134.41659999999999</v>
      </c>
      <c r="R680" s="50">
        <v>134.41659999999999</v>
      </c>
      <c r="S680" s="50">
        <v>138.42310000000001</v>
      </c>
      <c r="T680" s="46">
        <v>4.0064000000000002</v>
      </c>
    </row>
    <row r="681" spans="16:20" x14ac:dyDescent="0.25">
      <c r="P681" s="18">
        <v>680</v>
      </c>
      <c r="Q681" s="50">
        <v>85.677999999999997</v>
      </c>
      <c r="R681" s="50">
        <v>0</v>
      </c>
      <c r="S681" s="50">
        <v>-0.65769999999999995</v>
      </c>
      <c r="T681" s="46">
        <v>-0.65769999999999995</v>
      </c>
    </row>
    <row r="682" spans="16:20" x14ac:dyDescent="0.25">
      <c r="P682" s="18">
        <v>681</v>
      </c>
      <c r="Q682" s="50">
        <v>103.3694</v>
      </c>
      <c r="R682" s="50">
        <v>103.3694</v>
      </c>
      <c r="S682" s="50">
        <v>66.950199999999995</v>
      </c>
      <c r="T682" s="46">
        <v>-36.419199999999996</v>
      </c>
    </row>
    <row r="683" spans="16:20" x14ac:dyDescent="0.25">
      <c r="P683" s="18">
        <v>682</v>
      </c>
      <c r="Q683" s="50">
        <v>63.368099999999998</v>
      </c>
      <c r="R683" s="50">
        <v>0</v>
      </c>
      <c r="S683" s="50">
        <v>-8.1050000000000004</v>
      </c>
      <c r="T683" s="46">
        <v>-8.1050000000000004</v>
      </c>
    </row>
    <row r="684" spans="16:20" x14ac:dyDescent="0.25">
      <c r="P684" s="18">
        <v>683</v>
      </c>
      <c r="Q684" s="50">
        <v>164.2148</v>
      </c>
      <c r="R684" s="50">
        <v>164.2148</v>
      </c>
      <c r="S684" s="50">
        <v>160.8313</v>
      </c>
      <c r="T684" s="46">
        <v>-3.3835999999999999</v>
      </c>
    </row>
    <row r="685" spans="16:20" x14ac:dyDescent="0.25">
      <c r="P685" s="18">
        <v>684</v>
      </c>
      <c r="Q685" s="50">
        <v>66.032700000000006</v>
      </c>
      <c r="R685" s="50">
        <v>0</v>
      </c>
      <c r="S685" s="50">
        <v>1.0767</v>
      </c>
      <c r="T685" s="46">
        <v>1.0767</v>
      </c>
    </row>
    <row r="686" spans="16:20" x14ac:dyDescent="0.25">
      <c r="P686" s="18">
        <v>685</v>
      </c>
      <c r="Q686" s="50">
        <v>74.786699999999996</v>
      </c>
      <c r="R686" s="50">
        <v>0</v>
      </c>
      <c r="S686" s="50">
        <v>12.2736</v>
      </c>
      <c r="T686" s="46">
        <v>12.2736</v>
      </c>
    </row>
    <row r="687" spans="16:20" x14ac:dyDescent="0.25">
      <c r="P687" s="18">
        <v>686</v>
      </c>
      <c r="Q687" s="50">
        <v>143.31880000000001</v>
      </c>
      <c r="R687" s="50">
        <v>143.31880000000001</v>
      </c>
      <c r="S687" s="50">
        <v>153.0703</v>
      </c>
      <c r="T687" s="46">
        <v>9.7515000000000001</v>
      </c>
    </row>
    <row r="688" spans="16:20" x14ac:dyDescent="0.25">
      <c r="P688" s="18">
        <v>687</v>
      </c>
      <c r="Q688" s="50">
        <v>78.0518</v>
      </c>
      <c r="R688" s="50">
        <v>0</v>
      </c>
      <c r="S688" s="50">
        <v>5.6414</v>
      </c>
      <c r="T688" s="46">
        <v>5.6414</v>
      </c>
    </row>
    <row r="689" spans="16:20" x14ac:dyDescent="0.25">
      <c r="P689" s="18">
        <v>688</v>
      </c>
      <c r="Q689" s="50">
        <v>137.58699999999999</v>
      </c>
      <c r="R689" s="50">
        <v>137.58699999999999</v>
      </c>
      <c r="S689" s="50">
        <v>139.77930000000001</v>
      </c>
      <c r="T689" s="46">
        <v>2.1922999999999999</v>
      </c>
    </row>
    <row r="690" spans="16:20" x14ac:dyDescent="0.25">
      <c r="P690" s="18">
        <v>689</v>
      </c>
      <c r="Q690" s="50">
        <v>105.06480000000001</v>
      </c>
      <c r="R690" s="50">
        <v>105.06480000000001</v>
      </c>
      <c r="S690" s="50">
        <v>69.421800000000005</v>
      </c>
      <c r="T690" s="46">
        <v>-35.642899999999997</v>
      </c>
    </row>
    <row r="691" spans="16:20" x14ac:dyDescent="0.25">
      <c r="P691" s="18">
        <v>690</v>
      </c>
      <c r="Q691" s="50">
        <v>120.19580000000001</v>
      </c>
      <c r="R691" s="50">
        <v>120.19580000000001</v>
      </c>
      <c r="S691" s="50">
        <v>117.8997</v>
      </c>
      <c r="T691" s="46">
        <v>-2.2961</v>
      </c>
    </row>
    <row r="692" spans="16:20" x14ac:dyDescent="0.25">
      <c r="P692" s="18">
        <v>691</v>
      </c>
      <c r="Q692" s="50">
        <v>84.664599999999993</v>
      </c>
      <c r="R692" s="50">
        <v>0</v>
      </c>
      <c r="S692" s="50">
        <v>0.81710000000000005</v>
      </c>
      <c r="T692" s="46">
        <v>0.81710000000000005</v>
      </c>
    </row>
    <row r="693" spans="16:20" x14ac:dyDescent="0.25">
      <c r="P693" s="18">
        <v>692</v>
      </c>
      <c r="Q693" s="50">
        <v>101.0564</v>
      </c>
      <c r="R693" s="50">
        <v>101.0564</v>
      </c>
      <c r="S693" s="50">
        <v>57.450099999999999</v>
      </c>
      <c r="T693" s="46">
        <v>-43.606299999999997</v>
      </c>
    </row>
    <row r="694" spans="16:20" x14ac:dyDescent="0.25">
      <c r="P694" s="18">
        <v>693</v>
      </c>
      <c r="Q694" s="50">
        <v>92.707800000000006</v>
      </c>
      <c r="R694" s="50">
        <v>0</v>
      </c>
      <c r="S694" s="50">
        <v>25.8139</v>
      </c>
      <c r="T694" s="46">
        <v>25.8139</v>
      </c>
    </row>
    <row r="695" spans="16:20" x14ac:dyDescent="0.25">
      <c r="P695" s="18">
        <v>694</v>
      </c>
      <c r="Q695" s="50">
        <v>162.8201</v>
      </c>
      <c r="R695" s="50">
        <v>162.8201</v>
      </c>
      <c r="S695" s="50">
        <v>170.00899999999999</v>
      </c>
      <c r="T695" s="46">
        <v>7.1889000000000003</v>
      </c>
    </row>
    <row r="696" spans="16:20" x14ac:dyDescent="0.25">
      <c r="P696" s="18">
        <v>695</v>
      </c>
      <c r="Q696" s="50">
        <v>76.981899999999996</v>
      </c>
      <c r="R696" s="50">
        <v>0</v>
      </c>
      <c r="S696" s="50">
        <v>-11.758599999999999</v>
      </c>
      <c r="T696" s="46">
        <v>-11.758599999999999</v>
      </c>
    </row>
    <row r="697" spans="16:20" x14ac:dyDescent="0.25">
      <c r="P697" s="18">
        <v>696</v>
      </c>
      <c r="Q697" s="50">
        <v>112.595</v>
      </c>
      <c r="R697" s="50">
        <v>112.595</v>
      </c>
      <c r="S697" s="50">
        <v>95.271799999999999</v>
      </c>
      <c r="T697" s="46">
        <v>-17.3232</v>
      </c>
    </row>
    <row r="698" spans="16:20" x14ac:dyDescent="0.25">
      <c r="P698" s="18">
        <v>697</v>
      </c>
      <c r="Q698" s="50">
        <v>87.872</v>
      </c>
      <c r="R698" s="50">
        <v>0</v>
      </c>
      <c r="S698" s="50">
        <v>12.340999999999999</v>
      </c>
      <c r="T698" s="46">
        <v>12.340999999999999</v>
      </c>
    </row>
    <row r="699" spans="16:20" x14ac:dyDescent="0.25">
      <c r="P699" s="18">
        <v>698</v>
      </c>
      <c r="Q699" s="50">
        <v>135.61959999999999</v>
      </c>
      <c r="R699" s="50">
        <v>135.61959999999999</v>
      </c>
      <c r="S699" s="50">
        <v>143.08699999999999</v>
      </c>
      <c r="T699" s="46">
        <v>7.4675000000000002</v>
      </c>
    </row>
    <row r="700" spans="16:20" x14ac:dyDescent="0.25">
      <c r="P700" s="18">
        <v>699</v>
      </c>
      <c r="Q700" s="50">
        <v>95.136700000000005</v>
      </c>
      <c r="R700" s="50">
        <v>0</v>
      </c>
      <c r="S700" s="50">
        <v>42.938699999999997</v>
      </c>
      <c r="T700" s="46">
        <v>42.938699999999997</v>
      </c>
    </row>
    <row r="701" spans="16:20" x14ac:dyDescent="0.25">
      <c r="P701" s="18">
        <v>700</v>
      </c>
      <c r="Q701" s="50">
        <v>64.903499999999994</v>
      </c>
      <c r="R701" s="50">
        <v>0</v>
      </c>
      <c r="S701" s="50">
        <v>-1.7575000000000001</v>
      </c>
      <c r="T701" s="46">
        <v>-1.7575000000000001</v>
      </c>
    </row>
    <row r="702" spans="16:20" x14ac:dyDescent="0.25">
      <c r="P702" s="18">
        <v>701</v>
      </c>
      <c r="Q702" s="50">
        <v>78.739699999999999</v>
      </c>
      <c r="R702" s="50">
        <v>0</v>
      </c>
      <c r="S702" s="50">
        <v>9.8004999999999995</v>
      </c>
      <c r="T702" s="46">
        <v>9.8004999999999995</v>
      </c>
    </row>
    <row r="703" spans="16:20" x14ac:dyDescent="0.25">
      <c r="P703" s="18">
        <v>702</v>
      </c>
      <c r="Q703" s="50">
        <v>100.7</v>
      </c>
      <c r="R703" s="50">
        <v>100.7</v>
      </c>
      <c r="S703" s="50">
        <v>55.506700000000002</v>
      </c>
      <c r="T703" s="46">
        <v>-45.193300000000001</v>
      </c>
    </row>
    <row r="704" spans="16:20" x14ac:dyDescent="0.25">
      <c r="P704" s="18">
        <v>703</v>
      </c>
      <c r="Q704" s="50">
        <v>75.702100000000002</v>
      </c>
      <c r="R704" s="50">
        <v>0</v>
      </c>
      <c r="S704" s="50">
        <v>6.6715</v>
      </c>
      <c r="T704" s="46">
        <v>6.6715</v>
      </c>
    </row>
    <row r="705" spans="16:20" x14ac:dyDescent="0.25">
      <c r="P705" s="18">
        <v>704</v>
      </c>
      <c r="Q705" s="50">
        <v>98.638999999999996</v>
      </c>
      <c r="R705" s="50">
        <v>0</v>
      </c>
      <c r="S705" s="50">
        <v>49.659300000000002</v>
      </c>
      <c r="T705" s="46">
        <v>49.659300000000002</v>
      </c>
    </row>
    <row r="706" spans="16:20" x14ac:dyDescent="0.25">
      <c r="P706" s="18">
        <v>705</v>
      </c>
      <c r="Q706" s="50">
        <v>76.1126</v>
      </c>
      <c r="R706" s="50">
        <v>0</v>
      </c>
      <c r="S706" s="50">
        <v>8.1231000000000009</v>
      </c>
      <c r="T706" s="46">
        <v>8.1231000000000009</v>
      </c>
    </row>
    <row r="707" spans="16:20" x14ac:dyDescent="0.25">
      <c r="P707" s="18">
        <v>706</v>
      </c>
      <c r="Q707" s="50">
        <v>119.95059999999999</v>
      </c>
      <c r="R707" s="50">
        <v>119.95059999999999</v>
      </c>
      <c r="S707" s="50">
        <v>115.29040000000001</v>
      </c>
      <c r="T707" s="46">
        <v>-4.6601999999999997</v>
      </c>
    </row>
    <row r="708" spans="16:20" x14ac:dyDescent="0.25">
      <c r="P708" s="18">
        <v>707</v>
      </c>
      <c r="Q708" s="50">
        <v>109.2187</v>
      </c>
      <c r="R708" s="50">
        <v>109.2187</v>
      </c>
      <c r="S708" s="50">
        <v>81.268799999999999</v>
      </c>
      <c r="T708" s="46">
        <v>-27.9499</v>
      </c>
    </row>
    <row r="709" spans="16:20" x14ac:dyDescent="0.25">
      <c r="P709" s="18">
        <v>708</v>
      </c>
      <c r="Q709" s="50">
        <v>82.183800000000005</v>
      </c>
      <c r="R709" s="50">
        <v>0</v>
      </c>
      <c r="S709" s="50">
        <v>9.0625999999999998</v>
      </c>
      <c r="T709" s="46">
        <v>9.0625999999999998</v>
      </c>
    </row>
    <row r="710" spans="16:20" x14ac:dyDescent="0.25">
      <c r="P710" s="18">
        <v>709</v>
      </c>
      <c r="Q710" s="50">
        <v>74.089100000000002</v>
      </c>
      <c r="R710" s="50">
        <v>0</v>
      </c>
      <c r="S710" s="50">
        <v>3.5531000000000001</v>
      </c>
      <c r="T710" s="46">
        <v>3.5531000000000001</v>
      </c>
    </row>
    <row r="711" spans="16:20" x14ac:dyDescent="0.25">
      <c r="P711" s="18">
        <v>710</v>
      </c>
      <c r="Q711" s="50">
        <v>66.576400000000007</v>
      </c>
      <c r="R711" s="50">
        <v>0</v>
      </c>
      <c r="S711" s="50">
        <v>-0.73499999999999999</v>
      </c>
      <c r="T711" s="46">
        <v>-0.73499999999999999</v>
      </c>
    </row>
    <row r="712" spans="16:20" x14ac:dyDescent="0.25">
      <c r="P712" s="18">
        <v>711</v>
      </c>
      <c r="Q712" s="50">
        <v>90.19</v>
      </c>
      <c r="R712" s="50">
        <v>0</v>
      </c>
      <c r="S712" s="50">
        <v>18.540500000000002</v>
      </c>
      <c r="T712" s="46">
        <v>18.540500000000002</v>
      </c>
    </row>
    <row r="713" spans="16:20" x14ac:dyDescent="0.25">
      <c r="P713" s="18">
        <v>712</v>
      </c>
      <c r="Q713" s="50">
        <v>112.7355</v>
      </c>
      <c r="R713" s="50">
        <v>112.7355</v>
      </c>
      <c r="S713" s="50">
        <v>94.533199999999994</v>
      </c>
      <c r="T713" s="46">
        <v>-18.202300000000001</v>
      </c>
    </row>
    <row r="714" spans="16:20" x14ac:dyDescent="0.25">
      <c r="P714" s="18">
        <v>713</v>
      </c>
      <c r="Q714" s="50">
        <v>122.2188</v>
      </c>
      <c r="R714" s="50">
        <v>122.2188</v>
      </c>
      <c r="S714" s="50">
        <v>116.7597</v>
      </c>
      <c r="T714" s="46">
        <v>-5.4591000000000003</v>
      </c>
    </row>
    <row r="715" spans="16:20" x14ac:dyDescent="0.25">
      <c r="P715" s="18">
        <v>714</v>
      </c>
      <c r="Q715" s="50">
        <v>142.9444</v>
      </c>
      <c r="R715" s="50">
        <v>142.9444</v>
      </c>
      <c r="S715" s="50">
        <v>146.95429999999999</v>
      </c>
      <c r="T715" s="46">
        <v>4.0099</v>
      </c>
    </row>
    <row r="716" spans="16:20" x14ac:dyDescent="0.25">
      <c r="P716" s="18">
        <v>715</v>
      </c>
      <c r="Q716" s="50">
        <v>100.7736</v>
      </c>
      <c r="R716" s="50">
        <v>100.7736</v>
      </c>
      <c r="S716" s="50">
        <v>69.241299999999995</v>
      </c>
      <c r="T716" s="46">
        <v>-31.532299999999999</v>
      </c>
    </row>
    <row r="717" spans="16:20" x14ac:dyDescent="0.25">
      <c r="P717" s="18">
        <v>716</v>
      </c>
      <c r="Q717" s="50">
        <v>78.629900000000006</v>
      </c>
      <c r="R717" s="50">
        <v>0</v>
      </c>
      <c r="S717" s="50">
        <v>4.0469999999999997</v>
      </c>
      <c r="T717" s="46">
        <v>4.0469999999999997</v>
      </c>
    </row>
    <row r="718" spans="16:20" x14ac:dyDescent="0.25">
      <c r="P718" s="18">
        <v>717</v>
      </c>
      <c r="Q718" s="50">
        <v>105.07040000000001</v>
      </c>
      <c r="R718" s="50">
        <v>105.07040000000001</v>
      </c>
      <c r="S718" s="50">
        <v>68.797399999999996</v>
      </c>
      <c r="T718" s="46">
        <v>-36.273000000000003</v>
      </c>
    </row>
    <row r="719" spans="16:20" x14ac:dyDescent="0.25">
      <c r="P719" s="18">
        <v>718</v>
      </c>
      <c r="Q719" s="50">
        <v>83.644199999999998</v>
      </c>
      <c r="R719" s="50">
        <v>0</v>
      </c>
      <c r="S719" s="50">
        <v>4.0993000000000004</v>
      </c>
      <c r="T719" s="46">
        <v>4.0993000000000004</v>
      </c>
    </row>
    <row r="720" spans="16:20" x14ac:dyDescent="0.25">
      <c r="P720" s="18">
        <v>719</v>
      </c>
      <c r="Q720" s="50">
        <v>74.377700000000004</v>
      </c>
      <c r="R720" s="50">
        <v>0</v>
      </c>
      <c r="S720" s="50">
        <v>-0.42499999999999999</v>
      </c>
      <c r="T720" s="46">
        <v>-0.42499999999999999</v>
      </c>
    </row>
    <row r="721" spans="16:20" x14ac:dyDescent="0.25">
      <c r="P721" s="18">
        <v>720</v>
      </c>
      <c r="Q721" s="50">
        <v>94.951099999999997</v>
      </c>
      <c r="R721" s="50">
        <v>0</v>
      </c>
      <c r="S721" s="50">
        <v>31.0032</v>
      </c>
      <c r="T721" s="46">
        <v>31.0032</v>
      </c>
    </row>
    <row r="722" spans="16:20" x14ac:dyDescent="0.25">
      <c r="P722" s="18">
        <v>721</v>
      </c>
      <c r="Q722" s="50">
        <v>109.2971</v>
      </c>
      <c r="R722" s="50">
        <v>109.2971</v>
      </c>
      <c r="S722" s="50">
        <v>90.260900000000007</v>
      </c>
      <c r="T722" s="46">
        <v>-19.036200000000001</v>
      </c>
    </row>
    <row r="723" spans="16:20" x14ac:dyDescent="0.25">
      <c r="P723" s="18">
        <v>722</v>
      </c>
      <c r="Q723" s="50">
        <v>97.900899999999993</v>
      </c>
      <c r="R723" s="50">
        <v>0</v>
      </c>
      <c r="S723" s="50">
        <v>47.893500000000003</v>
      </c>
      <c r="T723" s="46">
        <v>47.893500000000003</v>
      </c>
    </row>
    <row r="724" spans="16:20" x14ac:dyDescent="0.25">
      <c r="P724" s="18">
        <v>723</v>
      </c>
      <c r="Q724" s="50">
        <v>116.1161</v>
      </c>
      <c r="R724" s="50">
        <v>116.1161</v>
      </c>
      <c r="S724" s="50">
        <v>100.4879</v>
      </c>
      <c r="T724" s="46">
        <v>-15.6282</v>
      </c>
    </row>
    <row r="725" spans="16:20" x14ac:dyDescent="0.25">
      <c r="P725" s="18">
        <v>724</v>
      </c>
      <c r="Q725" s="50">
        <v>92.399299999999997</v>
      </c>
      <c r="R725" s="50">
        <v>0</v>
      </c>
      <c r="S725" s="50">
        <v>27.8568</v>
      </c>
      <c r="T725" s="46">
        <v>27.8568</v>
      </c>
    </row>
    <row r="726" spans="16:20" x14ac:dyDescent="0.25">
      <c r="P726" s="18">
        <v>725</v>
      </c>
      <c r="Q726" s="50">
        <v>75.365899999999996</v>
      </c>
      <c r="R726" s="50">
        <v>0</v>
      </c>
      <c r="S726" s="50">
        <v>-5.1002999999999998</v>
      </c>
      <c r="T726" s="46">
        <v>-5.1002999999999998</v>
      </c>
    </row>
    <row r="727" spans="16:20" x14ac:dyDescent="0.25">
      <c r="P727" s="18">
        <v>726</v>
      </c>
      <c r="Q727" s="50">
        <v>76.669600000000003</v>
      </c>
      <c r="R727" s="50">
        <v>0</v>
      </c>
      <c r="S727" s="50">
        <v>11.4754</v>
      </c>
      <c r="T727" s="46">
        <v>11.4754</v>
      </c>
    </row>
    <row r="728" spans="16:20" x14ac:dyDescent="0.25">
      <c r="P728" s="18">
        <v>727</v>
      </c>
      <c r="Q728" s="50">
        <v>104.6204</v>
      </c>
      <c r="R728" s="50">
        <v>104.6204</v>
      </c>
      <c r="S728" s="50">
        <v>59.406999999999996</v>
      </c>
      <c r="T728" s="46">
        <v>-45.213500000000003</v>
      </c>
    </row>
    <row r="729" spans="16:20" x14ac:dyDescent="0.25">
      <c r="P729" s="18">
        <v>728</v>
      </c>
      <c r="Q729" s="50">
        <v>151.76</v>
      </c>
      <c r="R729" s="50">
        <v>151.76</v>
      </c>
      <c r="S729" s="50">
        <v>149.97239999999999</v>
      </c>
      <c r="T729" s="46">
        <v>-1.7876000000000001</v>
      </c>
    </row>
    <row r="730" spans="16:20" x14ac:dyDescent="0.25">
      <c r="P730" s="18">
        <v>729</v>
      </c>
      <c r="Q730" s="50">
        <v>129.75030000000001</v>
      </c>
      <c r="R730" s="50">
        <v>129.75030000000001</v>
      </c>
      <c r="S730" s="50">
        <v>131.30760000000001</v>
      </c>
      <c r="T730" s="46">
        <v>1.5571999999999999</v>
      </c>
    </row>
    <row r="731" spans="16:20" x14ac:dyDescent="0.25">
      <c r="P731" s="18">
        <v>730</v>
      </c>
      <c r="Q731" s="50">
        <v>121.4581</v>
      </c>
      <c r="R731" s="50">
        <v>121.4581</v>
      </c>
      <c r="S731" s="50">
        <v>118.1987</v>
      </c>
      <c r="T731" s="46">
        <v>-3.2593000000000001</v>
      </c>
    </row>
    <row r="732" spans="16:20" x14ac:dyDescent="0.25">
      <c r="P732" s="18">
        <v>731</v>
      </c>
      <c r="Q732" s="50">
        <v>70.190700000000007</v>
      </c>
      <c r="R732" s="50">
        <v>0</v>
      </c>
      <c r="S732" s="50">
        <v>0.5736</v>
      </c>
      <c r="T732" s="46">
        <v>0.5736</v>
      </c>
    </row>
    <row r="733" spans="16:20" x14ac:dyDescent="0.25">
      <c r="P733" s="18">
        <v>732</v>
      </c>
      <c r="Q733" s="50">
        <v>71.994</v>
      </c>
      <c r="R733" s="50">
        <v>0</v>
      </c>
      <c r="S733" s="50">
        <v>1.1689000000000001</v>
      </c>
      <c r="T733" s="46">
        <v>1.1689000000000001</v>
      </c>
    </row>
    <row r="734" spans="16:20" x14ac:dyDescent="0.25">
      <c r="P734" s="18">
        <v>733</v>
      </c>
      <c r="Q734" s="50">
        <v>75.202100000000002</v>
      </c>
      <c r="R734" s="50">
        <v>0</v>
      </c>
      <c r="S734" s="50">
        <v>-5.8773999999999997</v>
      </c>
      <c r="T734" s="46">
        <v>-5.8773999999999997</v>
      </c>
    </row>
    <row r="735" spans="16:20" x14ac:dyDescent="0.25">
      <c r="P735" s="18">
        <v>734</v>
      </c>
      <c r="Q735" s="50">
        <v>70.148899999999998</v>
      </c>
      <c r="R735" s="50">
        <v>0</v>
      </c>
      <c r="S735" s="50">
        <v>4.5959000000000003</v>
      </c>
      <c r="T735" s="46">
        <v>4.5959000000000003</v>
      </c>
    </row>
    <row r="736" spans="16:20" x14ac:dyDescent="0.25">
      <c r="P736" s="18">
        <v>735</v>
      </c>
      <c r="Q736" s="50">
        <v>135.45230000000001</v>
      </c>
      <c r="R736" s="50">
        <v>135.45230000000001</v>
      </c>
      <c r="S736" s="50">
        <v>135.6046</v>
      </c>
      <c r="T736" s="46">
        <v>0.1522</v>
      </c>
    </row>
    <row r="737" spans="16:20" x14ac:dyDescent="0.25">
      <c r="P737" s="18">
        <v>736</v>
      </c>
      <c r="Q737" s="50">
        <v>136.93299999999999</v>
      </c>
      <c r="R737" s="50">
        <v>136.93299999999999</v>
      </c>
      <c r="S737" s="50">
        <v>135.5462</v>
      </c>
      <c r="T737" s="46">
        <v>-1.3869</v>
      </c>
    </row>
    <row r="738" spans="16:20" x14ac:dyDescent="0.25">
      <c r="P738" s="18">
        <v>737</v>
      </c>
      <c r="Q738" s="50">
        <v>181.4111</v>
      </c>
      <c r="R738" s="50">
        <v>181.4111</v>
      </c>
      <c r="S738" s="50">
        <v>176.12450000000001</v>
      </c>
      <c r="T738" s="46">
        <v>-5.2866</v>
      </c>
    </row>
    <row r="739" spans="16:20" x14ac:dyDescent="0.25">
      <c r="P739" s="18">
        <v>738</v>
      </c>
      <c r="Q739" s="50">
        <v>105.96599999999999</v>
      </c>
      <c r="R739" s="50">
        <v>105.96599999999999</v>
      </c>
      <c r="S739" s="50">
        <v>92.094499999999996</v>
      </c>
      <c r="T739" s="46">
        <v>-13.871499999999999</v>
      </c>
    </row>
    <row r="740" spans="16:20" x14ac:dyDescent="0.25">
      <c r="P740" s="18">
        <v>739</v>
      </c>
      <c r="Q740" s="50">
        <v>56.767899999999997</v>
      </c>
      <c r="R740" s="50">
        <v>0</v>
      </c>
      <c r="S740" s="50">
        <v>-5.1414</v>
      </c>
      <c r="T740" s="46">
        <v>-5.1414</v>
      </c>
    </row>
    <row r="741" spans="16:20" x14ac:dyDescent="0.25">
      <c r="P741" s="18">
        <v>740</v>
      </c>
      <c r="Q741" s="50">
        <v>75.978399999999993</v>
      </c>
      <c r="R741" s="50">
        <v>0</v>
      </c>
      <c r="S741" s="50">
        <v>7.5389999999999997</v>
      </c>
      <c r="T741" s="46">
        <v>7.5389999999999997</v>
      </c>
    </row>
    <row r="742" spans="16:20" x14ac:dyDescent="0.25">
      <c r="P742" s="18">
        <v>741</v>
      </c>
      <c r="Q742" s="50">
        <v>119.6972</v>
      </c>
      <c r="R742" s="50">
        <v>119.6972</v>
      </c>
      <c r="S742" s="50">
        <v>112.2201</v>
      </c>
      <c r="T742" s="46">
        <v>-7.4771000000000001</v>
      </c>
    </row>
    <row r="743" spans="16:20" x14ac:dyDescent="0.25">
      <c r="P743" s="18">
        <v>742</v>
      </c>
      <c r="Q743" s="50">
        <v>82.893500000000003</v>
      </c>
      <c r="R743" s="50">
        <v>0</v>
      </c>
      <c r="S743" s="50">
        <v>-3.5863999999999998</v>
      </c>
      <c r="T743" s="46">
        <v>-3.5863999999999998</v>
      </c>
    </row>
    <row r="744" spans="16:20" x14ac:dyDescent="0.25">
      <c r="P744" s="18">
        <v>743</v>
      </c>
      <c r="Q744" s="50">
        <v>59.430199999999999</v>
      </c>
      <c r="R744" s="50">
        <v>0</v>
      </c>
      <c r="S744" s="50">
        <v>-9.1325000000000003</v>
      </c>
      <c r="T744" s="46">
        <v>-9.1325000000000003</v>
      </c>
    </row>
    <row r="745" spans="16:20" x14ac:dyDescent="0.25">
      <c r="P745" s="18">
        <v>744</v>
      </c>
      <c r="Q745" s="50">
        <v>126.0103</v>
      </c>
      <c r="R745" s="50">
        <v>126.0103</v>
      </c>
      <c r="S745" s="50">
        <v>137.47800000000001</v>
      </c>
      <c r="T745" s="46">
        <v>11.467700000000001</v>
      </c>
    </row>
    <row r="746" spans="16:20" x14ac:dyDescent="0.25">
      <c r="P746" s="18">
        <v>745</v>
      </c>
      <c r="Q746" s="50">
        <v>79.687700000000007</v>
      </c>
      <c r="R746" s="50">
        <v>0</v>
      </c>
      <c r="S746" s="50">
        <v>-2.0998000000000001</v>
      </c>
      <c r="T746" s="46">
        <v>-2.0998000000000001</v>
      </c>
    </row>
    <row r="747" spans="16:20" x14ac:dyDescent="0.25">
      <c r="P747" s="18">
        <v>746</v>
      </c>
      <c r="Q747" s="50">
        <v>131.1318</v>
      </c>
      <c r="R747" s="50">
        <v>131.1318</v>
      </c>
      <c r="S747" s="50">
        <v>140.6694</v>
      </c>
      <c r="T747" s="46">
        <v>9.5374999999999996</v>
      </c>
    </row>
    <row r="748" spans="16:20" x14ac:dyDescent="0.25">
      <c r="P748" s="18">
        <v>747</v>
      </c>
      <c r="Q748" s="50">
        <v>146.77549999999999</v>
      </c>
      <c r="R748" s="50">
        <v>146.77549999999999</v>
      </c>
      <c r="S748" s="50">
        <v>156.84100000000001</v>
      </c>
      <c r="T748" s="46">
        <v>10.0655</v>
      </c>
    </row>
    <row r="749" spans="16:20" x14ac:dyDescent="0.25">
      <c r="P749" s="18">
        <v>748</v>
      </c>
      <c r="Q749" s="50">
        <v>90.098200000000006</v>
      </c>
      <c r="R749" s="50">
        <v>0</v>
      </c>
      <c r="S749" s="50">
        <v>10.939399999999999</v>
      </c>
      <c r="T749" s="46">
        <v>10.939399999999999</v>
      </c>
    </row>
    <row r="750" spans="16:20" x14ac:dyDescent="0.25">
      <c r="P750" s="18">
        <v>749</v>
      </c>
      <c r="Q750" s="50">
        <v>91.4345</v>
      </c>
      <c r="R750" s="50">
        <v>0</v>
      </c>
      <c r="S750" s="50">
        <v>22.808599999999998</v>
      </c>
      <c r="T750" s="46">
        <v>22.808599999999998</v>
      </c>
    </row>
    <row r="751" spans="16:20" x14ac:dyDescent="0.25">
      <c r="P751" s="18">
        <v>750</v>
      </c>
      <c r="Q751" s="50">
        <v>117.5839</v>
      </c>
      <c r="R751" s="50">
        <v>117.5839</v>
      </c>
      <c r="S751" s="50">
        <v>113.42610000000001</v>
      </c>
      <c r="T751" s="46">
        <v>-4.1577999999999999</v>
      </c>
    </row>
    <row r="752" spans="16:20" x14ac:dyDescent="0.25">
      <c r="P752" s="18">
        <v>751</v>
      </c>
      <c r="Q752" s="50">
        <v>113.3984</v>
      </c>
      <c r="R752" s="50">
        <v>113.3984</v>
      </c>
      <c r="S752" s="50">
        <v>110.1953</v>
      </c>
      <c r="T752" s="46">
        <v>-3.2031000000000001</v>
      </c>
    </row>
    <row r="753" spans="16:20" x14ac:dyDescent="0.25">
      <c r="P753" s="18">
        <v>752</v>
      </c>
      <c r="Q753" s="50">
        <v>110.533</v>
      </c>
      <c r="R753" s="50">
        <v>110.533</v>
      </c>
      <c r="S753" s="50">
        <v>92.917400000000001</v>
      </c>
      <c r="T753" s="46">
        <v>-17.615600000000001</v>
      </c>
    </row>
    <row r="754" spans="16:20" x14ac:dyDescent="0.25">
      <c r="P754" s="18">
        <v>753</v>
      </c>
      <c r="Q754" s="50">
        <v>134.98769999999999</v>
      </c>
      <c r="R754" s="50">
        <v>134.98769999999999</v>
      </c>
      <c r="S754" s="50">
        <v>168.74449999999999</v>
      </c>
      <c r="T754" s="46">
        <v>33.756799999999998</v>
      </c>
    </row>
    <row r="755" spans="16:20" x14ac:dyDescent="0.25">
      <c r="P755" s="18">
        <v>754</v>
      </c>
      <c r="Q755" s="50">
        <v>80.325800000000001</v>
      </c>
      <c r="R755" s="50">
        <v>0</v>
      </c>
      <c r="S755" s="50">
        <v>-2.9651000000000001</v>
      </c>
      <c r="T755" s="46">
        <v>-2.9651000000000001</v>
      </c>
    </row>
    <row r="756" spans="16:20" x14ac:dyDescent="0.25">
      <c r="P756" s="18">
        <v>755</v>
      </c>
      <c r="Q756" s="50">
        <v>63.472200000000001</v>
      </c>
      <c r="R756" s="50">
        <v>0</v>
      </c>
      <c r="S756" s="50">
        <v>0.48870000000000002</v>
      </c>
      <c r="T756" s="46">
        <v>0.48870000000000002</v>
      </c>
    </row>
    <row r="757" spans="16:20" x14ac:dyDescent="0.25">
      <c r="P757" s="18">
        <v>756</v>
      </c>
      <c r="Q757" s="50">
        <v>111.8706</v>
      </c>
      <c r="R757" s="50">
        <v>111.8706</v>
      </c>
      <c r="S757" s="50">
        <v>84.301400000000001</v>
      </c>
      <c r="T757" s="46">
        <v>-27.569199999999999</v>
      </c>
    </row>
    <row r="758" spans="16:20" x14ac:dyDescent="0.25">
      <c r="P758" s="18">
        <v>757</v>
      </c>
      <c r="Q758" s="50">
        <v>179.60720000000001</v>
      </c>
      <c r="R758" s="50">
        <v>179.60720000000001</v>
      </c>
      <c r="S758" s="50">
        <v>189.06440000000001</v>
      </c>
      <c r="T758" s="46">
        <v>9.4573</v>
      </c>
    </row>
    <row r="759" spans="16:20" x14ac:dyDescent="0.25">
      <c r="P759" s="18">
        <v>758</v>
      </c>
      <c r="Q759" s="50">
        <v>85.527900000000002</v>
      </c>
      <c r="R759" s="50">
        <v>0</v>
      </c>
      <c r="S759" s="50">
        <v>15.3903</v>
      </c>
      <c r="T759" s="46">
        <v>15.3903</v>
      </c>
    </row>
    <row r="760" spans="16:20" x14ac:dyDescent="0.25">
      <c r="P760" s="18">
        <v>759</v>
      </c>
      <c r="Q760" s="50">
        <v>148.684</v>
      </c>
      <c r="R760" s="50">
        <v>148.684</v>
      </c>
      <c r="S760" s="50">
        <v>150.3313</v>
      </c>
      <c r="T760" s="46">
        <v>1.6473</v>
      </c>
    </row>
    <row r="761" spans="16:20" x14ac:dyDescent="0.25">
      <c r="P761" s="18">
        <v>760</v>
      </c>
      <c r="Q761" s="50">
        <v>111.5371</v>
      </c>
      <c r="R761" s="50">
        <v>111.5371</v>
      </c>
      <c r="S761" s="50">
        <v>91.4345</v>
      </c>
      <c r="T761" s="46">
        <v>-20.102599999999999</v>
      </c>
    </row>
    <row r="762" spans="16:20" x14ac:dyDescent="0.25">
      <c r="P762" s="18">
        <v>761</v>
      </c>
      <c r="Q762" s="50">
        <v>160.48429999999999</v>
      </c>
      <c r="R762" s="50">
        <v>160.48429999999999</v>
      </c>
      <c r="S762" s="50">
        <v>158.26599999999999</v>
      </c>
      <c r="T762" s="46">
        <v>-2.2183000000000002</v>
      </c>
    </row>
    <row r="763" spans="16:20" x14ac:dyDescent="0.25">
      <c r="P763" s="18">
        <v>762</v>
      </c>
      <c r="Q763" s="50">
        <v>120.4404</v>
      </c>
      <c r="R763" s="50">
        <v>120.4404</v>
      </c>
      <c r="S763" s="50">
        <v>115.47410000000001</v>
      </c>
      <c r="T763" s="46">
        <v>-4.9663000000000004</v>
      </c>
    </row>
    <row r="764" spans="16:20" x14ac:dyDescent="0.25">
      <c r="P764" s="18">
        <v>763</v>
      </c>
      <c r="Q764" s="50">
        <v>118.1695</v>
      </c>
      <c r="R764" s="50">
        <v>118.1695</v>
      </c>
      <c r="S764" s="50">
        <v>142.44159999999999</v>
      </c>
      <c r="T764" s="46">
        <v>24.272200000000002</v>
      </c>
    </row>
    <row r="765" spans="16:20" x14ac:dyDescent="0.25">
      <c r="P765" s="18">
        <v>764</v>
      </c>
      <c r="Q765" s="50">
        <v>88.854200000000006</v>
      </c>
      <c r="R765" s="50">
        <v>0</v>
      </c>
      <c r="S765" s="50">
        <v>22.1083</v>
      </c>
      <c r="T765" s="46">
        <v>22.1083</v>
      </c>
    </row>
    <row r="766" spans="16:20" x14ac:dyDescent="0.25">
      <c r="P766" s="18">
        <v>765</v>
      </c>
      <c r="Q766" s="50">
        <v>93.759299999999996</v>
      </c>
      <c r="R766" s="50">
        <v>0</v>
      </c>
      <c r="S766" s="50">
        <v>8.1783999999999999</v>
      </c>
      <c r="T766" s="46">
        <v>8.1783999999999999</v>
      </c>
    </row>
    <row r="767" spans="16:20" x14ac:dyDescent="0.25">
      <c r="P767" s="18">
        <v>766</v>
      </c>
      <c r="Q767" s="50">
        <v>144.60589999999999</v>
      </c>
      <c r="R767" s="50">
        <v>144.60589999999999</v>
      </c>
      <c r="S767" s="50">
        <v>152.74809999999999</v>
      </c>
      <c r="T767" s="46">
        <v>8.1423000000000005</v>
      </c>
    </row>
    <row r="768" spans="16:20" x14ac:dyDescent="0.25">
      <c r="P768" s="18">
        <v>767</v>
      </c>
      <c r="Q768" s="50">
        <v>130.03739999999999</v>
      </c>
      <c r="R768" s="50">
        <v>130.03739999999999</v>
      </c>
      <c r="S768" s="50">
        <v>124.9157</v>
      </c>
      <c r="T768" s="46">
        <v>-5.1216999999999997</v>
      </c>
    </row>
    <row r="769" spans="16:20" x14ac:dyDescent="0.25">
      <c r="P769" s="18">
        <v>768</v>
      </c>
      <c r="Q769" s="50">
        <v>136.98230000000001</v>
      </c>
      <c r="R769" s="50">
        <v>136.98230000000001</v>
      </c>
      <c r="S769" s="50">
        <v>139.50550000000001</v>
      </c>
      <c r="T769" s="46">
        <v>2.5232999999999999</v>
      </c>
    </row>
    <row r="770" spans="16:20" x14ac:dyDescent="0.25">
      <c r="P770" s="18">
        <v>769</v>
      </c>
      <c r="Q770" s="50">
        <v>138.34460000000001</v>
      </c>
      <c r="R770" s="50">
        <v>138.34460000000001</v>
      </c>
      <c r="S770" s="50">
        <v>147.4134</v>
      </c>
      <c r="T770" s="46">
        <v>9.0687999999999995</v>
      </c>
    </row>
    <row r="771" spans="16:20" x14ac:dyDescent="0.25">
      <c r="P771" s="18">
        <v>770</v>
      </c>
      <c r="Q771" s="50">
        <v>77.171099999999996</v>
      </c>
      <c r="R771" s="50">
        <v>0</v>
      </c>
      <c r="S771" s="50">
        <v>6.8090999999999999</v>
      </c>
      <c r="T771" s="46">
        <v>6.8090999999999999</v>
      </c>
    </row>
    <row r="772" spans="16:20" x14ac:dyDescent="0.25">
      <c r="P772" s="18">
        <v>771</v>
      </c>
      <c r="Q772" s="50">
        <v>149.22669999999999</v>
      </c>
      <c r="R772" s="50">
        <v>149.22669999999999</v>
      </c>
      <c r="S772" s="50">
        <v>150.75460000000001</v>
      </c>
      <c r="T772" s="46">
        <v>1.5279</v>
      </c>
    </row>
    <row r="773" spans="16:20" x14ac:dyDescent="0.25">
      <c r="P773" s="18">
        <v>772</v>
      </c>
      <c r="Q773" s="50">
        <v>81.218800000000002</v>
      </c>
      <c r="R773" s="50">
        <v>0</v>
      </c>
      <c r="S773" s="50">
        <v>-14.6189</v>
      </c>
      <c r="T773" s="46">
        <v>-14.6189</v>
      </c>
    </row>
    <row r="774" spans="16:20" x14ac:dyDescent="0.25">
      <c r="P774" s="18">
        <v>773</v>
      </c>
      <c r="Q774" s="50">
        <v>207.41679999999999</v>
      </c>
      <c r="R774" s="50">
        <v>207.41679999999999</v>
      </c>
      <c r="S774" s="50">
        <v>215.89400000000001</v>
      </c>
      <c r="T774" s="46">
        <v>8.4771999999999998</v>
      </c>
    </row>
    <row r="775" spans="16:20" x14ac:dyDescent="0.25">
      <c r="P775" s="18">
        <v>774</v>
      </c>
      <c r="Q775" s="50">
        <v>87.352800000000002</v>
      </c>
      <c r="R775" s="50">
        <v>0</v>
      </c>
      <c r="S775" s="50">
        <v>14.490500000000001</v>
      </c>
      <c r="T775" s="46">
        <v>14.490500000000001</v>
      </c>
    </row>
    <row r="776" spans="16:20" x14ac:dyDescent="0.25">
      <c r="P776" s="18">
        <v>775</v>
      </c>
      <c r="Q776" s="50">
        <v>89.529899999999998</v>
      </c>
      <c r="R776" s="50">
        <v>0</v>
      </c>
      <c r="S776" s="50">
        <v>17.016999999999999</v>
      </c>
      <c r="T776" s="46">
        <v>17.016999999999999</v>
      </c>
    </row>
    <row r="777" spans="16:20" x14ac:dyDescent="0.25">
      <c r="P777" s="18">
        <v>776</v>
      </c>
      <c r="Q777" s="50">
        <v>85.046499999999995</v>
      </c>
      <c r="R777" s="50">
        <v>0</v>
      </c>
      <c r="S777" s="50">
        <v>12.005100000000001</v>
      </c>
      <c r="T777" s="46">
        <v>12.005100000000001</v>
      </c>
    </row>
    <row r="778" spans="16:20" x14ac:dyDescent="0.25">
      <c r="P778" s="18">
        <v>777</v>
      </c>
      <c r="Q778" s="50">
        <v>101.0745</v>
      </c>
      <c r="R778" s="50">
        <v>101.0745</v>
      </c>
      <c r="S778" s="50">
        <v>62.2988</v>
      </c>
      <c r="T778" s="46">
        <v>-38.775700000000001</v>
      </c>
    </row>
    <row r="779" spans="16:20" x14ac:dyDescent="0.25">
      <c r="P779" s="18">
        <v>778</v>
      </c>
      <c r="Q779" s="50">
        <v>79.497799999999998</v>
      </c>
      <c r="R779" s="50">
        <v>0</v>
      </c>
      <c r="S779" s="50">
        <v>6.1379999999999999</v>
      </c>
      <c r="T779" s="46">
        <v>6.1379999999999999</v>
      </c>
    </row>
    <row r="780" spans="16:20" x14ac:dyDescent="0.25">
      <c r="P780" s="18">
        <v>779</v>
      </c>
      <c r="Q780" s="50">
        <v>101.89100000000001</v>
      </c>
      <c r="R780" s="50">
        <v>101.89100000000001</v>
      </c>
      <c r="S780" s="50">
        <v>62.937899999999999</v>
      </c>
      <c r="T780" s="46">
        <v>-38.953099999999999</v>
      </c>
    </row>
    <row r="781" spans="16:20" x14ac:dyDescent="0.25">
      <c r="P781" s="18">
        <v>780</v>
      </c>
      <c r="Q781" s="50">
        <v>93.801100000000005</v>
      </c>
      <c r="R781" s="50">
        <v>0</v>
      </c>
      <c r="S781" s="50">
        <v>22.805299999999999</v>
      </c>
      <c r="T781" s="46">
        <v>22.805299999999999</v>
      </c>
    </row>
    <row r="782" spans="16:20" x14ac:dyDescent="0.25">
      <c r="P782" s="18">
        <v>781</v>
      </c>
      <c r="Q782" s="50">
        <v>110.16800000000001</v>
      </c>
      <c r="R782" s="50">
        <v>110.16800000000001</v>
      </c>
      <c r="S782" s="50">
        <v>101.09439999999999</v>
      </c>
      <c r="T782" s="46">
        <v>-9.0736000000000008</v>
      </c>
    </row>
    <row r="783" spans="16:20" x14ac:dyDescent="0.25">
      <c r="P783" s="18">
        <v>782</v>
      </c>
      <c r="Q783" s="50">
        <v>167.1507</v>
      </c>
      <c r="R783" s="50">
        <v>167.1507</v>
      </c>
      <c r="S783" s="50">
        <v>167.49260000000001</v>
      </c>
      <c r="T783" s="46">
        <v>0.34189999999999998</v>
      </c>
    </row>
    <row r="784" spans="16:20" x14ac:dyDescent="0.25">
      <c r="P784" s="18">
        <v>783</v>
      </c>
      <c r="Q784" s="50">
        <v>122.5907</v>
      </c>
      <c r="R784" s="50">
        <v>122.5907</v>
      </c>
      <c r="S784" s="50">
        <v>117.7825</v>
      </c>
      <c r="T784" s="46">
        <v>-4.8080999999999996</v>
      </c>
    </row>
    <row r="785" spans="16:20" x14ac:dyDescent="0.25">
      <c r="P785" s="18">
        <v>784</v>
      </c>
      <c r="Q785" s="50">
        <v>73.022999999999996</v>
      </c>
      <c r="R785" s="50">
        <v>0</v>
      </c>
      <c r="S785" s="50">
        <v>-3.4630000000000001</v>
      </c>
      <c r="T785" s="46">
        <v>-3.4630000000000001</v>
      </c>
    </row>
    <row r="786" spans="16:20" x14ac:dyDescent="0.25">
      <c r="P786" s="18">
        <v>785</v>
      </c>
      <c r="Q786" s="50">
        <v>111.90730000000001</v>
      </c>
      <c r="R786" s="50">
        <v>111.90730000000001</v>
      </c>
      <c r="S786" s="50">
        <v>109.04900000000001</v>
      </c>
      <c r="T786" s="46">
        <v>-2.8582999999999998</v>
      </c>
    </row>
    <row r="787" spans="16:20" x14ac:dyDescent="0.25">
      <c r="P787" s="18">
        <v>786</v>
      </c>
      <c r="Q787" s="50">
        <v>71.754099999999994</v>
      </c>
      <c r="R787" s="50">
        <v>0</v>
      </c>
      <c r="S787" s="50">
        <v>-2.7195</v>
      </c>
      <c r="T787" s="46">
        <v>-2.7195</v>
      </c>
    </row>
    <row r="788" spans="16:20" x14ac:dyDescent="0.25">
      <c r="P788" s="18">
        <v>787</v>
      </c>
      <c r="Q788" s="50">
        <v>127.6467</v>
      </c>
      <c r="R788" s="50">
        <v>127.6467</v>
      </c>
      <c r="S788" s="50">
        <v>143.2201</v>
      </c>
      <c r="T788" s="46">
        <v>15.573399999999999</v>
      </c>
    </row>
    <row r="789" spans="16:20" x14ac:dyDescent="0.25">
      <c r="P789" s="18">
        <v>788</v>
      </c>
      <c r="Q789" s="50">
        <v>86.228300000000004</v>
      </c>
      <c r="R789" s="50">
        <v>0</v>
      </c>
      <c r="S789" s="50">
        <v>17.405899999999999</v>
      </c>
      <c r="T789" s="46">
        <v>17.405899999999999</v>
      </c>
    </row>
    <row r="790" spans="16:20" x14ac:dyDescent="0.25">
      <c r="P790" s="18">
        <v>789</v>
      </c>
      <c r="Q790" s="50">
        <v>142.28630000000001</v>
      </c>
      <c r="R790" s="50">
        <v>142.28630000000001</v>
      </c>
      <c r="S790" s="50">
        <v>143.52119999999999</v>
      </c>
      <c r="T790" s="46">
        <v>1.2349000000000001</v>
      </c>
    </row>
    <row r="791" spans="16:20" x14ac:dyDescent="0.25">
      <c r="P791" s="18">
        <v>790</v>
      </c>
      <c r="Q791" s="50">
        <v>163.2439</v>
      </c>
      <c r="R791" s="50">
        <v>163.2439</v>
      </c>
      <c r="S791" s="50">
        <v>160.88130000000001</v>
      </c>
      <c r="T791" s="46">
        <v>-2.3626</v>
      </c>
    </row>
    <row r="792" spans="16:20" x14ac:dyDescent="0.25">
      <c r="P792" s="18">
        <v>791</v>
      </c>
      <c r="Q792" s="50">
        <v>60.1631</v>
      </c>
      <c r="R792" s="50">
        <v>0</v>
      </c>
      <c r="S792" s="50">
        <v>-9.3100000000000002E-2</v>
      </c>
      <c r="T792" s="46">
        <v>-9.3100000000000002E-2</v>
      </c>
    </row>
    <row r="793" spans="16:20" x14ac:dyDescent="0.25">
      <c r="P793" s="18">
        <v>792</v>
      </c>
      <c r="Q793" s="50">
        <v>72.136399999999995</v>
      </c>
      <c r="R793" s="50">
        <v>0</v>
      </c>
      <c r="S793" s="50">
        <v>1.3066</v>
      </c>
      <c r="T793" s="46">
        <v>1.3066</v>
      </c>
    </row>
    <row r="794" spans="16:20" x14ac:dyDescent="0.25">
      <c r="P794" s="18">
        <v>793</v>
      </c>
      <c r="Q794" s="50">
        <v>97.886600000000001</v>
      </c>
      <c r="R794" s="50">
        <v>0</v>
      </c>
      <c r="S794" s="50">
        <v>44.399799999999999</v>
      </c>
      <c r="T794" s="46">
        <v>44.399799999999999</v>
      </c>
    </row>
    <row r="795" spans="16:20" x14ac:dyDescent="0.25">
      <c r="P795" s="18">
        <v>794</v>
      </c>
      <c r="Q795" s="50">
        <v>102.37130000000001</v>
      </c>
      <c r="R795" s="50">
        <v>102.37130000000001</v>
      </c>
      <c r="S795" s="50">
        <v>53.438200000000002</v>
      </c>
      <c r="T795" s="46">
        <v>-48.933199999999999</v>
      </c>
    </row>
    <row r="796" spans="16:20" x14ac:dyDescent="0.25">
      <c r="P796" s="18">
        <v>795</v>
      </c>
      <c r="Q796" s="50">
        <v>88.432699999999997</v>
      </c>
      <c r="R796" s="50">
        <v>0</v>
      </c>
      <c r="S796" s="50">
        <v>19.051600000000001</v>
      </c>
      <c r="T796" s="46">
        <v>19.051600000000001</v>
      </c>
    </row>
    <row r="797" spans="16:20" x14ac:dyDescent="0.25">
      <c r="P797" s="18">
        <v>796</v>
      </c>
      <c r="Q797" s="50">
        <v>113.4186</v>
      </c>
      <c r="R797" s="50">
        <v>113.4186</v>
      </c>
      <c r="S797" s="50">
        <v>108.0673</v>
      </c>
      <c r="T797" s="46">
        <v>-5.3512000000000004</v>
      </c>
    </row>
    <row r="798" spans="16:20" x14ac:dyDescent="0.25">
      <c r="P798" s="18">
        <v>797</v>
      </c>
      <c r="Q798" s="50">
        <v>85.992199999999997</v>
      </c>
      <c r="R798" s="50">
        <v>0</v>
      </c>
      <c r="S798" s="50">
        <v>13.832700000000001</v>
      </c>
      <c r="T798" s="46">
        <v>13.832700000000001</v>
      </c>
    </row>
    <row r="799" spans="16:20" x14ac:dyDescent="0.25">
      <c r="P799" s="18">
        <v>798</v>
      </c>
      <c r="Q799" s="50">
        <v>99.741100000000003</v>
      </c>
      <c r="R799" s="50">
        <v>0</v>
      </c>
      <c r="S799" s="50">
        <v>47.874600000000001</v>
      </c>
      <c r="T799" s="46">
        <v>47.874600000000001</v>
      </c>
    </row>
    <row r="800" spans="16:20" x14ac:dyDescent="0.25">
      <c r="P800" s="18">
        <v>799</v>
      </c>
      <c r="Q800" s="50">
        <v>88.781099999999995</v>
      </c>
      <c r="R800" s="50">
        <v>0</v>
      </c>
      <c r="S800" s="50">
        <v>-1.6952</v>
      </c>
      <c r="T800" s="46">
        <v>-1.6952</v>
      </c>
    </row>
    <row r="801" spans="16:20" x14ac:dyDescent="0.25">
      <c r="P801" s="18">
        <v>800</v>
      </c>
      <c r="Q801" s="50">
        <v>90.605199999999996</v>
      </c>
      <c r="R801" s="50">
        <v>0</v>
      </c>
      <c r="S801" s="50">
        <v>12.1456</v>
      </c>
      <c r="T801" s="46">
        <v>12.1456</v>
      </c>
    </row>
    <row r="802" spans="16:20" x14ac:dyDescent="0.25">
      <c r="P802" s="18">
        <v>801</v>
      </c>
      <c r="Q802" s="50">
        <v>138.75649999999999</v>
      </c>
      <c r="R802" s="50">
        <v>138.75649999999999</v>
      </c>
      <c r="S802" s="50">
        <v>136.92930000000001</v>
      </c>
      <c r="T802" s="46">
        <v>-1.8271999999999999</v>
      </c>
    </row>
    <row r="803" spans="16:20" x14ac:dyDescent="0.25">
      <c r="P803" s="18">
        <v>802</v>
      </c>
      <c r="Q803" s="50">
        <v>87.479799999999997</v>
      </c>
      <c r="R803" s="50">
        <v>0</v>
      </c>
      <c r="S803" s="50">
        <v>12.651400000000001</v>
      </c>
      <c r="T803" s="46">
        <v>12.651400000000001</v>
      </c>
    </row>
    <row r="804" spans="16:20" x14ac:dyDescent="0.25">
      <c r="P804" s="18">
        <v>803</v>
      </c>
      <c r="Q804" s="50">
        <v>80.887699999999995</v>
      </c>
      <c r="R804" s="50">
        <v>0</v>
      </c>
      <c r="S804" s="50">
        <v>6.5481999999999996</v>
      </c>
      <c r="T804" s="46">
        <v>6.5481999999999996</v>
      </c>
    </row>
    <row r="805" spans="16:20" x14ac:dyDescent="0.25">
      <c r="P805" s="18">
        <v>804</v>
      </c>
      <c r="Q805" s="50">
        <v>137.19370000000001</v>
      </c>
      <c r="R805" s="50">
        <v>137.19370000000001</v>
      </c>
      <c r="S805" s="50">
        <v>139.71960000000001</v>
      </c>
      <c r="T805" s="46">
        <v>2.5259999999999998</v>
      </c>
    </row>
    <row r="806" spans="16:20" x14ac:dyDescent="0.25">
      <c r="P806" s="18">
        <v>805</v>
      </c>
      <c r="Q806" s="50">
        <v>59.7699</v>
      </c>
      <c r="R806" s="50">
        <v>0</v>
      </c>
      <c r="S806" s="50">
        <v>-4.0831999999999997</v>
      </c>
      <c r="T806" s="46">
        <v>-4.0831999999999997</v>
      </c>
    </row>
    <row r="807" spans="16:20" x14ac:dyDescent="0.25">
      <c r="P807" s="18">
        <v>806</v>
      </c>
      <c r="Q807" s="50">
        <v>115.82380000000001</v>
      </c>
      <c r="R807" s="50">
        <v>115.82380000000001</v>
      </c>
      <c r="S807" s="50">
        <v>134.1036</v>
      </c>
      <c r="T807" s="46">
        <v>18.279800000000002</v>
      </c>
    </row>
    <row r="808" spans="16:20" x14ac:dyDescent="0.25">
      <c r="P808" s="18">
        <v>807</v>
      </c>
      <c r="Q808" s="50">
        <v>98.171000000000006</v>
      </c>
      <c r="R808" s="50">
        <v>0</v>
      </c>
      <c r="S808" s="50">
        <v>35.279499999999999</v>
      </c>
      <c r="T808" s="46">
        <v>35.279499999999999</v>
      </c>
    </row>
    <row r="809" spans="16:20" x14ac:dyDescent="0.25">
      <c r="P809" s="18">
        <v>808</v>
      </c>
      <c r="Q809" s="50">
        <v>76.793099999999995</v>
      </c>
      <c r="R809" s="50">
        <v>0</v>
      </c>
      <c r="S809" s="50">
        <v>6.8926999999999996</v>
      </c>
      <c r="T809" s="46">
        <v>6.8926999999999996</v>
      </c>
    </row>
    <row r="810" spans="16:20" x14ac:dyDescent="0.25">
      <c r="P810" s="18">
        <v>809</v>
      </c>
      <c r="Q810" s="50">
        <v>112.0441</v>
      </c>
      <c r="R810" s="50">
        <v>112.0441</v>
      </c>
      <c r="S810" s="50">
        <v>101.6375</v>
      </c>
      <c r="T810" s="46">
        <v>-10.406599999999999</v>
      </c>
    </row>
    <row r="811" spans="16:20" x14ac:dyDescent="0.25">
      <c r="P811" s="18">
        <v>810</v>
      </c>
      <c r="Q811" s="50">
        <v>96.614400000000003</v>
      </c>
      <c r="R811" s="50">
        <v>0</v>
      </c>
      <c r="S811" s="50">
        <v>35.938600000000001</v>
      </c>
      <c r="T811" s="46">
        <v>35.938600000000001</v>
      </c>
    </row>
    <row r="812" spans="16:20" x14ac:dyDescent="0.25">
      <c r="P812" s="18">
        <v>811</v>
      </c>
      <c r="Q812" s="50">
        <v>60.217599999999997</v>
      </c>
      <c r="R812" s="50">
        <v>0</v>
      </c>
      <c r="S812" s="50">
        <v>-6.5731999999999999</v>
      </c>
      <c r="T812" s="46">
        <v>-6.5731999999999999</v>
      </c>
    </row>
    <row r="813" spans="16:20" x14ac:dyDescent="0.25">
      <c r="P813" s="18">
        <v>812</v>
      </c>
      <c r="Q813" s="50">
        <v>153.8939</v>
      </c>
      <c r="R813" s="50">
        <v>153.8939</v>
      </c>
      <c r="S813" s="50">
        <v>152.53309999999999</v>
      </c>
      <c r="T813" s="46">
        <v>-1.3608</v>
      </c>
    </row>
    <row r="814" spans="16:20" x14ac:dyDescent="0.25">
      <c r="P814" s="18">
        <v>813</v>
      </c>
      <c r="Q814" s="50">
        <v>160.4958</v>
      </c>
      <c r="R814" s="50">
        <v>160.4958</v>
      </c>
      <c r="S814" s="50">
        <v>158.41130000000001</v>
      </c>
      <c r="T814" s="46">
        <v>-2.0844999999999998</v>
      </c>
    </row>
    <row r="815" spans="16:20" x14ac:dyDescent="0.25">
      <c r="P815" s="18">
        <v>814</v>
      </c>
      <c r="Q815" s="50">
        <v>86.602900000000005</v>
      </c>
      <c r="R815" s="50">
        <v>0</v>
      </c>
      <c r="S815" s="50">
        <v>9.7022999999999993</v>
      </c>
      <c r="T815" s="46">
        <v>9.7022999999999993</v>
      </c>
    </row>
    <row r="816" spans="16:20" x14ac:dyDescent="0.25">
      <c r="P816" s="18">
        <v>815</v>
      </c>
      <c r="Q816" s="50">
        <v>62.3538</v>
      </c>
      <c r="R816" s="50">
        <v>0</v>
      </c>
      <c r="S816" s="50">
        <v>-1.5578000000000001</v>
      </c>
      <c r="T816" s="46">
        <v>-1.5578000000000001</v>
      </c>
    </row>
    <row r="817" spans="16:20" x14ac:dyDescent="0.25">
      <c r="P817" s="18">
        <v>816</v>
      </c>
      <c r="Q817" s="50">
        <v>127.86320000000001</v>
      </c>
      <c r="R817" s="50">
        <v>127.86320000000001</v>
      </c>
      <c r="S817" s="50">
        <v>143.55019999999999</v>
      </c>
      <c r="T817" s="46">
        <v>15.6869</v>
      </c>
    </row>
    <row r="818" spans="16:20" x14ac:dyDescent="0.25">
      <c r="P818" s="18">
        <v>817</v>
      </c>
      <c r="Q818" s="50">
        <v>146.10419999999999</v>
      </c>
      <c r="R818" s="50">
        <v>146.10419999999999</v>
      </c>
      <c r="S818" s="50">
        <v>141.36429999999999</v>
      </c>
      <c r="T818" s="46">
        <v>-4.7397999999999998</v>
      </c>
    </row>
    <row r="819" spans="16:20" x14ac:dyDescent="0.25">
      <c r="P819" s="18">
        <v>818</v>
      </c>
      <c r="Q819" s="50">
        <v>121.84829999999999</v>
      </c>
      <c r="R819" s="50">
        <v>121.84829999999999</v>
      </c>
      <c r="S819" s="50">
        <v>126.2804</v>
      </c>
      <c r="T819" s="46">
        <v>4.4321000000000002</v>
      </c>
    </row>
    <row r="820" spans="16:20" x14ac:dyDescent="0.25">
      <c r="P820" s="18">
        <v>819</v>
      </c>
      <c r="Q820" s="50">
        <v>101.4503</v>
      </c>
      <c r="R820" s="50">
        <v>101.4503</v>
      </c>
      <c r="S820" s="50">
        <v>64.603800000000007</v>
      </c>
      <c r="T820" s="46">
        <v>-36.846499999999999</v>
      </c>
    </row>
    <row r="821" spans="16:20" x14ac:dyDescent="0.25">
      <c r="P821" s="18">
        <v>820</v>
      </c>
      <c r="Q821" s="50">
        <v>81.704700000000003</v>
      </c>
      <c r="R821" s="50">
        <v>0</v>
      </c>
      <c r="S821" s="50">
        <v>9.2521000000000004</v>
      </c>
      <c r="T821" s="46">
        <v>9.2521000000000004</v>
      </c>
    </row>
    <row r="822" spans="16:20" x14ac:dyDescent="0.25">
      <c r="P822" s="18">
        <v>821</v>
      </c>
      <c r="Q822" s="50">
        <v>80.186599999999999</v>
      </c>
      <c r="R822" s="50">
        <v>0</v>
      </c>
      <c r="S822" s="50">
        <v>-2.0731999999999999</v>
      </c>
      <c r="T822" s="46">
        <v>-2.0731999999999999</v>
      </c>
    </row>
    <row r="823" spans="16:20" x14ac:dyDescent="0.25">
      <c r="P823" s="18">
        <v>822</v>
      </c>
      <c r="Q823" s="50">
        <v>139.2774</v>
      </c>
      <c r="R823" s="50">
        <v>139.2774</v>
      </c>
      <c r="S823" s="50">
        <v>139.82210000000001</v>
      </c>
      <c r="T823" s="46">
        <v>0.54479999999999995</v>
      </c>
    </row>
    <row r="824" spans="16:20" x14ac:dyDescent="0.25">
      <c r="P824" s="18">
        <v>823</v>
      </c>
      <c r="Q824" s="50">
        <v>158.3194</v>
      </c>
      <c r="R824" s="50">
        <v>158.3194</v>
      </c>
      <c r="S824" s="50">
        <v>170.5676</v>
      </c>
      <c r="T824" s="46">
        <v>12.248200000000001</v>
      </c>
    </row>
    <row r="825" spans="16:20" x14ac:dyDescent="0.25">
      <c r="P825" s="18">
        <v>824</v>
      </c>
      <c r="Q825" s="50">
        <v>121.47790000000001</v>
      </c>
      <c r="R825" s="50">
        <v>121.47790000000001</v>
      </c>
      <c r="S825" s="50">
        <v>123.3801</v>
      </c>
      <c r="T825" s="46">
        <v>1.9021999999999999</v>
      </c>
    </row>
    <row r="826" spans="16:20" x14ac:dyDescent="0.25">
      <c r="P826" s="18">
        <v>825</v>
      </c>
      <c r="Q826" s="50">
        <v>80.2804</v>
      </c>
      <c r="R826" s="50">
        <v>0</v>
      </c>
      <c r="S826" s="50">
        <v>-0.93769999999999998</v>
      </c>
      <c r="T826" s="46">
        <v>-0.93769999999999998</v>
      </c>
    </row>
    <row r="827" spans="16:20" x14ac:dyDescent="0.25">
      <c r="P827" s="18">
        <v>826</v>
      </c>
      <c r="Q827" s="50">
        <v>66.698999999999998</v>
      </c>
      <c r="R827" s="50">
        <v>0</v>
      </c>
      <c r="S827" s="50">
        <v>-13.479900000000001</v>
      </c>
      <c r="T827" s="46">
        <v>-13.479900000000001</v>
      </c>
    </row>
    <row r="828" spans="16:20" x14ac:dyDescent="0.25">
      <c r="P828" s="18">
        <v>827</v>
      </c>
      <c r="Q828" s="50">
        <v>134.95689999999999</v>
      </c>
      <c r="R828" s="50">
        <v>134.95689999999999</v>
      </c>
      <c r="S828" s="50">
        <v>132.03299999999999</v>
      </c>
      <c r="T828" s="46">
        <v>-2.9239999999999999</v>
      </c>
    </row>
    <row r="829" spans="16:20" x14ac:dyDescent="0.25">
      <c r="P829" s="18">
        <v>828</v>
      </c>
      <c r="Q829" s="50">
        <v>103.38849999999999</v>
      </c>
      <c r="R829" s="50">
        <v>103.38849999999999</v>
      </c>
      <c r="S829" s="50">
        <v>76.170900000000003</v>
      </c>
      <c r="T829" s="46">
        <v>-27.217600000000001</v>
      </c>
    </row>
    <row r="830" spans="16:20" x14ac:dyDescent="0.25">
      <c r="P830" s="18">
        <v>829</v>
      </c>
      <c r="Q830" s="50">
        <v>182.60409999999999</v>
      </c>
      <c r="R830" s="50">
        <v>182.60409999999999</v>
      </c>
      <c r="S830" s="50">
        <v>180.4239</v>
      </c>
      <c r="T830" s="46">
        <v>-2.1802000000000001</v>
      </c>
    </row>
    <row r="831" spans="16:20" x14ac:dyDescent="0.25">
      <c r="P831" s="18">
        <v>830</v>
      </c>
      <c r="Q831" s="50">
        <v>139.78880000000001</v>
      </c>
      <c r="R831" s="50">
        <v>139.78880000000001</v>
      </c>
      <c r="S831" s="50">
        <v>138.60509999999999</v>
      </c>
      <c r="T831" s="46">
        <v>-1.1837</v>
      </c>
    </row>
    <row r="832" spans="16:20" x14ac:dyDescent="0.25">
      <c r="P832" s="18">
        <v>831</v>
      </c>
      <c r="Q832" s="50">
        <v>95.379199999999997</v>
      </c>
      <c r="R832" s="50">
        <v>0</v>
      </c>
      <c r="S832" s="50">
        <v>23.309000000000001</v>
      </c>
      <c r="T832" s="46">
        <v>23.309000000000001</v>
      </c>
    </row>
    <row r="833" spans="16:20" x14ac:dyDescent="0.25">
      <c r="P833" s="18">
        <v>832</v>
      </c>
      <c r="Q833" s="50">
        <v>88.963200000000001</v>
      </c>
      <c r="R833" s="50">
        <v>0</v>
      </c>
      <c r="S833" s="50">
        <v>25.170200000000001</v>
      </c>
      <c r="T833" s="46">
        <v>25.170200000000001</v>
      </c>
    </row>
    <row r="834" spans="16:20" x14ac:dyDescent="0.25">
      <c r="P834" s="18">
        <v>833</v>
      </c>
      <c r="Q834" s="50">
        <v>69.972700000000003</v>
      </c>
      <c r="R834" s="50">
        <v>0</v>
      </c>
      <c r="S834" s="50">
        <v>-4.3845999999999998</v>
      </c>
      <c r="T834" s="46">
        <v>-4.3845999999999998</v>
      </c>
    </row>
    <row r="835" spans="16:20" x14ac:dyDescent="0.25">
      <c r="P835" s="18">
        <v>834</v>
      </c>
      <c r="Q835" s="50">
        <v>124.39100000000001</v>
      </c>
      <c r="R835" s="50">
        <v>124.39100000000001</v>
      </c>
      <c r="S835" s="50">
        <v>119.08669999999999</v>
      </c>
      <c r="T835" s="46">
        <v>-5.3042999999999996</v>
      </c>
    </row>
    <row r="836" spans="16:20" x14ac:dyDescent="0.25">
      <c r="P836" s="18">
        <v>835</v>
      </c>
      <c r="Q836" s="50">
        <v>90.379300000000001</v>
      </c>
      <c r="R836" s="50">
        <v>0</v>
      </c>
      <c r="S836" s="50">
        <v>3.0211000000000001</v>
      </c>
      <c r="T836" s="46">
        <v>3.0211000000000001</v>
      </c>
    </row>
    <row r="837" spans="16:20" x14ac:dyDescent="0.25">
      <c r="P837" s="18">
        <v>836</v>
      </c>
      <c r="Q837" s="50">
        <v>61.206400000000002</v>
      </c>
      <c r="R837" s="50">
        <v>0</v>
      </c>
      <c r="S837" s="50">
        <v>3.7031000000000001</v>
      </c>
      <c r="T837" s="46">
        <v>3.7031000000000001</v>
      </c>
    </row>
    <row r="838" spans="16:20" x14ac:dyDescent="0.25">
      <c r="P838" s="18">
        <v>837</v>
      </c>
      <c r="Q838" s="50">
        <v>129.59569999999999</v>
      </c>
      <c r="R838" s="50">
        <v>129.59569999999999</v>
      </c>
      <c r="S838" s="50">
        <v>133.02330000000001</v>
      </c>
      <c r="T838" s="46">
        <v>3.4276</v>
      </c>
    </row>
    <row r="839" spans="16:20" x14ac:dyDescent="0.25">
      <c r="P839" s="18">
        <v>838</v>
      </c>
      <c r="Q839" s="50">
        <v>124.1465</v>
      </c>
      <c r="R839" s="50">
        <v>124.1465</v>
      </c>
      <c r="S839" s="50">
        <v>132.11250000000001</v>
      </c>
      <c r="T839" s="46">
        <v>7.9660000000000002</v>
      </c>
    </row>
    <row r="840" spans="16:20" x14ac:dyDescent="0.25">
      <c r="P840" s="18">
        <v>839</v>
      </c>
      <c r="Q840" s="50">
        <v>72.7791</v>
      </c>
      <c r="R840" s="50">
        <v>0</v>
      </c>
      <c r="S840" s="50">
        <v>-11.331300000000001</v>
      </c>
      <c r="T840" s="46">
        <v>-11.331300000000001</v>
      </c>
    </row>
    <row r="841" spans="16:20" x14ac:dyDescent="0.25">
      <c r="P841" s="18">
        <v>840</v>
      </c>
      <c r="Q841" s="50">
        <v>72.011700000000005</v>
      </c>
      <c r="R841" s="50">
        <v>0</v>
      </c>
      <c r="S841" s="50">
        <v>0.71330000000000005</v>
      </c>
      <c r="T841" s="46">
        <v>0.71330000000000005</v>
      </c>
    </row>
    <row r="842" spans="16:20" x14ac:dyDescent="0.25">
      <c r="P842" s="18">
        <v>841</v>
      </c>
      <c r="Q842" s="50">
        <v>145.9075</v>
      </c>
      <c r="R842" s="50">
        <v>145.9075</v>
      </c>
      <c r="S842" s="50">
        <v>147.8271</v>
      </c>
      <c r="T842" s="46">
        <v>1.9196</v>
      </c>
    </row>
    <row r="843" spans="16:20" x14ac:dyDescent="0.25">
      <c r="P843" s="18">
        <v>842</v>
      </c>
      <c r="Q843" s="50">
        <v>77.0535</v>
      </c>
      <c r="R843" s="50">
        <v>0</v>
      </c>
      <c r="S843" s="50">
        <v>7.3190999999999997</v>
      </c>
      <c r="T843" s="46">
        <v>7.3190999999999997</v>
      </c>
    </row>
    <row r="844" spans="16:20" x14ac:dyDescent="0.25">
      <c r="P844" s="18">
        <v>843</v>
      </c>
      <c r="Q844" s="50">
        <v>93.730400000000003</v>
      </c>
      <c r="R844" s="50">
        <v>0</v>
      </c>
      <c r="S844" s="50">
        <v>32.363399999999999</v>
      </c>
      <c r="T844" s="46">
        <v>32.363399999999999</v>
      </c>
    </row>
    <row r="845" spans="16:20" x14ac:dyDescent="0.25">
      <c r="P845" s="18">
        <v>844</v>
      </c>
      <c r="Q845" s="50">
        <v>162.8552</v>
      </c>
      <c r="R845" s="50">
        <v>162.8552</v>
      </c>
      <c r="S845" s="50">
        <v>166.29310000000001</v>
      </c>
      <c r="T845" s="46">
        <v>3.4379</v>
      </c>
    </row>
    <row r="846" spans="16:20" x14ac:dyDescent="0.25">
      <c r="P846" s="18">
        <v>845</v>
      </c>
      <c r="Q846" s="50">
        <v>72.593000000000004</v>
      </c>
      <c r="R846" s="50">
        <v>0</v>
      </c>
      <c r="S846" s="50">
        <v>-13.808</v>
      </c>
      <c r="T846" s="46">
        <v>-13.808</v>
      </c>
    </row>
    <row r="847" spans="16:20" x14ac:dyDescent="0.25">
      <c r="P847" s="18">
        <v>846</v>
      </c>
      <c r="Q847" s="50">
        <v>146.6806</v>
      </c>
      <c r="R847" s="50">
        <v>146.6806</v>
      </c>
      <c r="S847" s="50">
        <v>144.07980000000001</v>
      </c>
      <c r="T847" s="46">
        <v>-2.6008</v>
      </c>
    </row>
    <row r="848" spans="16:20" x14ac:dyDescent="0.25">
      <c r="P848" s="18">
        <v>847</v>
      </c>
      <c r="Q848" s="50">
        <v>140.74520000000001</v>
      </c>
      <c r="R848" s="50">
        <v>140.74520000000001</v>
      </c>
      <c r="S848" s="50">
        <v>140.14250000000001</v>
      </c>
      <c r="T848" s="46">
        <v>-0.60270000000000001</v>
      </c>
    </row>
    <row r="849" spans="16:20" x14ac:dyDescent="0.25">
      <c r="P849" s="18">
        <v>848</v>
      </c>
      <c r="Q849" s="50">
        <v>103.55410000000001</v>
      </c>
      <c r="R849" s="50">
        <v>103.55410000000001</v>
      </c>
      <c r="S849" s="50">
        <v>75.909400000000005</v>
      </c>
      <c r="T849" s="46">
        <v>-27.6447</v>
      </c>
    </row>
    <row r="850" spans="16:20" x14ac:dyDescent="0.25">
      <c r="P850" s="18">
        <v>849</v>
      </c>
      <c r="Q850" s="50">
        <v>130.01070000000001</v>
      </c>
      <c r="R850" s="50">
        <v>130.01070000000001</v>
      </c>
      <c r="S850" s="50">
        <v>133.77420000000001</v>
      </c>
      <c r="T850" s="46">
        <v>3.7633999999999999</v>
      </c>
    </row>
    <row r="851" spans="16:20" x14ac:dyDescent="0.25">
      <c r="P851" s="18">
        <v>850</v>
      </c>
      <c r="Q851" s="50">
        <v>124.81740000000001</v>
      </c>
      <c r="R851" s="50">
        <v>124.81740000000001</v>
      </c>
      <c r="S851" s="50">
        <v>129.90639999999999</v>
      </c>
      <c r="T851" s="46">
        <v>5.0890000000000004</v>
      </c>
    </row>
    <row r="852" spans="16:20" x14ac:dyDescent="0.25">
      <c r="P852" s="18">
        <v>851</v>
      </c>
      <c r="Q852" s="50">
        <v>118.4997</v>
      </c>
      <c r="R852" s="50">
        <v>118.4997</v>
      </c>
      <c r="S852" s="50">
        <v>113.1972</v>
      </c>
      <c r="T852" s="46">
        <v>-5.3026</v>
      </c>
    </row>
    <row r="853" spans="16:20" x14ac:dyDescent="0.25">
      <c r="P853" s="18">
        <v>852</v>
      </c>
      <c r="Q853" s="50">
        <v>98.843400000000003</v>
      </c>
      <c r="R853" s="50">
        <v>0</v>
      </c>
      <c r="S853" s="50">
        <v>48.722799999999999</v>
      </c>
      <c r="T853" s="46">
        <v>48.722799999999999</v>
      </c>
    </row>
    <row r="854" spans="16:20" x14ac:dyDescent="0.25">
      <c r="P854" s="18">
        <v>853</v>
      </c>
      <c r="Q854" s="50">
        <v>107.6875</v>
      </c>
      <c r="R854" s="50">
        <v>107.6875</v>
      </c>
      <c r="S854" s="50">
        <v>88.316900000000004</v>
      </c>
      <c r="T854" s="46">
        <v>-19.3705</v>
      </c>
    </row>
    <row r="855" spans="16:20" x14ac:dyDescent="0.25">
      <c r="P855" s="18">
        <v>854</v>
      </c>
      <c r="Q855" s="50">
        <v>66.6036</v>
      </c>
      <c r="R855" s="50">
        <v>0</v>
      </c>
      <c r="S855" s="50">
        <v>-2.9</v>
      </c>
      <c r="T855" s="46">
        <v>-2.9</v>
      </c>
    </row>
    <row r="856" spans="16:20" x14ac:dyDescent="0.25">
      <c r="P856" s="18">
        <v>855</v>
      </c>
      <c r="Q856" s="50">
        <v>195.36099999999999</v>
      </c>
      <c r="R856" s="50">
        <v>195.36099999999999</v>
      </c>
      <c r="S856" s="50">
        <v>196.24590000000001</v>
      </c>
      <c r="T856" s="46">
        <v>0.88480000000000003</v>
      </c>
    </row>
    <row r="857" spans="16:20" x14ac:dyDescent="0.25">
      <c r="P857" s="18">
        <v>856</v>
      </c>
      <c r="Q857" s="50">
        <v>82.928600000000003</v>
      </c>
      <c r="R857" s="50">
        <v>0</v>
      </c>
      <c r="S857" s="50">
        <v>4.0991</v>
      </c>
      <c r="T857" s="46">
        <v>4.0991</v>
      </c>
    </row>
    <row r="858" spans="16:20" x14ac:dyDescent="0.25">
      <c r="P858" s="18">
        <v>857</v>
      </c>
      <c r="Q858" s="50">
        <v>79.709400000000002</v>
      </c>
      <c r="R858" s="50">
        <v>0</v>
      </c>
      <c r="S858" s="50">
        <v>3.1421999999999999</v>
      </c>
      <c r="T858" s="46">
        <v>3.1421999999999999</v>
      </c>
    </row>
    <row r="859" spans="16:20" x14ac:dyDescent="0.25">
      <c r="P859" s="18">
        <v>858</v>
      </c>
      <c r="Q859" s="50">
        <v>91.718599999999995</v>
      </c>
      <c r="R859" s="50">
        <v>0</v>
      </c>
      <c r="S859" s="50">
        <v>22.905799999999999</v>
      </c>
      <c r="T859" s="46">
        <v>22.905799999999999</v>
      </c>
    </row>
    <row r="860" spans="16:20" x14ac:dyDescent="0.25">
      <c r="P860" s="18">
        <v>859</v>
      </c>
      <c r="Q860" s="50">
        <v>83.821399999999997</v>
      </c>
      <c r="R860" s="50">
        <v>0</v>
      </c>
      <c r="S860" s="50">
        <v>-27.884799999999998</v>
      </c>
      <c r="T860" s="46">
        <v>-27.884799999999998</v>
      </c>
    </row>
    <row r="861" spans="16:20" x14ac:dyDescent="0.25">
      <c r="P861" s="18">
        <v>860</v>
      </c>
      <c r="Q861" s="50">
        <v>123.0249</v>
      </c>
      <c r="R861" s="50">
        <v>123.0249</v>
      </c>
      <c r="S861" s="50">
        <v>118.5748</v>
      </c>
      <c r="T861" s="46">
        <v>-4.45</v>
      </c>
    </row>
    <row r="862" spans="16:20" x14ac:dyDescent="0.25">
      <c r="P862" s="18">
        <v>861</v>
      </c>
      <c r="Q862" s="50">
        <v>118.5188</v>
      </c>
      <c r="R862" s="50">
        <v>118.5188</v>
      </c>
      <c r="S862" s="50">
        <v>124.1056</v>
      </c>
      <c r="T862" s="46">
        <v>5.5868000000000002</v>
      </c>
    </row>
    <row r="863" spans="16:20" x14ac:dyDescent="0.25">
      <c r="P863" s="18">
        <v>862</v>
      </c>
      <c r="Q863" s="50">
        <v>64.0578</v>
      </c>
      <c r="R863" s="50">
        <v>0</v>
      </c>
      <c r="S863" s="50">
        <v>1.7235</v>
      </c>
      <c r="T863" s="46">
        <v>1.7235</v>
      </c>
    </row>
    <row r="864" spans="16:20" x14ac:dyDescent="0.25">
      <c r="P864" s="18">
        <v>863</v>
      </c>
      <c r="Q864" s="50">
        <v>58.859400000000001</v>
      </c>
      <c r="R864" s="50">
        <v>0</v>
      </c>
      <c r="S864" s="50">
        <v>-1.2242999999999999</v>
      </c>
      <c r="T864" s="46">
        <v>-1.2242999999999999</v>
      </c>
    </row>
    <row r="865" spans="16:20" x14ac:dyDescent="0.25">
      <c r="P865" s="18">
        <v>864</v>
      </c>
      <c r="Q865" s="50">
        <v>91.711399999999998</v>
      </c>
      <c r="R865" s="50">
        <v>0</v>
      </c>
      <c r="S865" s="50">
        <v>18.890599999999999</v>
      </c>
      <c r="T865" s="46">
        <v>18.890599999999999</v>
      </c>
    </row>
    <row r="866" spans="16:20" x14ac:dyDescent="0.25">
      <c r="P866" s="18">
        <v>865</v>
      </c>
      <c r="Q866" s="50">
        <v>109.04730000000001</v>
      </c>
      <c r="R866" s="50">
        <v>109.04730000000001</v>
      </c>
      <c r="S866" s="50">
        <v>86.1447</v>
      </c>
      <c r="T866" s="46">
        <v>-22.9026</v>
      </c>
    </row>
    <row r="867" spans="16:20" x14ac:dyDescent="0.25">
      <c r="P867" s="18">
        <v>866</v>
      </c>
      <c r="Q867" s="50">
        <v>105.4436</v>
      </c>
      <c r="R867" s="50">
        <v>105.4436</v>
      </c>
      <c r="S867" s="50">
        <v>80.382300000000001</v>
      </c>
      <c r="T867" s="46">
        <v>-25.061299999999999</v>
      </c>
    </row>
    <row r="868" spans="16:20" x14ac:dyDescent="0.25">
      <c r="P868" s="18">
        <v>867</v>
      </c>
      <c r="Q868" s="50">
        <v>119.1135</v>
      </c>
      <c r="R868" s="50">
        <v>119.1135</v>
      </c>
      <c r="S868" s="50">
        <v>128.86269999999999</v>
      </c>
      <c r="T868" s="46">
        <v>9.7491000000000003</v>
      </c>
    </row>
    <row r="869" spans="16:20" x14ac:dyDescent="0.25">
      <c r="P869" s="18">
        <v>868</v>
      </c>
      <c r="Q869" s="50">
        <v>100.1639</v>
      </c>
      <c r="R869" s="50">
        <v>100.1639</v>
      </c>
      <c r="S869" s="50">
        <v>45.335099999999997</v>
      </c>
      <c r="T869" s="46">
        <v>-54.828800000000001</v>
      </c>
    </row>
    <row r="870" spans="16:20" x14ac:dyDescent="0.25">
      <c r="P870" s="18">
        <v>869</v>
      </c>
      <c r="Q870" s="50">
        <v>77.653599999999997</v>
      </c>
      <c r="R870" s="50">
        <v>0</v>
      </c>
      <c r="S870" s="50">
        <v>-23.570399999999999</v>
      </c>
      <c r="T870" s="46">
        <v>-23.570399999999999</v>
      </c>
    </row>
    <row r="871" spans="16:20" x14ac:dyDescent="0.25">
      <c r="P871" s="18">
        <v>870</v>
      </c>
      <c r="Q871" s="50">
        <v>99.212699999999998</v>
      </c>
      <c r="R871" s="50">
        <v>0</v>
      </c>
      <c r="S871" s="50">
        <v>46.5242</v>
      </c>
      <c r="T871" s="46">
        <v>46.5242</v>
      </c>
    </row>
    <row r="872" spans="16:20" x14ac:dyDescent="0.25">
      <c r="P872" s="18">
        <v>871</v>
      </c>
      <c r="Q872" s="50">
        <v>86.038700000000006</v>
      </c>
      <c r="R872" s="50">
        <v>0</v>
      </c>
      <c r="S872" s="50">
        <v>-5.6768000000000001</v>
      </c>
      <c r="T872" s="46">
        <v>-5.6768000000000001</v>
      </c>
    </row>
    <row r="873" spans="16:20" x14ac:dyDescent="0.25">
      <c r="P873" s="18">
        <v>872</v>
      </c>
      <c r="Q873" s="50">
        <v>57.8127</v>
      </c>
      <c r="R873" s="50">
        <v>0</v>
      </c>
      <c r="S873" s="50">
        <v>-0.51990000000000003</v>
      </c>
      <c r="T873" s="46">
        <v>-0.51990000000000003</v>
      </c>
    </row>
    <row r="874" spans="16:20" x14ac:dyDescent="0.25">
      <c r="P874" s="18">
        <v>873</v>
      </c>
      <c r="Q874" s="50">
        <v>61.267899999999997</v>
      </c>
      <c r="R874" s="50">
        <v>0</v>
      </c>
      <c r="S874" s="50">
        <v>-3.4437000000000002</v>
      </c>
      <c r="T874" s="46">
        <v>-3.4437000000000002</v>
      </c>
    </row>
    <row r="875" spans="16:20" x14ac:dyDescent="0.25">
      <c r="P875" s="18">
        <v>874</v>
      </c>
      <c r="Q875" s="50">
        <v>100.431</v>
      </c>
      <c r="R875" s="50">
        <v>100.431</v>
      </c>
      <c r="S875" s="50">
        <v>50.045699999999997</v>
      </c>
      <c r="T875" s="46">
        <v>-50.385300000000001</v>
      </c>
    </row>
    <row r="876" spans="16:20" x14ac:dyDescent="0.25">
      <c r="P876" s="18">
        <v>875</v>
      </c>
      <c r="Q876" s="50">
        <v>61.410499999999999</v>
      </c>
      <c r="R876" s="50">
        <v>0</v>
      </c>
      <c r="S876" s="50">
        <v>-6.3354999999999997</v>
      </c>
      <c r="T876" s="46">
        <v>-6.3354999999999997</v>
      </c>
    </row>
    <row r="877" spans="16:20" x14ac:dyDescent="0.25">
      <c r="P877" s="18">
        <v>876</v>
      </c>
      <c r="Q877" s="50">
        <v>120.46169999999999</v>
      </c>
      <c r="R877" s="50">
        <v>120.46169999999999</v>
      </c>
      <c r="S877" s="50">
        <v>121.96980000000001</v>
      </c>
      <c r="T877" s="46">
        <v>1.5082</v>
      </c>
    </row>
    <row r="878" spans="16:20" x14ac:dyDescent="0.25">
      <c r="P878" s="18">
        <v>877</v>
      </c>
      <c r="Q878" s="50">
        <v>133.1437</v>
      </c>
      <c r="R878" s="50">
        <v>133.1437</v>
      </c>
      <c r="S878" s="50">
        <v>146.905</v>
      </c>
      <c r="T878" s="46">
        <v>13.761200000000001</v>
      </c>
    </row>
    <row r="879" spans="16:20" x14ac:dyDescent="0.25">
      <c r="P879" s="18">
        <v>878</v>
      </c>
      <c r="Q879" s="50">
        <v>95.641599999999997</v>
      </c>
      <c r="R879" s="50">
        <v>0</v>
      </c>
      <c r="S879" s="50">
        <v>50.624099999999999</v>
      </c>
      <c r="T879" s="46">
        <v>50.624099999999999</v>
      </c>
    </row>
    <row r="880" spans="16:20" x14ac:dyDescent="0.25">
      <c r="P880" s="18">
        <v>879</v>
      </c>
      <c r="Q880" s="50">
        <v>121.8734</v>
      </c>
      <c r="R880" s="50">
        <v>121.8734</v>
      </c>
      <c r="S880" s="50">
        <v>116.4037</v>
      </c>
      <c r="T880" s="46">
        <v>-5.4695999999999998</v>
      </c>
    </row>
    <row r="881" spans="16:20" x14ac:dyDescent="0.25">
      <c r="P881" s="18">
        <v>880</v>
      </c>
      <c r="Q881" s="50">
        <v>101.86790000000001</v>
      </c>
      <c r="R881" s="50">
        <v>101.86790000000001</v>
      </c>
      <c r="S881" s="50">
        <v>60.482399999999998</v>
      </c>
      <c r="T881" s="46">
        <v>-41.385599999999997</v>
      </c>
    </row>
    <row r="882" spans="16:20" x14ac:dyDescent="0.25">
      <c r="P882" s="18">
        <v>881</v>
      </c>
      <c r="Q882" s="50">
        <v>107.61</v>
      </c>
      <c r="R882" s="50">
        <v>107.61</v>
      </c>
      <c r="S882" s="50">
        <v>93.261300000000006</v>
      </c>
      <c r="T882" s="46">
        <v>-14.348699999999999</v>
      </c>
    </row>
    <row r="883" spans="16:20" x14ac:dyDescent="0.25">
      <c r="P883" s="18">
        <v>882</v>
      </c>
      <c r="Q883" s="50">
        <v>70.983500000000006</v>
      </c>
      <c r="R883" s="50">
        <v>0</v>
      </c>
      <c r="S883" s="50">
        <v>-0.4743</v>
      </c>
      <c r="T883" s="46">
        <v>-0.4743</v>
      </c>
    </row>
    <row r="884" spans="16:20" x14ac:dyDescent="0.25">
      <c r="P884" s="18">
        <v>883</v>
      </c>
      <c r="Q884" s="50">
        <v>49.658000000000001</v>
      </c>
      <c r="R884" s="50">
        <v>0</v>
      </c>
      <c r="S884" s="50">
        <v>2.0464000000000002</v>
      </c>
      <c r="T884" s="46">
        <v>2.0464000000000002</v>
      </c>
    </row>
    <row r="885" spans="16:20" x14ac:dyDescent="0.25">
      <c r="P885" s="18">
        <v>884</v>
      </c>
      <c r="Q885" s="50">
        <v>91.572599999999994</v>
      </c>
      <c r="R885" s="50">
        <v>0</v>
      </c>
      <c r="S885" s="50">
        <v>25.011500000000002</v>
      </c>
      <c r="T885" s="46">
        <v>25.011500000000002</v>
      </c>
    </row>
    <row r="886" spans="16:20" x14ac:dyDescent="0.25">
      <c r="P886" s="18">
        <v>885</v>
      </c>
      <c r="Q886" s="50">
        <v>75.389799999999994</v>
      </c>
      <c r="R886" s="50">
        <v>0</v>
      </c>
      <c r="S886" s="50">
        <v>-4.8247999999999998</v>
      </c>
      <c r="T886" s="46">
        <v>-4.8247999999999998</v>
      </c>
    </row>
    <row r="887" spans="16:20" x14ac:dyDescent="0.25">
      <c r="P887" s="18">
        <v>886</v>
      </c>
      <c r="Q887" s="50">
        <v>101.19110000000001</v>
      </c>
      <c r="R887" s="50">
        <v>101.19110000000001</v>
      </c>
      <c r="S887" s="50">
        <v>45.568600000000004</v>
      </c>
      <c r="T887" s="46">
        <v>-55.622599999999998</v>
      </c>
    </row>
    <row r="888" spans="16:20" x14ac:dyDescent="0.25">
      <c r="P888" s="18">
        <v>887</v>
      </c>
      <c r="Q888" s="50">
        <v>61.947099999999999</v>
      </c>
      <c r="R888" s="50">
        <v>0</v>
      </c>
      <c r="S888" s="50">
        <v>-17.152200000000001</v>
      </c>
      <c r="T888" s="46">
        <v>-17.152200000000001</v>
      </c>
    </row>
    <row r="889" spans="16:20" x14ac:dyDescent="0.25">
      <c r="P889" s="18">
        <v>888</v>
      </c>
      <c r="Q889" s="50">
        <v>192.58</v>
      </c>
      <c r="R889" s="50">
        <v>192.58</v>
      </c>
      <c r="S889" s="50">
        <v>194.78290000000001</v>
      </c>
      <c r="T889" s="46">
        <v>2.2029000000000001</v>
      </c>
    </row>
    <row r="890" spans="16:20" x14ac:dyDescent="0.25">
      <c r="P890" s="18">
        <v>889</v>
      </c>
      <c r="Q890" s="50">
        <v>118.16160000000001</v>
      </c>
      <c r="R890" s="50">
        <v>118.16160000000001</v>
      </c>
      <c r="S890" s="50">
        <v>106.07980000000001</v>
      </c>
      <c r="T890" s="46">
        <v>-12.081799999999999</v>
      </c>
    </row>
    <row r="891" spans="16:20" x14ac:dyDescent="0.25">
      <c r="P891" s="18">
        <v>890</v>
      </c>
      <c r="Q891" s="50">
        <v>69.413200000000003</v>
      </c>
      <c r="R891" s="50">
        <v>0</v>
      </c>
      <c r="S891" s="50">
        <v>-4.0412999999999997</v>
      </c>
      <c r="T891" s="46">
        <v>-4.0412999999999997</v>
      </c>
    </row>
    <row r="892" spans="16:20" x14ac:dyDescent="0.25">
      <c r="P892" s="18">
        <v>891</v>
      </c>
      <c r="Q892" s="50">
        <v>65.543700000000001</v>
      </c>
      <c r="R892" s="50">
        <v>0</v>
      </c>
      <c r="S892" s="50">
        <v>-1.5229999999999999</v>
      </c>
      <c r="T892" s="46">
        <v>-1.5229999999999999</v>
      </c>
    </row>
    <row r="893" spans="16:20" x14ac:dyDescent="0.25">
      <c r="P893" s="18">
        <v>892</v>
      </c>
      <c r="Q893" s="50">
        <v>118.4162</v>
      </c>
      <c r="R893" s="50">
        <v>118.4162</v>
      </c>
      <c r="S893" s="50">
        <v>122.0885</v>
      </c>
      <c r="T893" s="46">
        <v>3.6722999999999999</v>
      </c>
    </row>
    <row r="894" spans="16:20" x14ac:dyDescent="0.25">
      <c r="P894" s="18">
        <v>893</v>
      </c>
      <c r="Q894" s="50">
        <v>103.6491</v>
      </c>
      <c r="R894" s="50">
        <v>103.6491</v>
      </c>
      <c r="S894" s="50">
        <v>77.736199999999997</v>
      </c>
      <c r="T894" s="46">
        <v>-25.9129</v>
      </c>
    </row>
    <row r="895" spans="16:20" x14ac:dyDescent="0.25">
      <c r="P895" s="18">
        <v>894</v>
      </c>
      <c r="Q895" s="50">
        <v>64.267200000000003</v>
      </c>
      <c r="R895" s="50">
        <v>0</v>
      </c>
      <c r="S895" s="50">
        <v>0.39129999999999998</v>
      </c>
      <c r="T895" s="46">
        <v>0.39129999999999998</v>
      </c>
    </row>
    <row r="896" spans="16:20" x14ac:dyDescent="0.25">
      <c r="P896" s="18">
        <v>895</v>
      </c>
      <c r="Q896" s="50">
        <v>111.4571</v>
      </c>
      <c r="R896" s="50">
        <v>111.4571</v>
      </c>
      <c r="S896" s="50">
        <v>94.418700000000001</v>
      </c>
      <c r="T896" s="46">
        <v>-17.038399999999999</v>
      </c>
    </row>
    <row r="897" spans="16:20" x14ac:dyDescent="0.25">
      <c r="P897" s="18">
        <v>896</v>
      </c>
      <c r="Q897" s="50">
        <v>117.348</v>
      </c>
      <c r="R897" s="50">
        <v>117.348</v>
      </c>
      <c r="S897" s="50">
        <v>118.17059999999999</v>
      </c>
      <c r="T897" s="46">
        <v>0.82269999999999999</v>
      </c>
    </row>
    <row r="898" spans="16:20" x14ac:dyDescent="0.25">
      <c r="P898" s="18">
        <v>897</v>
      </c>
      <c r="Q898" s="50">
        <v>151.595</v>
      </c>
      <c r="R898" s="50">
        <v>151.595</v>
      </c>
      <c r="S898" s="50">
        <v>149.61859999999999</v>
      </c>
      <c r="T898" s="46">
        <v>-1.9763999999999999</v>
      </c>
    </row>
    <row r="899" spans="16:20" x14ac:dyDescent="0.25">
      <c r="P899" s="18">
        <v>898</v>
      </c>
      <c r="Q899" s="50">
        <v>71.069999999999993</v>
      </c>
      <c r="R899" s="50">
        <v>0</v>
      </c>
      <c r="S899" s="50">
        <v>1.2992999999999999</v>
      </c>
      <c r="T899" s="46">
        <v>1.2992999999999999</v>
      </c>
    </row>
    <row r="900" spans="16:20" x14ac:dyDescent="0.25">
      <c r="P900" s="18">
        <v>899</v>
      </c>
      <c r="Q900" s="50">
        <v>130.84399999999999</v>
      </c>
      <c r="R900" s="50">
        <v>130.84399999999999</v>
      </c>
      <c r="S900" s="50">
        <v>126.6116</v>
      </c>
      <c r="T900" s="46">
        <v>-4.2324000000000002</v>
      </c>
    </row>
    <row r="901" spans="16:20" x14ac:dyDescent="0.25">
      <c r="P901" s="18">
        <v>900</v>
      </c>
      <c r="Q901" s="50">
        <v>92.224999999999994</v>
      </c>
      <c r="R901" s="50">
        <v>0</v>
      </c>
      <c r="S901" s="50">
        <v>19.224699999999999</v>
      </c>
      <c r="T901" s="46">
        <v>19.224699999999999</v>
      </c>
    </row>
    <row r="902" spans="16:20" x14ac:dyDescent="0.25">
      <c r="P902" s="18">
        <v>901</v>
      </c>
      <c r="Q902" s="50">
        <v>79.061599999999999</v>
      </c>
      <c r="R902" s="50">
        <v>0</v>
      </c>
      <c r="S902" s="50">
        <v>4.4249999999999998</v>
      </c>
      <c r="T902" s="46">
        <v>4.4249999999999998</v>
      </c>
    </row>
    <row r="903" spans="16:20" x14ac:dyDescent="0.25">
      <c r="P903" s="18">
        <v>902</v>
      </c>
      <c r="Q903" s="50">
        <v>104.1075</v>
      </c>
      <c r="R903" s="50">
        <v>104.1075</v>
      </c>
      <c r="S903" s="50">
        <v>69.574700000000007</v>
      </c>
      <c r="T903" s="46">
        <v>-34.532800000000002</v>
      </c>
    </row>
    <row r="904" spans="16:20" x14ac:dyDescent="0.25">
      <c r="P904" s="18">
        <v>903</v>
      </c>
      <c r="Q904" s="50">
        <v>99.425700000000006</v>
      </c>
      <c r="R904" s="50">
        <v>0</v>
      </c>
      <c r="S904" s="50">
        <v>50.159700000000001</v>
      </c>
      <c r="T904" s="46">
        <v>50.159700000000001</v>
      </c>
    </row>
    <row r="905" spans="16:20" x14ac:dyDescent="0.25">
      <c r="P905" s="18">
        <v>904</v>
      </c>
      <c r="Q905" s="50">
        <v>71.199700000000007</v>
      </c>
      <c r="R905" s="50">
        <v>0</v>
      </c>
      <c r="S905" s="50">
        <v>4.7144000000000004</v>
      </c>
      <c r="T905" s="46">
        <v>4.7144000000000004</v>
      </c>
    </row>
    <row r="906" spans="16:20" x14ac:dyDescent="0.25">
      <c r="P906" s="18">
        <v>905</v>
      </c>
      <c r="Q906" s="50">
        <v>89.467299999999994</v>
      </c>
      <c r="R906" s="50">
        <v>0</v>
      </c>
      <c r="S906" s="50">
        <v>6.0457000000000001</v>
      </c>
      <c r="T906" s="46">
        <v>6.0457000000000001</v>
      </c>
    </row>
    <row r="907" spans="16:20" x14ac:dyDescent="0.25">
      <c r="P907" s="18">
        <v>906</v>
      </c>
      <c r="Q907" s="50">
        <v>82.000900000000001</v>
      </c>
      <c r="R907" s="50">
        <v>0</v>
      </c>
      <c r="S907" s="50">
        <v>-9.7475000000000005</v>
      </c>
      <c r="T907" s="46">
        <v>-9.7475000000000005</v>
      </c>
    </row>
    <row r="908" spans="16:20" x14ac:dyDescent="0.25">
      <c r="P908" s="18">
        <v>907</v>
      </c>
      <c r="Q908" s="50">
        <v>85.997100000000003</v>
      </c>
      <c r="R908" s="50">
        <v>0</v>
      </c>
      <c r="S908" s="50">
        <v>4.2782999999999998</v>
      </c>
      <c r="T908" s="46">
        <v>4.2782999999999998</v>
      </c>
    </row>
    <row r="909" spans="16:20" x14ac:dyDescent="0.25">
      <c r="P909" s="18">
        <v>908</v>
      </c>
      <c r="Q909" s="50">
        <v>98.722700000000003</v>
      </c>
      <c r="R909" s="50">
        <v>0</v>
      </c>
      <c r="S909" s="50">
        <v>59.519399999999997</v>
      </c>
      <c r="T909" s="46">
        <v>59.519399999999997</v>
      </c>
    </row>
    <row r="910" spans="16:20" x14ac:dyDescent="0.25">
      <c r="P910" s="18">
        <v>909</v>
      </c>
      <c r="Q910" s="50">
        <v>75.162499999999994</v>
      </c>
      <c r="R910" s="50">
        <v>0</v>
      </c>
      <c r="S910" s="50">
        <v>0.67749999999999999</v>
      </c>
      <c r="T910" s="46">
        <v>0.67749999999999999</v>
      </c>
    </row>
    <row r="911" spans="16:20" x14ac:dyDescent="0.25">
      <c r="P911" s="18">
        <v>910</v>
      </c>
      <c r="Q911" s="50">
        <v>108.997</v>
      </c>
      <c r="R911" s="50">
        <v>108.997</v>
      </c>
      <c r="S911" s="50">
        <v>101.88930000000001</v>
      </c>
      <c r="T911" s="46">
        <v>-7.1077000000000004</v>
      </c>
    </row>
    <row r="912" spans="16:20" x14ac:dyDescent="0.25">
      <c r="P912" s="18">
        <v>911</v>
      </c>
      <c r="Q912" s="50">
        <v>86.066400000000002</v>
      </c>
      <c r="R912" s="50">
        <v>0</v>
      </c>
      <c r="S912" s="50">
        <v>11.1058</v>
      </c>
      <c r="T912" s="46">
        <v>11.1058</v>
      </c>
    </row>
    <row r="913" spans="16:20" x14ac:dyDescent="0.25">
      <c r="P913" s="18">
        <v>912</v>
      </c>
      <c r="Q913" s="50">
        <v>98.756399999999999</v>
      </c>
      <c r="R913" s="50">
        <v>0</v>
      </c>
      <c r="S913" s="50">
        <v>45.438400000000001</v>
      </c>
      <c r="T913" s="46">
        <v>45.438400000000001</v>
      </c>
    </row>
    <row r="914" spans="16:20" x14ac:dyDescent="0.25">
      <c r="P914" s="18">
        <v>913</v>
      </c>
      <c r="Q914" s="50">
        <v>93.554199999999994</v>
      </c>
      <c r="R914" s="50">
        <v>0</v>
      </c>
      <c r="S914" s="50">
        <v>23.625499999999999</v>
      </c>
      <c r="T914" s="46">
        <v>23.625499999999999</v>
      </c>
    </row>
    <row r="915" spans="16:20" x14ac:dyDescent="0.25">
      <c r="P915" s="18">
        <v>914</v>
      </c>
      <c r="Q915" s="50">
        <v>128.53389999999999</v>
      </c>
      <c r="R915" s="50">
        <v>128.53389999999999</v>
      </c>
      <c r="S915" s="50">
        <v>121.4555</v>
      </c>
      <c r="T915" s="46">
        <v>-7.0784000000000002</v>
      </c>
    </row>
    <row r="916" spans="16:20" x14ac:dyDescent="0.25">
      <c r="P916" s="18">
        <v>915</v>
      </c>
      <c r="Q916" s="50">
        <v>100.7608</v>
      </c>
      <c r="R916" s="50">
        <v>100.7608</v>
      </c>
      <c r="S916" s="50">
        <v>54.782699999999998</v>
      </c>
      <c r="T916" s="46">
        <v>-45.978099999999998</v>
      </c>
    </row>
    <row r="917" spans="16:20" x14ac:dyDescent="0.25">
      <c r="P917" s="18">
        <v>916</v>
      </c>
      <c r="Q917" s="50">
        <v>82.9602</v>
      </c>
      <c r="R917" s="50">
        <v>0</v>
      </c>
      <c r="S917" s="50">
        <v>8.9197000000000006</v>
      </c>
      <c r="T917" s="46">
        <v>8.9197000000000006</v>
      </c>
    </row>
    <row r="918" spans="16:20" x14ac:dyDescent="0.25">
      <c r="P918" s="18">
        <v>917</v>
      </c>
      <c r="Q918" s="50">
        <v>72.508600000000001</v>
      </c>
      <c r="R918" s="50">
        <v>0</v>
      </c>
      <c r="S918" s="50">
        <v>-6.6246999999999998</v>
      </c>
      <c r="T918" s="46">
        <v>-6.6246999999999998</v>
      </c>
    </row>
    <row r="919" spans="16:20" x14ac:dyDescent="0.25">
      <c r="P919" s="18">
        <v>918</v>
      </c>
      <c r="Q919" s="50">
        <v>132.9691</v>
      </c>
      <c r="R919" s="50">
        <v>132.9691</v>
      </c>
      <c r="S919" s="50">
        <v>137.5214</v>
      </c>
      <c r="T919" s="46">
        <v>4.5522999999999998</v>
      </c>
    </row>
    <row r="920" spans="16:20" x14ac:dyDescent="0.25">
      <c r="P920" s="18">
        <v>919</v>
      </c>
      <c r="Q920" s="50">
        <v>68.381799999999998</v>
      </c>
      <c r="R920" s="50">
        <v>0</v>
      </c>
      <c r="S920" s="50">
        <v>-16.0899</v>
      </c>
      <c r="T920" s="46">
        <v>-16.0899</v>
      </c>
    </row>
    <row r="921" spans="16:20" x14ac:dyDescent="0.25">
      <c r="P921" s="18">
        <v>920</v>
      </c>
      <c r="Q921" s="50">
        <v>73.394099999999995</v>
      </c>
      <c r="R921" s="50">
        <v>0</v>
      </c>
      <c r="S921" s="50">
        <v>-0.93279999999999996</v>
      </c>
      <c r="T921" s="46">
        <v>-0.93279999999999996</v>
      </c>
    </row>
    <row r="922" spans="16:20" x14ac:dyDescent="0.25">
      <c r="P922" s="18">
        <v>921</v>
      </c>
      <c r="Q922" s="50">
        <v>92.134799999999998</v>
      </c>
      <c r="R922" s="50">
        <v>0</v>
      </c>
      <c r="S922" s="50">
        <v>10.4877</v>
      </c>
      <c r="T922" s="46">
        <v>10.4877</v>
      </c>
    </row>
    <row r="923" spans="16:20" x14ac:dyDescent="0.25">
      <c r="P923" s="18">
        <v>922</v>
      </c>
      <c r="Q923" s="50">
        <v>89.898499999999999</v>
      </c>
      <c r="R923" s="50">
        <v>0</v>
      </c>
      <c r="S923" s="50">
        <v>24.119499999999999</v>
      </c>
      <c r="T923" s="46">
        <v>24.119499999999999</v>
      </c>
    </row>
    <row r="924" spans="16:20" x14ac:dyDescent="0.25">
      <c r="P924" s="18">
        <v>923</v>
      </c>
      <c r="Q924" s="50">
        <v>130.03649999999999</v>
      </c>
      <c r="R924" s="50">
        <v>130.03649999999999</v>
      </c>
      <c r="S924" s="50">
        <v>140.11600000000001</v>
      </c>
      <c r="T924" s="46">
        <v>10.079499999999999</v>
      </c>
    </row>
    <row r="925" spans="16:20" x14ac:dyDescent="0.25">
      <c r="P925" s="18">
        <v>924</v>
      </c>
      <c r="Q925" s="50">
        <v>87.877700000000004</v>
      </c>
      <c r="R925" s="50">
        <v>0</v>
      </c>
      <c r="S925" s="50">
        <v>10.117100000000001</v>
      </c>
      <c r="T925" s="46">
        <v>10.117100000000001</v>
      </c>
    </row>
    <row r="926" spans="16:20" x14ac:dyDescent="0.25">
      <c r="P926" s="18">
        <v>925</v>
      </c>
      <c r="Q926" s="50">
        <v>82.846800000000002</v>
      </c>
      <c r="R926" s="50">
        <v>0</v>
      </c>
      <c r="S926" s="50">
        <v>-15.0817</v>
      </c>
      <c r="T926" s="46">
        <v>-15.0817</v>
      </c>
    </row>
    <row r="927" spans="16:20" x14ac:dyDescent="0.25">
      <c r="P927" s="18">
        <v>926</v>
      </c>
      <c r="Q927" s="50">
        <v>88.422399999999996</v>
      </c>
      <c r="R927" s="50">
        <v>0</v>
      </c>
      <c r="S927" s="50">
        <v>-6.6978</v>
      </c>
      <c r="T927" s="46">
        <v>-6.6978</v>
      </c>
    </row>
    <row r="928" spans="16:20" x14ac:dyDescent="0.25">
      <c r="P928" s="18">
        <v>927</v>
      </c>
      <c r="Q928" s="50">
        <v>112.9276</v>
      </c>
      <c r="R928" s="50">
        <v>112.9276</v>
      </c>
      <c r="S928" s="50">
        <v>100.6574</v>
      </c>
      <c r="T928" s="46">
        <v>-12.270200000000001</v>
      </c>
    </row>
    <row r="929" spans="16:20" x14ac:dyDescent="0.25">
      <c r="P929" s="18">
        <v>928</v>
      </c>
      <c r="Q929" s="50">
        <v>120.4228</v>
      </c>
      <c r="R929" s="50">
        <v>120.4228</v>
      </c>
      <c r="S929" s="50">
        <v>120.4265</v>
      </c>
      <c r="T929" s="46">
        <v>3.7000000000000002E-3</v>
      </c>
    </row>
    <row r="930" spans="16:20" x14ac:dyDescent="0.25">
      <c r="P930" s="18">
        <v>929</v>
      </c>
      <c r="Q930" s="50">
        <v>104.7377</v>
      </c>
      <c r="R930" s="50">
        <v>104.7377</v>
      </c>
      <c r="S930" s="50">
        <v>80.101699999999994</v>
      </c>
      <c r="T930" s="46">
        <v>-24.636099999999999</v>
      </c>
    </row>
    <row r="931" spans="16:20" x14ac:dyDescent="0.25">
      <c r="P931" s="18">
        <v>930</v>
      </c>
      <c r="Q931" s="50">
        <v>160.86750000000001</v>
      </c>
      <c r="R931" s="50">
        <v>160.86750000000001</v>
      </c>
      <c r="S931" s="50">
        <v>163.52709999999999</v>
      </c>
      <c r="T931" s="46">
        <v>2.6596000000000002</v>
      </c>
    </row>
    <row r="932" spans="16:20" x14ac:dyDescent="0.25">
      <c r="P932" s="18">
        <v>931</v>
      </c>
      <c r="Q932" s="50">
        <v>149.9462</v>
      </c>
      <c r="R932" s="50">
        <v>149.9462</v>
      </c>
      <c r="S932" s="50">
        <v>149.92250000000001</v>
      </c>
      <c r="T932" s="46">
        <v>-2.3699999999999999E-2</v>
      </c>
    </row>
    <row r="933" spans="16:20" x14ac:dyDescent="0.25">
      <c r="P933" s="18">
        <v>932</v>
      </c>
      <c r="Q933" s="50">
        <v>75.786699999999996</v>
      </c>
      <c r="R933" s="50">
        <v>0</v>
      </c>
      <c r="S933" s="50">
        <v>-17.7498</v>
      </c>
      <c r="T933" s="46">
        <v>-17.7498</v>
      </c>
    </row>
    <row r="934" spans="16:20" x14ac:dyDescent="0.25">
      <c r="P934" s="18">
        <v>933</v>
      </c>
      <c r="Q934" s="50">
        <v>67.120400000000004</v>
      </c>
      <c r="R934" s="50">
        <v>0</v>
      </c>
      <c r="S934" s="50">
        <v>-0.30990000000000001</v>
      </c>
      <c r="T934" s="46">
        <v>-0.30990000000000001</v>
      </c>
    </row>
    <row r="935" spans="16:20" x14ac:dyDescent="0.25">
      <c r="P935" s="18">
        <v>934</v>
      </c>
      <c r="Q935" s="50">
        <v>60.976799999999997</v>
      </c>
      <c r="R935" s="50">
        <v>0</v>
      </c>
      <c r="S935" s="50">
        <v>-0.82050000000000001</v>
      </c>
      <c r="T935" s="46">
        <v>-0.82050000000000001</v>
      </c>
    </row>
    <row r="936" spans="16:20" x14ac:dyDescent="0.25">
      <c r="P936" s="18">
        <v>935</v>
      </c>
      <c r="Q936" s="50">
        <v>113.7482</v>
      </c>
      <c r="R936" s="50">
        <v>113.7482</v>
      </c>
      <c r="S936" s="50">
        <v>105.5325</v>
      </c>
      <c r="T936" s="46">
        <v>-8.2157</v>
      </c>
    </row>
    <row r="937" spans="16:20" x14ac:dyDescent="0.25">
      <c r="P937" s="18">
        <v>936</v>
      </c>
      <c r="Q937" s="50">
        <v>160.33609999999999</v>
      </c>
      <c r="R937" s="50">
        <v>160.33609999999999</v>
      </c>
      <c r="S937" s="50">
        <v>157.5548</v>
      </c>
      <c r="T937" s="46">
        <v>-2.7814000000000001</v>
      </c>
    </row>
    <row r="938" spans="16:20" x14ac:dyDescent="0.25">
      <c r="P938" s="18">
        <v>937</v>
      </c>
      <c r="Q938" s="50">
        <v>100.6683</v>
      </c>
      <c r="R938" s="50">
        <v>100.6683</v>
      </c>
      <c r="S938" s="50">
        <v>53.536700000000003</v>
      </c>
      <c r="T938" s="46">
        <v>-47.131599999999999</v>
      </c>
    </row>
    <row r="939" spans="16:20" x14ac:dyDescent="0.25">
      <c r="P939" s="18">
        <v>938</v>
      </c>
      <c r="Q939" s="50">
        <v>81.438599999999994</v>
      </c>
      <c r="R939" s="50">
        <v>0</v>
      </c>
      <c r="S939" s="50">
        <v>-15.1106</v>
      </c>
      <c r="T939" s="46">
        <v>-15.1106</v>
      </c>
    </row>
    <row r="940" spans="16:20" x14ac:dyDescent="0.25">
      <c r="P940" s="18">
        <v>939</v>
      </c>
      <c r="Q940" s="50">
        <v>88.859399999999994</v>
      </c>
      <c r="R940" s="50">
        <v>0</v>
      </c>
      <c r="S940" s="50">
        <v>6.4828000000000001</v>
      </c>
      <c r="T940" s="46">
        <v>6.4828000000000001</v>
      </c>
    </row>
    <row r="941" spans="16:20" x14ac:dyDescent="0.25">
      <c r="P941" s="18">
        <v>940</v>
      </c>
      <c r="Q941" s="50">
        <v>73.334299999999999</v>
      </c>
      <c r="R941" s="50">
        <v>0</v>
      </c>
      <c r="S941" s="50">
        <v>-3.7856999999999998</v>
      </c>
      <c r="T941" s="46">
        <v>-3.7856999999999998</v>
      </c>
    </row>
    <row r="942" spans="16:20" x14ac:dyDescent="0.25">
      <c r="P942" s="18">
        <v>941</v>
      </c>
      <c r="Q942" s="50">
        <v>88.719499999999996</v>
      </c>
      <c r="R942" s="50">
        <v>0</v>
      </c>
      <c r="S942" s="50">
        <v>10.017899999999999</v>
      </c>
      <c r="T942" s="46">
        <v>10.017899999999999</v>
      </c>
    </row>
    <row r="943" spans="16:20" x14ac:dyDescent="0.25">
      <c r="P943" s="18">
        <v>942</v>
      </c>
      <c r="Q943" s="50">
        <v>163.6482</v>
      </c>
      <c r="R943" s="50">
        <v>163.6482</v>
      </c>
      <c r="S943" s="50">
        <v>161.03299999999999</v>
      </c>
      <c r="T943" s="46">
        <v>-2.6152000000000002</v>
      </c>
    </row>
    <row r="944" spans="16:20" x14ac:dyDescent="0.25">
      <c r="P944" s="18">
        <v>943</v>
      </c>
      <c r="Q944" s="50">
        <v>50.221400000000003</v>
      </c>
      <c r="R944" s="50">
        <v>0</v>
      </c>
      <c r="S944" s="50">
        <v>-2.2589999999999999</v>
      </c>
      <c r="T944" s="46">
        <v>-2.2589999999999999</v>
      </c>
    </row>
    <row r="945" spans="16:20" x14ac:dyDescent="0.25">
      <c r="P945" s="18">
        <v>944</v>
      </c>
      <c r="Q945" s="50">
        <v>93.685900000000004</v>
      </c>
      <c r="R945" s="50">
        <v>0</v>
      </c>
      <c r="S945" s="50">
        <v>20.5275</v>
      </c>
      <c r="T945" s="46">
        <v>20.5275</v>
      </c>
    </row>
    <row r="946" spans="16:20" x14ac:dyDescent="0.25">
      <c r="P946" s="18">
        <v>945</v>
      </c>
      <c r="Q946" s="50">
        <v>54.074100000000001</v>
      </c>
      <c r="R946" s="50">
        <v>0</v>
      </c>
      <c r="S946" s="50">
        <v>1.4258999999999999</v>
      </c>
      <c r="T946" s="46">
        <v>1.4258999999999999</v>
      </c>
    </row>
    <row r="947" spans="16:20" x14ac:dyDescent="0.25">
      <c r="P947" s="18">
        <v>946</v>
      </c>
      <c r="Q947" s="50">
        <v>93.277199999999993</v>
      </c>
      <c r="R947" s="50">
        <v>0</v>
      </c>
      <c r="S947" s="50">
        <v>39.136299999999999</v>
      </c>
      <c r="T947" s="46">
        <v>39.136299999999999</v>
      </c>
    </row>
    <row r="948" spans="16:20" x14ac:dyDescent="0.25">
      <c r="P948" s="18">
        <v>947</v>
      </c>
      <c r="Q948" s="50">
        <v>109.0628</v>
      </c>
      <c r="R948" s="50">
        <v>109.0628</v>
      </c>
      <c r="S948" s="50">
        <v>97.913799999999995</v>
      </c>
      <c r="T948" s="46">
        <v>-11.148899999999999</v>
      </c>
    </row>
    <row r="949" spans="16:20" x14ac:dyDescent="0.25">
      <c r="P949" s="18">
        <v>948</v>
      </c>
      <c r="Q949" s="50">
        <v>94.174400000000006</v>
      </c>
      <c r="R949" s="50">
        <v>0</v>
      </c>
      <c r="S949" s="50">
        <v>23.9252</v>
      </c>
      <c r="T949" s="46">
        <v>23.9252</v>
      </c>
    </row>
    <row r="950" spans="16:20" x14ac:dyDescent="0.25">
      <c r="P950" s="18">
        <v>949</v>
      </c>
      <c r="Q950" s="50">
        <v>104.35299999999999</v>
      </c>
      <c r="R950" s="50">
        <v>104.35299999999999</v>
      </c>
      <c r="S950" s="50">
        <v>76.665800000000004</v>
      </c>
      <c r="T950" s="46">
        <v>-27.687200000000001</v>
      </c>
    </row>
    <row r="951" spans="16:20" x14ac:dyDescent="0.25">
      <c r="P951" s="18">
        <v>950</v>
      </c>
      <c r="Q951" s="50">
        <v>111.2908</v>
      </c>
      <c r="R951" s="50">
        <v>111.2908</v>
      </c>
      <c r="S951" s="50">
        <v>91.347399999999993</v>
      </c>
      <c r="T951" s="46">
        <v>-19.9434</v>
      </c>
    </row>
    <row r="952" spans="16:20" x14ac:dyDescent="0.25">
      <c r="P952" s="18">
        <v>951</v>
      </c>
      <c r="Q952" s="50">
        <v>92.683199999999999</v>
      </c>
      <c r="R952" s="50">
        <v>0</v>
      </c>
      <c r="S952" s="50">
        <v>11.0816</v>
      </c>
      <c r="T952" s="46">
        <v>11.0816</v>
      </c>
    </row>
    <row r="953" spans="16:20" x14ac:dyDescent="0.25">
      <c r="P953" s="18">
        <v>952</v>
      </c>
      <c r="Q953" s="50">
        <v>81.709699999999998</v>
      </c>
      <c r="R953" s="50">
        <v>0</v>
      </c>
      <c r="S953" s="50">
        <v>7.6810999999999998</v>
      </c>
      <c r="T953" s="46">
        <v>7.6810999999999998</v>
      </c>
    </row>
    <row r="954" spans="16:20" x14ac:dyDescent="0.25">
      <c r="P954" s="18">
        <v>953</v>
      </c>
      <c r="Q954" s="50">
        <v>80.438100000000006</v>
      </c>
      <c r="R954" s="50">
        <v>0</v>
      </c>
      <c r="S954" s="50">
        <v>-16.817699999999999</v>
      </c>
      <c r="T954" s="46">
        <v>-16.817699999999999</v>
      </c>
    </row>
    <row r="955" spans="16:20" x14ac:dyDescent="0.25">
      <c r="P955" s="18">
        <v>954</v>
      </c>
      <c r="Q955" s="50">
        <v>79.499200000000002</v>
      </c>
      <c r="R955" s="50">
        <v>0</v>
      </c>
      <c r="S955" s="50">
        <v>-17.8689</v>
      </c>
      <c r="T955" s="46">
        <v>-17.8689</v>
      </c>
    </row>
    <row r="956" spans="16:20" x14ac:dyDescent="0.25">
      <c r="P956" s="18">
        <v>955</v>
      </c>
      <c r="Q956" s="50">
        <v>86.261099999999999</v>
      </c>
      <c r="R956" s="50">
        <v>0</v>
      </c>
      <c r="S956" s="50">
        <v>7.1016000000000004</v>
      </c>
      <c r="T956" s="46">
        <v>7.1016000000000004</v>
      </c>
    </row>
    <row r="957" spans="16:20" x14ac:dyDescent="0.25">
      <c r="P957" s="18">
        <v>956</v>
      </c>
      <c r="Q957" s="50">
        <v>216.40790000000001</v>
      </c>
      <c r="R957" s="50">
        <v>216.40790000000001</v>
      </c>
      <c r="S957" s="50">
        <v>217.64859999999999</v>
      </c>
      <c r="T957" s="46">
        <v>1.2406999999999999</v>
      </c>
    </row>
    <row r="958" spans="16:20" x14ac:dyDescent="0.25">
      <c r="P958" s="18">
        <v>957</v>
      </c>
      <c r="Q958" s="50">
        <v>126.00239999999999</v>
      </c>
      <c r="R958" s="50">
        <v>126.00239999999999</v>
      </c>
      <c r="S958" s="50">
        <v>128.19569999999999</v>
      </c>
      <c r="T958" s="46">
        <v>2.1932</v>
      </c>
    </row>
    <row r="959" spans="16:20" x14ac:dyDescent="0.25">
      <c r="P959" s="18">
        <v>958</v>
      </c>
      <c r="Q959" s="50">
        <v>99.282200000000003</v>
      </c>
      <c r="R959" s="50">
        <v>0</v>
      </c>
      <c r="S959" s="50">
        <v>22.0184</v>
      </c>
      <c r="T959" s="46">
        <v>22.0184</v>
      </c>
    </row>
    <row r="960" spans="16:20" x14ac:dyDescent="0.25">
      <c r="P960" s="18">
        <v>959</v>
      </c>
      <c r="Q960" s="50">
        <v>118.218</v>
      </c>
      <c r="R960" s="50">
        <v>118.218</v>
      </c>
      <c r="S960" s="50">
        <v>121.1644</v>
      </c>
      <c r="T960" s="46">
        <v>2.9464000000000001</v>
      </c>
    </row>
    <row r="961" spans="16:20" x14ac:dyDescent="0.25">
      <c r="P961" s="18">
        <v>960</v>
      </c>
      <c r="Q961" s="50">
        <v>92.959299999999999</v>
      </c>
      <c r="R961" s="50">
        <v>0</v>
      </c>
      <c r="S961" s="50">
        <v>22.4208</v>
      </c>
      <c r="T961" s="46">
        <v>22.4208</v>
      </c>
    </row>
    <row r="962" spans="16:20" x14ac:dyDescent="0.25">
      <c r="P962" s="18">
        <v>961</v>
      </c>
      <c r="Q962" s="50">
        <v>108.9186</v>
      </c>
      <c r="R962" s="50">
        <v>108.9186</v>
      </c>
      <c r="S962" s="50">
        <v>85.9345</v>
      </c>
      <c r="T962" s="46">
        <v>-22.984100000000002</v>
      </c>
    </row>
    <row r="963" spans="16:20" x14ac:dyDescent="0.25">
      <c r="P963" s="18">
        <v>962</v>
      </c>
      <c r="Q963" s="50">
        <v>60.816600000000001</v>
      </c>
      <c r="R963" s="50">
        <v>0</v>
      </c>
      <c r="S963" s="50">
        <v>-5.0918999999999999</v>
      </c>
      <c r="T963" s="46">
        <v>-5.0918999999999999</v>
      </c>
    </row>
    <row r="964" spans="16:20" x14ac:dyDescent="0.25">
      <c r="P964" s="18">
        <v>963</v>
      </c>
      <c r="Q964" s="50">
        <v>86.6023</v>
      </c>
      <c r="R964" s="50">
        <v>0</v>
      </c>
      <c r="S964" s="50">
        <v>5.4084000000000003</v>
      </c>
      <c r="T964" s="46">
        <v>5.4084000000000003</v>
      </c>
    </row>
    <row r="965" spans="16:20" x14ac:dyDescent="0.25">
      <c r="P965" s="18">
        <v>964</v>
      </c>
      <c r="Q965" s="50">
        <v>91.376199999999997</v>
      </c>
      <c r="R965" s="50">
        <v>0</v>
      </c>
      <c r="S965" s="50">
        <v>24.774799999999999</v>
      </c>
      <c r="T965" s="46">
        <v>24.774799999999999</v>
      </c>
    </row>
    <row r="966" spans="16:20" x14ac:dyDescent="0.25">
      <c r="P966" s="18">
        <v>965</v>
      </c>
      <c r="Q966" s="50">
        <v>89.765600000000006</v>
      </c>
      <c r="R966" s="50">
        <v>0</v>
      </c>
      <c r="S966" s="50">
        <v>10.3781</v>
      </c>
      <c r="T966" s="46">
        <v>10.3781</v>
      </c>
    </row>
    <row r="967" spans="16:20" x14ac:dyDescent="0.25">
      <c r="P967" s="18">
        <v>966</v>
      </c>
      <c r="Q967" s="50">
        <v>111.4491</v>
      </c>
      <c r="R967" s="50">
        <v>111.4491</v>
      </c>
      <c r="S967" s="50">
        <v>98.070899999999995</v>
      </c>
      <c r="T967" s="46">
        <v>-13.3782</v>
      </c>
    </row>
    <row r="968" spans="16:20" x14ac:dyDescent="0.25">
      <c r="P968" s="18">
        <v>967</v>
      </c>
      <c r="Q968" s="50">
        <v>80.743099999999998</v>
      </c>
      <c r="R968" s="50">
        <v>0</v>
      </c>
      <c r="S968" s="50">
        <v>-10.654</v>
      </c>
      <c r="T968" s="46">
        <v>-10.654</v>
      </c>
    </row>
    <row r="969" spans="16:20" x14ac:dyDescent="0.25">
      <c r="P969" s="18">
        <v>968</v>
      </c>
      <c r="Q969" s="50">
        <v>73.159400000000005</v>
      </c>
      <c r="R969" s="50">
        <v>0</v>
      </c>
      <c r="S969" s="50">
        <v>-0.28589999999999999</v>
      </c>
      <c r="T969" s="46">
        <v>-0.28589999999999999</v>
      </c>
    </row>
    <row r="970" spans="16:20" x14ac:dyDescent="0.25">
      <c r="P970" s="18">
        <v>969</v>
      </c>
      <c r="Q970" s="50">
        <v>176.7784</v>
      </c>
      <c r="R970" s="50">
        <v>176.7784</v>
      </c>
      <c r="S970" s="50">
        <v>172.7791</v>
      </c>
      <c r="T970" s="46">
        <v>-3.9994000000000001</v>
      </c>
    </row>
    <row r="971" spans="16:20" x14ac:dyDescent="0.25">
      <c r="P971" s="18">
        <v>970</v>
      </c>
      <c r="Q971" s="50">
        <v>95.773700000000005</v>
      </c>
      <c r="R971" s="50">
        <v>0</v>
      </c>
      <c r="S971" s="50">
        <v>29.6784</v>
      </c>
      <c r="T971" s="46">
        <v>29.6784</v>
      </c>
    </row>
    <row r="972" spans="16:20" x14ac:dyDescent="0.25">
      <c r="P972" s="18">
        <v>971</v>
      </c>
      <c r="Q972" s="50">
        <v>122.7127</v>
      </c>
      <c r="R972" s="50">
        <v>122.7127</v>
      </c>
      <c r="S972" s="50">
        <v>125.11369999999999</v>
      </c>
      <c r="T972" s="46">
        <v>2.4009999999999998</v>
      </c>
    </row>
    <row r="973" spans="16:20" x14ac:dyDescent="0.25">
      <c r="P973" s="18">
        <v>972</v>
      </c>
      <c r="Q973" s="50">
        <v>71.037999999999997</v>
      </c>
      <c r="R973" s="50">
        <v>0</v>
      </c>
      <c r="S973" s="50">
        <v>-2.6595</v>
      </c>
      <c r="T973" s="46">
        <v>-2.6595</v>
      </c>
    </row>
    <row r="974" spans="16:20" x14ac:dyDescent="0.25">
      <c r="P974" s="18">
        <v>973</v>
      </c>
      <c r="Q974" s="50">
        <v>108.8023</v>
      </c>
      <c r="R974" s="50">
        <v>108.8023</v>
      </c>
      <c r="S974" s="50">
        <v>83.129000000000005</v>
      </c>
      <c r="T974" s="46">
        <v>-25.673300000000001</v>
      </c>
    </row>
    <row r="975" spans="16:20" x14ac:dyDescent="0.25">
      <c r="P975" s="18">
        <v>974</v>
      </c>
      <c r="Q975" s="50">
        <v>106.0287</v>
      </c>
      <c r="R975" s="50">
        <v>106.0287</v>
      </c>
      <c r="S975" s="50">
        <v>69.268500000000003</v>
      </c>
      <c r="T975" s="46">
        <v>-36.760199999999998</v>
      </c>
    </row>
    <row r="976" spans="16:20" x14ac:dyDescent="0.25">
      <c r="P976" s="18">
        <v>975</v>
      </c>
      <c r="Q976" s="50">
        <v>80.885599999999997</v>
      </c>
      <c r="R976" s="50">
        <v>0</v>
      </c>
      <c r="S976" s="50">
        <v>10.2219</v>
      </c>
      <c r="T976" s="46">
        <v>10.2219</v>
      </c>
    </row>
    <row r="977" spans="16:20" x14ac:dyDescent="0.25">
      <c r="P977" s="18">
        <v>976</v>
      </c>
      <c r="Q977" s="50">
        <v>117.4053</v>
      </c>
      <c r="R977" s="50">
        <v>117.4053</v>
      </c>
      <c r="S977" s="50">
        <v>119.76949999999999</v>
      </c>
      <c r="T977" s="46">
        <v>2.3641999999999999</v>
      </c>
    </row>
    <row r="978" spans="16:20" x14ac:dyDescent="0.25">
      <c r="P978" s="18">
        <v>977</v>
      </c>
      <c r="Q978" s="50">
        <v>108.34399999999999</v>
      </c>
      <c r="R978" s="50">
        <v>108.34399999999999</v>
      </c>
      <c r="S978" s="50">
        <v>101.2452</v>
      </c>
      <c r="T978" s="46">
        <v>-7.0987999999999998</v>
      </c>
    </row>
    <row r="979" spans="16:20" x14ac:dyDescent="0.25">
      <c r="P979" s="18">
        <v>978</v>
      </c>
      <c r="Q979" s="50">
        <v>29.907</v>
      </c>
      <c r="R979" s="50">
        <v>0</v>
      </c>
      <c r="S979" s="50">
        <v>-4.1021999999999998</v>
      </c>
      <c r="T979" s="46">
        <v>-4.1021999999999998</v>
      </c>
    </row>
    <row r="980" spans="16:20" x14ac:dyDescent="0.25">
      <c r="P980" s="18">
        <v>979</v>
      </c>
      <c r="Q980" s="50">
        <v>131.7612</v>
      </c>
      <c r="R980" s="50">
        <v>131.7612</v>
      </c>
      <c r="S980" s="50">
        <v>133.42840000000001</v>
      </c>
      <c r="T980" s="46">
        <v>1.6672</v>
      </c>
    </row>
    <row r="981" spans="16:20" x14ac:dyDescent="0.25">
      <c r="P981" s="18">
        <v>980</v>
      </c>
      <c r="Q981" s="50">
        <v>106.48439999999999</v>
      </c>
      <c r="R981" s="50">
        <v>106.48439999999999</v>
      </c>
      <c r="S981" s="50">
        <v>58.923200000000001</v>
      </c>
      <c r="T981" s="46">
        <v>-47.561100000000003</v>
      </c>
    </row>
    <row r="982" spans="16:20" x14ac:dyDescent="0.25">
      <c r="P982" s="18">
        <v>981</v>
      </c>
      <c r="Q982" s="50">
        <v>161.9717</v>
      </c>
      <c r="R982" s="50">
        <v>161.9717</v>
      </c>
      <c r="S982" s="50">
        <v>167.19149999999999</v>
      </c>
      <c r="T982" s="46">
        <v>5.2198000000000002</v>
      </c>
    </row>
    <row r="983" spans="16:20" x14ac:dyDescent="0.25">
      <c r="P983" s="18">
        <v>982</v>
      </c>
      <c r="Q983" s="50">
        <v>155.81569999999999</v>
      </c>
      <c r="R983" s="50">
        <v>155.81569999999999</v>
      </c>
      <c r="S983" s="50">
        <v>157.88849999999999</v>
      </c>
      <c r="T983" s="46">
        <v>2.0728</v>
      </c>
    </row>
    <row r="984" spans="16:20" x14ac:dyDescent="0.25">
      <c r="P984" s="18">
        <v>983</v>
      </c>
      <c r="Q984" s="50">
        <v>143.88499999999999</v>
      </c>
      <c r="R984" s="50">
        <v>143.88499999999999</v>
      </c>
      <c r="S984" s="50">
        <v>141.40309999999999</v>
      </c>
      <c r="T984" s="46">
        <v>-2.4819</v>
      </c>
    </row>
    <row r="985" spans="16:20" x14ac:dyDescent="0.25">
      <c r="P985" s="18">
        <v>984</v>
      </c>
      <c r="Q985" s="50">
        <v>86.724599999999995</v>
      </c>
      <c r="R985" s="50">
        <v>0</v>
      </c>
      <c r="S985" s="50">
        <v>-7.6317000000000004</v>
      </c>
      <c r="T985" s="46">
        <v>-7.6317000000000004</v>
      </c>
    </row>
    <row r="986" spans="16:20" x14ac:dyDescent="0.25">
      <c r="P986" s="18">
        <v>985</v>
      </c>
      <c r="Q986" s="50">
        <v>91.236000000000004</v>
      </c>
      <c r="R986" s="50">
        <v>0</v>
      </c>
      <c r="S986" s="50">
        <v>18.1723</v>
      </c>
      <c r="T986" s="46">
        <v>18.1723</v>
      </c>
    </row>
    <row r="987" spans="16:20" x14ac:dyDescent="0.25">
      <c r="P987" s="18">
        <v>986</v>
      </c>
      <c r="Q987" s="50">
        <v>73.479900000000001</v>
      </c>
      <c r="R987" s="50">
        <v>0</v>
      </c>
      <c r="S987" s="50">
        <v>-7.7492999999999999</v>
      </c>
      <c r="T987" s="46">
        <v>-7.7492999999999999</v>
      </c>
    </row>
    <row r="988" spans="16:20" x14ac:dyDescent="0.25">
      <c r="P988" s="18">
        <v>987</v>
      </c>
      <c r="Q988" s="50">
        <v>107.2128</v>
      </c>
      <c r="R988" s="50">
        <v>107.2128</v>
      </c>
      <c r="S988" s="50">
        <v>82.447599999999994</v>
      </c>
      <c r="T988" s="46">
        <v>-24.7653</v>
      </c>
    </row>
    <row r="989" spans="16:20" x14ac:dyDescent="0.25">
      <c r="P989" s="18">
        <v>988</v>
      </c>
      <c r="Q989" s="50">
        <v>92.698499999999996</v>
      </c>
      <c r="R989" s="50">
        <v>0</v>
      </c>
      <c r="S989" s="50">
        <v>25.854399999999998</v>
      </c>
      <c r="T989" s="46">
        <v>25.854399999999998</v>
      </c>
    </row>
    <row r="990" spans="16:20" x14ac:dyDescent="0.25">
      <c r="P990" s="18">
        <v>989</v>
      </c>
      <c r="Q990" s="50">
        <v>82.496399999999994</v>
      </c>
      <c r="R990" s="50">
        <v>0</v>
      </c>
      <c r="S990" s="50">
        <v>0.32690000000000002</v>
      </c>
      <c r="T990" s="46">
        <v>0.32690000000000002</v>
      </c>
    </row>
    <row r="991" spans="16:20" x14ac:dyDescent="0.25">
      <c r="P991" s="18">
        <v>990</v>
      </c>
      <c r="Q991" s="50">
        <v>149.32050000000001</v>
      </c>
      <c r="R991" s="50">
        <v>149.32050000000001</v>
      </c>
      <c r="S991" s="50">
        <v>158.09870000000001</v>
      </c>
      <c r="T991" s="46">
        <v>8.7782</v>
      </c>
    </row>
    <row r="992" spans="16:20" x14ac:dyDescent="0.25">
      <c r="P992" s="18">
        <v>991</v>
      </c>
      <c r="Q992" s="50">
        <v>98.299000000000007</v>
      </c>
      <c r="R992" s="50">
        <v>0</v>
      </c>
      <c r="S992" s="50">
        <v>46.388599999999997</v>
      </c>
      <c r="T992" s="46">
        <v>46.388599999999997</v>
      </c>
    </row>
    <row r="993" spans="16:20" x14ac:dyDescent="0.25">
      <c r="P993" s="18">
        <v>992</v>
      </c>
      <c r="Q993" s="50">
        <v>75.260099999999994</v>
      </c>
      <c r="R993" s="50">
        <v>0</v>
      </c>
      <c r="S993" s="50">
        <v>-19.55</v>
      </c>
      <c r="T993" s="46">
        <v>-19.55</v>
      </c>
    </row>
    <row r="994" spans="16:20" x14ac:dyDescent="0.25">
      <c r="P994" s="18">
        <v>993</v>
      </c>
      <c r="Q994" s="50">
        <v>67.332400000000007</v>
      </c>
      <c r="R994" s="50">
        <v>0</v>
      </c>
      <c r="S994" s="50">
        <v>-6.3769</v>
      </c>
      <c r="T994" s="46">
        <v>-6.3769</v>
      </c>
    </row>
    <row r="995" spans="16:20" x14ac:dyDescent="0.25">
      <c r="P995" s="18">
        <v>994</v>
      </c>
      <c r="Q995" s="50">
        <v>90.301699999999997</v>
      </c>
      <c r="R995" s="50">
        <v>0</v>
      </c>
      <c r="S995" s="50">
        <v>27.4161</v>
      </c>
      <c r="T995" s="46">
        <v>27.4161</v>
      </c>
    </row>
    <row r="996" spans="16:20" x14ac:dyDescent="0.25">
      <c r="P996" s="18">
        <v>995</v>
      </c>
      <c r="Q996" s="50">
        <v>77.787599999999998</v>
      </c>
      <c r="R996" s="50">
        <v>0</v>
      </c>
      <c r="S996" s="50">
        <v>0.80469999999999997</v>
      </c>
      <c r="T996" s="46">
        <v>0.80469999999999997</v>
      </c>
    </row>
    <row r="997" spans="16:20" x14ac:dyDescent="0.25">
      <c r="P997" s="18">
        <v>996</v>
      </c>
      <c r="Q997" s="50">
        <v>74.455799999999996</v>
      </c>
      <c r="R997" s="50">
        <v>0</v>
      </c>
      <c r="S997" s="50">
        <v>-2.1634000000000002</v>
      </c>
      <c r="T997" s="46">
        <v>-2.1634000000000002</v>
      </c>
    </row>
    <row r="998" spans="16:20" x14ac:dyDescent="0.25">
      <c r="P998" s="18">
        <v>997</v>
      </c>
      <c r="Q998" s="50">
        <v>169.77799999999999</v>
      </c>
      <c r="R998" s="50">
        <v>169.77799999999999</v>
      </c>
      <c r="S998" s="50">
        <v>171.9589</v>
      </c>
      <c r="T998" s="46">
        <v>2.1808999999999998</v>
      </c>
    </row>
    <row r="999" spans="16:20" x14ac:dyDescent="0.25">
      <c r="P999" s="18">
        <v>998</v>
      </c>
      <c r="Q999" s="50">
        <v>84.463700000000003</v>
      </c>
      <c r="R999" s="50">
        <v>0</v>
      </c>
      <c r="S999" s="50">
        <v>7.2762000000000002</v>
      </c>
      <c r="T999" s="46">
        <v>7.2762000000000002</v>
      </c>
    </row>
    <row r="1000" spans="16:20" x14ac:dyDescent="0.25">
      <c r="P1000" s="18">
        <v>999</v>
      </c>
      <c r="Q1000" s="50">
        <v>110.8879</v>
      </c>
      <c r="R1000" s="50">
        <v>110.8879</v>
      </c>
      <c r="S1000" s="50">
        <v>83.46</v>
      </c>
      <c r="T1000" s="46">
        <v>-27.427900000000001</v>
      </c>
    </row>
    <row r="1001" spans="16:20" ht="15.75" thickBot="1" x14ac:dyDescent="0.3">
      <c r="P1001" s="19">
        <v>1000</v>
      </c>
      <c r="Q1001" s="51">
        <v>136.67869999999999</v>
      </c>
      <c r="R1001" s="51">
        <v>136.67869999999999</v>
      </c>
      <c r="S1001" s="51">
        <v>139.81219999999999</v>
      </c>
      <c r="T1001" s="52">
        <v>3.1335999999999999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Facing</vt:lpstr>
      <vt:lpstr>Vanilla BS call option</vt:lpstr>
      <vt:lpstr>Cash or Nothing Call Option</vt:lpstr>
      <vt:lpstr>Asset or Nothing Call 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carolinexu</dc:creator>
  <cp:lastModifiedBy>carolinexu</cp:lastModifiedBy>
  <dcterms:created xsi:type="dcterms:W3CDTF">2018-11-27T19:13:44Z</dcterms:created>
  <dcterms:modified xsi:type="dcterms:W3CDTF">2018-12-04T20:13:32Z</dcterms:modified>
</cp:coreProperties>
</file>